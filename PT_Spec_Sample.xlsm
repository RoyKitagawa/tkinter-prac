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51196F13-6AD0-C1B8-E2B4-A1F9AE17003E}"/>
  <workbookPr codeName="ThisWorkbook" defaultThemeVersion="124226"/>
  <bookViews>
    <workbookView xWindow="8265" yWindow="-120" windowWidth="20730" windowHeight="11310" tabRatio="823" activeTab="3"/>
  </bookViews>
  <sheets>
    <sheet name="Title Page" sheetId="37" r:id="rId1"/>
    <sheet name="Usage" sheetId="183" r:id="rId2"/>
    <sheet name="start_basic" sheetId="2" state="hidden" r:id="rId3"/>
    <sheet name="Basic Test (Online) 1" sheetId="179" r:id="rId4"/>
    <sheet name="end_basic" sheetId="6" state="hidden" r:id="rId5"/>
    <sheet name="start_business" sheetId="178" state="hidden" r:id="rId6"/>
    <sheet name="Business Test 1" sheetId="12" r:id="rId7"/>
    <sheet name="end_business" sheetId="177" state="hidden" r:id="rId8"/>
    <sheet name="Code Table" sheetId="182" state="hidden" r:id="rId9"/>
    <sheet name="Cause Type" sheetId="50" state="hidden" r:id="rId10"/>
    <sheet name="Settings" sheetId="17" state="hidden" r:id="rId11"/>
    <sheet name="Process" sheetId="98" state="hidden" r:id="rId12"/>
    <sheet name="Version Information" sheetId="20" state="hidden" r:id="rId13"/>
    <sheet name="Ev.1" sheetId="186" r:id="rId14"/>
    <sheet name="Ev.2" sheetId="187" r:id="rId15"/>
    <sheet name="Ev.3" sheetId="188" r:id="rId16"/>
    <sheet name="Ev.4" sheetId="189" r:id="rId17"/>
    <sheet name="Ev.5" sheetId="190" r:id="rId18"/>
    <sheet name="Ev.6" sheetId="191" r:id="rId19"/>
    <sheet name="Ev.7" sheetId="192" r:id="rId20"/>
    <sheet name="stepcount" sheetId="185" r:id="rId21"/>
    <sheet name="&lt;Do not Touch&gt; Common Settings" sheetId="19" state="hidden" r:id="rId22"/>
  </sheets>
  <externalReferences>
    <externalReference r:id="rId23"/>
  </externalReferences>
  <definedNames>
    <definedName name="_xlnm._FilterDatabase" localSheetId="9" hidden="1">'Cause Type'!$B$8:$H$8</definedName>
    <definedName name="_xlnm._FilterDatabase" localSheetId="0" hidden="1">'Title Page'!$B$5:$J$9</definedName>
    <definedName name="Basic_Cause_Phase_1">'Title Page'!$AA$22</definedName>
    <definedName name="Basic_Cause_Phase_10">'Title Page'!$AA$31</definedName>
    <definedName name="Basic_Cause_Phase_2">'Title Page'!$AA$23</definedName>
    <definedName name="Basic_Cause_Phase_3">'Title Page'!$AA$24</definedName>
    <definedName name="Basic_Cause_Phase_4">'Title Page'!$AA$25</definedName>
    <definedName name="Basic_Cause_Phase_5">'Title Page'!$AA$26</definedName>
    <definedName name="Basic_Cause_Phase_6">'Title Page'!$AA$27</definedName>
    <definedName name="Basic_Cause_Phase_7">'Title Page'!$AA$28</definedName>
    <definedName name="Basic_Cause_Phase_8">'Title Page'!$AA$29</definedName>
    <definedName name="Basic_Cause_Phase_9">'Title Page'!$AA$30</definedName>
    <definedName name="Basic_Cause_Type_1">'Title Page'!$O$62</definedName>
    <definedName name="Basic_Cause_Type_10">'Title Page'!$O$71</definedName>
    <definedName name="Basic_Cause_Type_11">'Title Page'!$O$72</definedName>
    <definedName name="Basic_Cause_Type_12">'Title Page'!$O$73</definedName>
    <definedName name="Basic_Cause_Type_13">'Title Page'!$O$74</definedName>
    <definedName name="Basic_Cause_Type_14">'Title Page'!$O$75</definedName>
    <definedName name="Basic_Cause_Type_15">'Title Page'!$O$76</definedName>
    <definedName name="Basic_Cause_Type_16">'Title Page'!$O$77</definedName>
    <definedName name="Basic_Cause_Type_17">'Title Page'!$O$78</definedName>
    <definedName name="Basic_Cause_Type_18">'Title Page'!$O$79</definedName>
    <definedName name="Basic_Cause_Type_19">'Title Page'!$O$80</definedName>
    <definedName name="Basic_Cause_Type_2">'Title Page'!$O$63</definedName>
    <definedName name="Basic_Cause_Type_20">'Title Page'!$O$81</definedName>
    <definedName name="Basic_Cause_Type_21">'Title Page'!$O$82</definedName>
    <definedName name="Basic_Cause_Type_22">'Title Page'!$O$83</definedName>
    <definedName name="Basic_Cause_Type_23">'Title Page'!$O$84</definedName>
    <definedName name="Basic_Cause_Type_24">'Title Page'!$O$85</definedName>
    <definedName name="Basic_Cause_Type_25">'Title Page'!$O$86</definedName>
    <definedName name="Basic_Cause_Type_26">'Title Page'!$O$87</definedName>
    <definedName name="Basic_Cause_Type_27">'Title Page'!$O$88</definedName>
    <definedName name="Basic_Cause_Type_28">'Title Page'!$O$89</definedName>
    <definedName name="Basic_Cause_Type_29">'Title Page'!$O$90</definedName>
    <definedName name="Basic_Cause_Type_3">'Title Page'!$O$64</definedName>
    <definedName name="Basic_Cause_Type_30">'Title Page'!$O$91</definedName>
    <definedName name="Basic_Cause_Type_31">'Title Page'!$O$92</definedName>
    <definedName name="Basic_Cause_Type_32">'Title Page'!$O$93</definedName>
    <definedName name="Basic_Cause_Type_33">'Title Page'!$O$94</definedName>
    <definedName name="Basic_Cause_Type_34">'Title Page'!$O$95</definedName>
    <definedName name="Basic_Cause_Type_35">'Title Page'!$O$96</definedName>
    <definedName name="Basic_Cause_Type_36">'Title Page'!$O$97</definedName>
    <definedName name="Basic_Cause_Type_37">'Title Page'!$O$98</definedName>
    <definedName name="Basic_Cause_Type_38">'Title Page'!$O$99</definedName>
    <definedName name="Basic_Cause_Type_39">'Title Page'!$O$100</definedName>
    <definedName name="Basic_Cause_Type_4">'Title Page'!$O$65</definedName>
    <definedName name="Basic_Cause_Type_40">'Title Page'!$O$101</definedName>
    <definedName name="Basic_Cause_Type_5">'Title Page'!$O$66</definedName>
    <definedName name="Basic_Cause_Type_6">'Title Page'!$O$67</definedName>
    <definedName name="Basic_Cause_Type_7">'Title Page'!$O$68</definedName>
    <definedName name="Basic_Cause_Type_8">'Title Page'!$O$69</definedName>
    <definedName name="Basic_Cause_Type_9">'Title Page'!$O$70</definedName>
    <definedName name="Basic_Defect_Number">'Title Page'!$AA$19</definedName>
    <definedName name="Basic_Error_Rate">'Title Page'!$AA$20</definedName>
    <definedName name="Basic_Test_Item_Number">'Title Page'!$AA$16</definedName>
    <definedName name="Basic_Test_Item_Rate">'Title Page'!$AA$17</definedName>
    <definedName name="Business_Cause_Phase_1">'Title Page'!$AG$22</definedName>
    <definedName name="Business_Cause_Phase_10">'Title Page'!$AG$31</definedName>
    <definedName name="Business_Cause_Phase_2">'Title Page'!$AG$23</definedName>
    <definedName name="Business_Cause_Phase_3">'Title Page'!$AG$24</definedName>
    <definedName name="Business_Cause_Phase_4">'Title Page'!$AG$25</definedName>
    <definedName name="Business_Cause_Phase_5">'Title Page'!$AG$26</definedName>
    <definedName name="Business_Cause_Phase_6">'Title Page'!$AG$27</definedName>
    <definedName name="Business_Cause_Phase_7">'Title Page'!$AG$28</definedName>
    <definedName name="Business_Cause_Phase_8">'Title Page'!$AG$29</definedName>
    <definedName name="Business_Cause_Phase_9">'Title Page'!$AG$30</definedName>
    <definedName name="Business_Cause_Type_1">'Title Page'!$U$62</definedName>
    <definedName name="Business_Cause_Type_10">'Title Page'!$U$71</definedName>
    <definedName name="Business_Cause_Type_11">'Title Page'!$U$72</definedName>
    <definedName name="Business_Cause_Type_12">'Title Page'!$U$73</definedName>
    <definedName name="Business_Cause_Type_13">'Title Page'!$U$74</definedName>
    <definedName name="Business_Cause_Type_14">'Title Page'!$U$75</definedName>
    <definedName name="Business_Cause_Type_15">'Title Page'!$U$76</definedName>
    <definedName name="Business_Cause_Type_16">'Title Page'!$U$77</definedName>
    <definedName name="Business_Cause_Type_17">'Title Page'!$U$78</definedName>
    <definedName name="Business_Cause_Type_18">'Title Page'!$U$79</definedName>
    <definedName name="Business_Cause_Type_19">'Title Page'!$U$80</definedName>
    <definedName name="Business_Cause_Type_2">'Title Page'!$U$63</definedName>
    <definedName name="Business_Cause_Type_20">'Title Page'!$U$81</definedName>
    <definedName name="Business_Cause_Type_21">'Title Page'!$U$82</definedName>
    <definedName name="Business_Cause_Type_22">'Title Page'!$U$83</definedName>
    <definedName name="Business_Cause_Type_23">'Title Page'!$U$84</definedName>
    <definedName name="Business_Cause_Type_24">'Title Page'!$U$85</definedName>
    <definedName name="Business_Cause_Type_25">'Title Page'!$U$86</definedName>
    <definedName name="Business_Cause_Type_26">'Title Page'!$U$87</definedName>
    <definedName name="Business_Cause_Type_27">'Title Page'!$U$88</definedName>
    <definedName name="Business_Cause_Type_28">'Title Page'!$U$89</definedName>
    <definedName name="Business_Cause_Type_29">'Title Page'!$U$90</definedName>
    <definedName name="Business_Cause_Type_3">'Title Page'!$U$64</definedName>
    <definedName name="Business_Cause_Type_30">'Title Page'!$U$91</definedName>
    <definedName name="Business_Cause_Type_31">'Title Page'!$U$92</definedName>
    <definedName name="Business_Cause_Type_32">'Title Page'!$U$93</definedName>
    <definedName name="Business_Cause_Type_33">'Title Page'!$U$94</definedName>
    <definedName name="Business_Cause_Type_34">'Title Page'!$U$95</definedName>
    <definedName name="Business_Cause_Type_35">'Title Page'!$U$96</definedName>
    <definedName name="Business_Cause_Type_36">'Title Page'!$U$97</definedName>
    <definedName name="Business_Cause_Type_37">'Title Page'!$U$98</definedName>
    <definedName name="Business_Cause_Type_38">'Title Page'!$U$99</definedName>
    <definedName name="Business_Cause_Type_39">'Title Page'!$U$100</definedName>
    <definedName name="Business_Cause_Type_4">'Title Page'!$U$65</definedName>
    <definedName name="Business_Cause_Type_40">'Title Page'!$U$101</definedName>
    <definedName name="Business_Cause_Type_5">'Title Page'!$U$66</definedName>
    <definedName name="Business_Cause_Type_6">'Title Page'!$U$67</definedName>
    <definedName name="Business_Cause_Type_7">'Title Page'!$U$68</definedName>
    <definedName name="Business_Cause_Type_8">'Title Page'!$U$69</definedName>
    <definedName name="Business_Cause_Type_9">'Title Page'!$U$70</definedName>
    <definedName name="Business_Defect_Number">'Title Page'!$AG$19</definedName>
    <definedName name="Business_Error_Rate">'Title Page'!$AG$20</definedName>
    <definedName name="Business_Process_Name">'Title Page'!$I$7</definedName>
    <definedName name="Business_Process_Range">Process!$F$3:$H$36</definedName>
    <definedName name="Business_Test_Item_Number">'Title Page'!$AG$16</definedName>
    <definedName name="Business_Test_Item_Rate">'Title Page'!$AG$17</definedName>
    <definedName name="Cause_Category_List">'Title Page'!$T$25:$T$44</definedName>
    <definedName name="Cause_List_End">'Cause Type'!$B$124</definedName>
    <definedName name="Cause_List_Start">'Cause Type'!$B$9</definedName>
    <definedName name="Cause_Phase_1">'Title Page'!$U$22</definedName>
    <definedName name="Cause_Phase_10">'Title Page'!$U$31</definedName>
    <definedName name="Cause_Phase_2">'Title Page'!$U$23</definedName>
    <definedName name="Cause_Phase_3">'Title Page'!$U$24</definedName>
    <definedName name="Cause_Phase_4">'Title Page'!$U$25</definedName>
    <definedName name="Cause_Phase_5">'Title Page'!$U$26</definedName>
    <definedName name="Cause_Phase_6">'Title Page'!$U$27</definedName>
    <definedName name="Cause_Phase_7">'Title Page'!$U$28</definedName>
    <definedName name="Cause_Phase_8">'Title Page'!$U$29</definedName>
    <definedName name="Cause_Phase_9">'Title Page'!$U$30</definedName>
    <definedName name="Cause_Type_Name_1">'Title Page'!$C$62</definedName>
    <definedName name="Cause_Type_Name_10">'Title Page'!$C$71</definedName>
    <definedName name="Cause_Type_Name_11">'Title Page'!$C$72</definedName>
    <definedName name="Cause_Type_Name_12">'Title Page'!$C$73</definedName>
    <definedName name="Cause_Type_Name_13">'Title Page'!$C$74</definedName>
    <definedName name="Cause_Type_Name_14">'Title Page'!$C$75</definedName>
    <definedName name="Cause_Type_Name_15">'Title Page'!$C$76</definedName>
    <definedName name="Cause_Type_Name_16">'Title Page'!$C$77</definedName>
    <definedName name="Cause_Type_Name_17">'Title Page'!$C$78</definedName>
    <definedName name="Cause_Type_Name_18">'Title Page'!$C$79</definedName>
    <definedName name="Cause_Type_Name_19">'Title Page'!$C$80</definedName>
    <definedName name="Cause_Type_Name_2">'Title Page'!$C$63</definedName>
    <definedName name="Cause_Type_Name_20">'Title Page'!$C$81</definedName>
    <definedName name="Cause_Type_Name_21">'Title Page'!$C$82</definedName>
    <definedName name="Cause_Type_Name_22">'Title Page'!$C$83</definedName>
    <definedName name="Cause_Type_Name_23">'Title Page'!$C$84</definedName>
    <definedName name="Cause_Type_Name_24">'Title Page'!$C$85</definedName>
    <definedName name="Cause_Type_Name_25">'Title Page'!$C$86</definedName>
    <definedName name="Cause_Type_Name_26">'Title Page'!$C$87</definedName>
    <definedName name="Cause_Type_Name_27">'Title Page'!$C$88</definedName>
    <definedName name="Cause_Type_Name_28">'Title Page'!$C$89</definedName>
    <definedName name="Cause_Type_Name_29">'Title Page'!$C$90</definedName>
    <definedName name="Cause_Type_Name_3">'Title Page'!$C$64</definedName>
    <definedName name="Cause_Type_Name_30">'Title Page'!$C$91</definedName>
    <definedName name="Cause_Type_Name_31">'Title Page'!$C$92</definedName>
    <definedName name="Cause_Type_Name_32">'Title Page'!$C$93</definedName>
    <definedName name="Cause_Type_Name_33">'Title Page'!$C$94</definedName>
    <definedName name="Cause_Type_Name_34">'Title Page'!$C$95</definedName>
    <definedName name="Cause_Type_Name_35">'Title Page'!$C$96</definedName>
    <definedName name="Cause_Type_Name_36">'Title Page'!$C$97</definedName>
    <definedName name="Cause_Type_Name_37">'Title Page'!$C$98</definedName>
    <definedName name="Cause_Type_Name_38">'Title Page'!$C$99</definedName>
    <definedName name="Cause_Type_Name_39">'Title Page'!$C$100</definedName>
    <definedName name="Cause_Type_Name_4">'Title Page'!$C$65</definedName>
    <definedName name="Cause_Type_Name_40">'Title Page'!$C$101</definedName>
    <definedName name="Cause_Type_Name_5">'Title Page'!$C$66</definedName>
    <definedName name="Cause_Type_Name_6">'Title Page'!$C$67</definedName>
    <definedName name="Cause_Type_Name_7">'Title Page'!$C$68</definedName>
    <definedName name="Cause_Type_Name_8">'Title Page'!$C$69</definedName>
    <definedName name="Cause_Type_Name_9">'Title Page'!$C$70</definedName>
    <definedName name="CodeTable_Affiliation_Abbreviation_End">'Code Table'!$G$38</definedName>
    <definedName name="CodeTable_Affiliation_Abbreviation_Start">'Code Table'!$G$3</definedName>
    <definedName name="CodeTable_Developer_End">'Code Table'!$I$30</definedName>
    <definedName name="CodeTable_Developer_Start">'Code Table'!$I$3</definedName>
    <definedName name="CodeTable_Document_Name_End">'Code Table'!#REF!</definedName>
    <definedName name="CodeTable_Document_Name_Start">'Code Table'!#REF!</definedName>
    <definedName name="CodeTable_Phase_End">'Code Table'!$C$30</definedName>
    <definedName name="CodeTable_Phase_Start">'Code Table'!$C$3</definedName>
    <definedName name="CodeTable_Review_Type_End">'Code Table'!#REF!</definedName>
    <definedName name="CodeTable_Review_Type_Start">'Code Table'!#REF!</definedName>
    <definedName name="CodeTable_Team_End">'Code Table'!$E$30</definedName>
    <definedName name="CodeTable_Team_Start">'Code Table'!$E$3</definedName>
    <definedName name="Common_Setup_Scale">'&lt;Do not Touch&gt; Common Settings'!$B$1</definedName>
    <definedName name="Data_Count_1">'Title Page'!$D$52</definedName>
    <definedName name="Data_Count_2">'Title Page'!$G$52</definedName>
    <definedName name="Developer_Name_List_Range">'Code Table'!$I$2</definedName>
    <definedName name="Development_Company">'Title Page'!$I$10</definedName>
    <definedName name="Development_PIC">'Title Page'!$I$11</definedName>
    <definedName name="Development_Scale">'Title Page'!$I$12</definedName>
    <definedName name="Division_Name_Abbreviation_List_Range">'Code Table'!$G$2</definedName>
    <definedName name="Document">'Version Information'!$C$3</definedName>
    <definedName name="Document_Name_List_Range">'Code Table'!#REF!</definedName>
    <definedName name="Exec_SQL_1">'Title Page'!$D$54</definedName>
    <definedName name="Exec_SQL_2">'Title Page'!$G$54</definedName>
    <definedName name="Management_Unit_Name_Management_Unit_1">Settings!$E$2</definedName>
    <definedName name="Management_Unit_Name_Management_Unit_2">Settings!$F$2</definedName>
    <definedName name="ManagementUnit_End">Settings!$D$38</definedName>
    <definedName name="ManagementUnit_ManagementUnit_1">Settings!$E$2</definedName>
    <definedName name="ManagementUnit_ManagementUnit_2">Settings!$F$2</definedName>
    <definedName name="ManagementUnit_Start">Settings!$D$2</definedName>
    <definedName name="ManagementUnit_Subsystem">Settings!$D$2</definedName>
    <definedName name="Performance_Evaluation">'Title Page'!$J$52</definedName>
    <definedName name="PG_Date">'Title Page'!$I$28</definedName>
    <definedName name="PG_Issue_Count">'Title Page'!$B$28</definedName>
    <definedName name="PG_Name" comment="V5.2 change to free area">'Title Page'!$I$9</definedName>
    <definedName name="PG_Review_Issue_Rate">'Title Page'!$F$28</definedName>
    <definedName name="PG_Reviewee">'Title Page'!$O$28</definedName>
    <definedName name="PG_Reviewer">'Title Page'!$L$28</definedName>
    <definedName name="PGID" comment="V5.2 change to process name">'Title Page'!$I$8</definedName>
    <definedName name="ＰＧ指摘件数">[1]表紙!$B$28</definedName>
    <definedName name="Phase_List_Range">'Code Table'!$C$2</definedName>
    <definedName name="_xlnm.Print_Area" localSheetId="3">'Basic Test (Online) 1'!$A$1:$CY$167</definedName>
    <definedName name="_xlnm.Print_Area" localSheetId="6">'Business Test 1'!$A$1:$CW$353</definedName>
    <definedName name="_xlnm.Print_Area" localSheetId="8">'Code Table'!$A$1:$L$30</definedName>
    <definedName name="_xlnm.Print_Area" localSheetId="11">Process!$A$1:$L$2</definedName>
    <definedName name="_xlnm.Print_Area" localSheetId="10">Settings!$A$1:$U$37</definedName>
    <definedName name="_xlnm.Print_Area" localSheetId="0">'Title Page'!$A$1:$AQ$103</definedName>
    <definedName name="_xlnm.Print_Titles" localSheetId="3">'Basic Test (Online) 1'!$1:$10</definedName>
    <definedName name="_xlnm.Print_Titles" localSheetId="6">'Business Test 1'!$1:$10</definedName>
    <definedName name="PRJ_Start_Date">'Code Table'!$A$2</definedName>
    <definedName name="Process_ID">'Title Page'!$I$8</definedName>
    <definedName name="Process_Name">'Title Page'!$I$9</definedName>
    <definedName name="Process_Range">Process!$J$3:$L$37</definedName>
    <definedName name="Processing_Time_1">'Title Page'!$D$53</definedName>
    <definedName name="Processing_Time_2">'Title Page'!$G$53</definedName>
    <definedName name="PS_Date">'Title Page'!$I$16</definedName>
    <definedName name="PS_Issue_Count">'Title Page'!$B$16</definedName>
    <definedName name="PS_Review_Issue_Rate">'Title Page'!$F$16</definedName>
    <definedName name="PS_Reviewee">'Title Page'!$O$16</definedName>
    <definedName name="PS_Reviewer">'Title Page'!$L$16</definedName>
    <definedName name="ＰＳ指摘件数">[1]表紙!$B$16</definedName>
    <definedName name="PT_Acceptance_1_Date">'Title Page'!$V$52</definedName>
    <definedName name="PT_Acceptance_1_Defect_Number">'Title Page'!$T$52</definedName>
    <definedName name="PT_Acceptance_1_PIC">'Title Page'!$Y$52</definedName>
    <definedName name="PT_Acceptance_1_Result">'Title Page'!$AA$52</definedName>
    <definedName name="PT_Acceptance_2_Date">'Title Page'!$AE$52</definedName>
    <definedName name="PT_Acceptance_2_Defect_Number">'Title Page'!$AC$52</definedName>
    <definedName name="PT_Acceptance_2_PIC">'Title Page'!$AH$52</definedName>
    <definedName name="PT_Acceptance_2_Result">'Title Page'!$AM$52</definedName>
    <definedName name="PT_Basic_By">'Title Page'!$H$35</definedName>
    <definedName name="PT_Basic_Date">'Title Page'!$H$35</definedName>
    <definedName name="PT_Basic_End_Date">'Title Page'!$E$35</definedName>
    <definedName name="PT_Basic_Start_Date">'Title Page'!$B$35</definedName>
    <definedName name="PT_Basic_Verified_By">'Title Page'!$N$35</definedName>
    <definedName name="PT_Basic_Verified_Date">'Title Page'!$K$35</definedName>
    <definedName name="PT_Business_Basic_By">'Title Page'!$H$40</definedName>
    <definedName name="PT_Business_End_Date">'Title Page'!$E$40</definedName>
    <definedName name="PT_Business_Start_Date">'Title Page'!$B$40</definedName>
    <definedName name="PT_Business_Verified_By">'Title Page'!$N$40</definedName>
    <definedName name="PT_Business_Verified_Date">'Title Page'!$K$40</definedName>
    <definedName name="PT_Evaluation">'Title Page'!$T$41</definedName>
    <definedName name="PT_Specification">'Title Page'!$B$3</definedName>
    <definedName name="PT_Specification_Date">'Title Page'!$I$22</definedName>
    <definedName name="PT_Specification_Issue_Count">'Title Page'!$B$22</definedName>
    <definedName name="PT_Specification_Review_Issue_Rate">'Title Page'!$F$22</definedName>
    <definedName name="PT_Specification_Reviewee">'Title Page'!$O$22</definedName>
    <definedName name="PT_Specification_Reviewer">'Title Page'!$L$22</definedName>
    <definedName name="PT_Specification_Type">'Title Page'!$O$3</definedName>
    <definedName name="PTC_Coverage">'Title Page'!$B$45</definedName>
    <definedName name="PTC_Less_Than_One">'Title Page'!$E$45</definedName>
    <definedName name="ＰＴ仕様書">[1]表紙!$B$3</definedName>
    <definedName name="ＰＴ仕様書指摘件数">[1]表紙!$B$22</definedName>
    <definedName name="Review_Type_List_Range">'Code Table'!#REF!</definedName>
    <definedName name="Subsystem">'Title Page'!$I$6</definedName>
    <definedName name="Subsystem_List">Process!$D$2</definedName>
    <definedName name="Team_list_Range">'Code Table'!$E$2</definedName>
    <definedName name="Test_Item_Report_End_Line" localSheetId="3">'Basic Test (Online) 1'!$A$167</definedName>
    <definedName name="Test_Item_Report_End_Line" localSheetId="6">'Business Test 1'!$A$353</definedName>
    <definedName name="Total_Cause_Phase_1">'Title Page'!$AM$22</definedName>
    <definedName name="Total_Cause_Phase_10">'Title Page'!$AM$31</definedName>
    <definedName name="Total_Cause_Phase_2">'Title Page'!$AM$23</definedName>
    <definedName name="Total_Cause_Phase_3">'Title Page'!$AM$24</definedName>
    <definedName name="Total_Cause_Phase_4">'Title Page'!$AM$25</definedName>
    <definedName name="Total_Cause_Phase_5">'Title Page'!$AM$26</definedName>
    <definedName name="Total_Cause_Phase_6">'Title Page'!$AM$27</definedName>
    <definedName name="Total_Cause_Phase_7">'Title Page'!$AM$28</definedName>
    <definedName name="Total_Cause_Phase_8">'Title Page'!$AM$29</definedName>
    <definedName name="Total_Cause_Phase_9">'Title Page'!$AM$30</definedName>
    <definedName name="Total_Cause_Type_1">'Title Page'!$AA$62</definedName>
    <definedName name="Total_Cause_Type_10">'Title Page'!$AA$71</definedName>
    <definedName name="Total_Cause_Type_11">'Title Page'!$AA$72</definedName>
    <definedName name="Total_Cause_Type_12">'Title Page'!$AA$73</definedName>
    <definedName name="Total_Cause_Type_13">'Title Page'!$AA$74</definedName>
    <definedName name="Total_Cause_Type_14">'Title Page'!$AA$75</definedName>
    <definedName name="Total_Cause_Type_15">'Title Page'!$AA$76</definedName>
    <definedName name="Total_Cause_Type_16">'Title Page'!$AA$77</definedName>
    <definedName name="Total_Cause_Type_17">'Title Page'!$AA$78</definedName>
    <definedName name="Total_Cause_Type_18">'Title Page'!$AA$79</definedName>
    <definedName name="Total_Cause_Type_19">'Title Page'!$AA$80</definedName>
    <definedName name="Total_Cause_Type_2">'Title Page'!$AA$63</definedName>
    <definedName name="Total_Cause_Type_20">'Title Page'!$AA$81</definedName>
    <definedName name="Total_Cause_Type_21">'Title Page'!$AA$82</definedName>
    <definedName name="Total_Cause_Type_22">'Title Page'!$AA$83</definedName>
    <definedName name="Total_Cause_Type_23">'Title Page'!$AA$84</definedName>
    <definedName name="Total_Cause_Type_24">'Title Page'!$AA$85</definedName>
    <definedName name="Total_Cause_Type_25">'Title Page'!$AA$86</definedName>
    <definedName name="Total_Cause_Type_26">'Title Page'!$AA$87</definedName>
    <definedName name="Total_Cause_Type_27">'Title Page'!$AA$88</definedName>
    <definedName name="Total_Cause_Type_28">'Title Page'!$AA$89</definedName>
    <definedName name="Total_Cause_Type_29">'Title Page'!$AA$90</definedName>
    <definedName name="Total_Cause_Type_3">'Title Page'!$AA$64</definedName>
    <definedName name="Total_Cause_Type_30">'Title Page'!$AA$91</definedName>
    <definedName name="Total_Cause_Type_31">'Title Page'!$AA$92</definedName>
    <definedName name="Total_Cause_Type_32">'Title Page'!$AA$93</definedName>
    <definedName name="Total_Cause_Type_33">'Title Page'!$AA$94</definedName>
    <definedName name="Total_Cause_Type_34">'Title Page'!$AA$95</definedName>
    <definedName name="Total_Cause_Type_35">'Title Page'!$AA$96</definedName>
    <definedName name="Total_Cause_Type_36">'Title Page'!$AA$97</definedName>
    <definedName name="Total_Cause_Type_37">'Title Page'!$AA$98</definedName>
    <definedName name="Total_Cause_Type_38">'Title Page'!$AA$99</definedName>
    <definedName name="Total_Cause_Type_39">'Title Page'!$AA$100</definedName>
    <definedName name="Total_Cause_Type_4">'Title Page'!$AA$65</definedName>
    <definedName name="Total_Cause_Type_40">'Title Page'!$AA$101</definedName>
    <definedName name="Total_Cause_Type_5">'Title Page'!$AA$66</definedName>
    <definedName name="Total_Cause_Type_6">'Title Page'!$AA$67</definedName>
    <definedName name="Total_Cause_Type_7">'Title Page'!$AA$68</definedName>
    <definedName name="Total_Cause_Type_8">'Title Page'!$AA$69</definedName>
    <definedName name="Total_Cause_Type_9">'Title Page'!$AA$70</definedName>
    <definedName name="Total_Defect_Number">'Title Page'!$AM$19</definedName>
    <definedName name="Total_Error_Rate">'Title Page'!$AM$20</definedName>
    <definedName name="Total_Test_Item_Number">'Title Page'!$AM$16</definedName>
    <definedName name="Total_Test_Item_Rate">'Title Page'!$AM$17</definedName>
    <definedName name="Version">'Version Information'!$C$4</definedName>
    <definedName name="サブシステム名">[1]表紙!$I$6</definedName>
    <definedName name="サブシステム名リスト">[1]プロセス!$D$2</definedName>
    <definedName name="プロセス範囲">[1]プロセス!$J$3:$L$4</definedName>
    <definedName name="会社名リスト範囲">[1]コード表!$G$2</definedName>
    <definedName name="開発規模">[1]表紙!$I$12</definedName>
    <definedName name="管理単位_管理単位１">[1]設定シート!$E$2</definedName>
    <definedName name="管理単位_管理単位２">[1]設定シート!$F$2</definedName>
    <definedName name="基本テスト項目数">[1]表紙!$AA$16</definedName>
    <definedName name="基本原因区分１">[1]表紙!$O$62</definedName>
    <definedName name="基本原因区分１０">[1]表紙!$O$71</definedName>
    <definedName name="基本原因区分１１">[1]表紙!$O$72</definedName>
    <definedName name="基本原因区分１２">[1]表紙!$O$73</definedName>
    <definedName name="基本原因区分１３">[1]表紙!$O$74</definedName>
    <definedName name="基本原因区分１４">[1]表紙!$O$75</definedName>
    <definedName name="基本原因区分１５">[1]表紙!$O$76</definedName>
    <definedName name="基本原因区分１６">[1]表紙!$O$77</definedName>
    <definedName name="基本原因区分１７">[1]表紙!$O$78</definedName>
    <definedName name="基本原因区分１８">[1]表紙!$O$79</definedName>
    <definedName name="基本原因区分１９">[1]表紙!$O$80</definedName>
    <definedName name="基本原因区分２">[1]表紙!$O$63</definedName>
    <definedName name="基本原因区分２０">[1]表紙!$O$81</definedName>
    <definedName name="基本原因区分２１">[1]表紙!$O$82</definedName>
    <definedName name="基本原因区分２２">[1]表紙!$O$83</definedName>
    <definedName name="基本原因区分２３">[1]表紙!$O$84</definedName>
    <definedName name="基本原因区分２４">[1]表紙!$O$85</definedName>
    <definedName name="基本原因区分２５">[1]表紙!$O$86</definedName>
    <definedName name="基本原因区分２６">[1]表紙!$O$87</definedName>
    <definedName name="基本原因区分２７">[1]表紙!$O$88</definedName>
    <definedName name="基本原因区分２８">[1]表紙!$O$89</definedName>
    <definedName name="基本原因区分２９">[1]表紙!$O$90</definedName>
    <definedName name="基本原因区分３">[1]表紙!$O$64</definedName>
    <definedName name="基本原因区分３０">[1]表紙!$O$91</definedName>
    <definedName name="基本原因区分３１">[1]表紙!$O$92</definedName>
    <definedName name="基本原因区分３２">[1]表紙!$O$93</definedName>
    <definedName name="基本原因区分３３">[1]表紙!$O$94</definedName>
    <definedName name="基本原因区分３４">[1]表紙!$O$95</definedName>
    <definedName name="基本原因区分３５">[1]表紙!$O$96</definedName>
    <definedName name="基本原因区分３６">[1]表紙!$O$97</definedName>
    <definedName name="基本原因区分３７">[1]表紙!$O$98</definedName>
    <definedName name="基本原因区分３８">[1]表紙!$O$99</definedName>
    <definedName name="基本原因区分３９">[1]表紙!$O$100</definedName>
    <definedName name="基本原因区分４">[1]表紙!$O$65</definedName>
    <definedName name="基本原因区分４０">[1]表紙!$O$101</definedName>
    <definedName name="基本原因区分５">[1]表紙!$O$66</definedName>
    <definedName name="基本原因区分６">[1]表紙!$O$67</definedName>
    <definedName name="基本原因区分７">[1]表紙!$O$68</definedName>
    <definedName name="基本原因区分８">[1]表紙!$O$69</definedName>
    <definedName name="基本原因区分９">[1]表紙!$O$70</definedName>
    <definedName name="基本原因工程１">[1]表紙!$AA$22</definedName>
    <definedName name="基本原因工程１０">[1]表紙!$AA$31</definedName>
    <definedName name="基本原因工程２">[1]表紙!$AA$23</definedName>
    <definedName name="基本原因工程３">[1]表紙!$AA$24</definedName>
    <definedName name="基本原因工程４">[1]表紙!$AA$25</definedName>
    <definedName name="基本原因工程５">[1]表紙!$AA$26</definedName>
    <definedName name="基本原因工程６">[1]表紙!$AA$27</definedName>
    <definedName name="基本原因工程７">[1]表紙!$AA$28</definedName>
    <definedName name="基本原因工程８">[1]表紙!$AA$29</definedName>
    <definedName name="基本原因工程９">[1]表紙!$AA$30</definedName>
    <definedName name="基本障害件数">[1]表紙!$AA$19</definedName>
    <definedName name="共通設定_規模">[1]【変更不可】共通設定!$B$1</definedName>
    <definedName name="業務テスト項目数">[1]表紙!$AG$16</definedName>
    <definedName name="業務プロセス範囲">[1]プロセス!$F$3:$H$4</definedName>
    <definedName name="業務プロセス名">[1]表紙!$I$7</definedName>
    <definedName name="業務原因区分１">[1]表紙!$U$62</definedName>
    <definedName name="業務原因区分１０">[1]表紙!$U$71</definedName>
    <definedName name="業務原因区分１１">[1]表紙!$U$72</definedName>
    <definedName name="業務原因区分１２">[1]表紙!$U$73</definedName>
    <definedName name="業務原因区分１３">[1]表紙!$U$74</definedName>
    <definedName name="業務原因区分１４">[1]表紙!$U$75</definedName>
    <definedName name="業務原因区分１５">[1]表紙!$U$76</definedName>
    <definedName name="業務原因区分１６">[1]表紙!$U$77</definedName>
    <definedName name="業務原因区分１７">[1]表紙!$U$78</definedName>
    <definedName name="業務原因区分１８">[1]表紙!$U$79</definedName>
    <definedName name="業務原因区分１９">[1]表紙!$U$80</definedName>
    <definedName name="業務原因区分２">[1]表紙!$U$63</definedName>
    <definedName name="業務原因区分２０">[1]表紙!$U$81</definedName>
    <definedName name="業務原因区分２１">[1]表紙!$U$82</definedName>
    <definedName name="業務原因区分２２">[1]表紙!$U$83</definedName>
    <definedName name="業務原因区分２３">[1]表紙!$U$84</definedName>
    <definedName name="業務原因区分２４">[1]表紙!$U$85</definedName>
    <definedName name="業務原因区分２５">[1]表紙!$U$86</definedName>
    <definedName name="業務原因区分２６">[1]表紙!$U$87</definedName>
    <definedName name="業務原因区分２７">[1]表紙!$U$88</definedName>
    <definedName name="業務原因区分２８">[1]表紙!$U$89</definedName>
    <definedName name="業務原因区分２９">[1]表紙!$U$90</definedName>
    <definedName name="業務原因区分３">[1]表紙!$U$64</definedName>
    <definedName name="業務原因区分３０">[1]表紙!$U$91</definedName>
    <definedName name="業務原因区分３１">[1]表紙!$U$92</definedName>
    <definedName name="業務原因区分３２">[1]表紙!$U$93</definedName>
    <definedName name="業務原因区分３３">[1]表紙!$U$94</definedName>
    <definedName name="業務原因区分３４">[1]表紙!$U$95</definedName>
    <definedName name="業務原因区分３５">[1]表紙!$U$96</definedName>
    <definedName name="業務原因区分３６">[1]表紙!$U$97</definedName>
    <definedName name="業務原因区分３７">[1]表紙!$U$98</definedName>
    <definedName name="業務原因区分３８">[1]表紙!$U$99</definedName>
    <definedName name="業務原因区分３９">[1]表紙!$U$100</definedName>
    <definedName name="業務原因区分４">[1]表紙!$U$65</definedName>
    <definedName name="業務原因区分４０">[1]表紙!$U$101</definedName>
    <definedName name="業務原因区分５">[1]表紙!$U$66</definedName>
    <definedName name="業務原因区分６">[1]表紙!$U$67</definedName>
    <definedName name="業務原因区分７">[1]表紙!$U$68</definedName>
    <definedName name="業務原因区分８">[1]表紙!$U$69</definedName>
    <definedName name="業務原因区分９">[1]表紙!$U$70</definedName>
    <definedName name="業務原因工程１">[1]表紙!$AG$22</definedName>
    <definedName name="業務原因工程１０">[1]表紙!$AG$31</definedName>
    <definedName name="業務原因工程２">[1]表紙!$AG$23</definedName>
    <definedName name="業務原因工程３">[1]表紙!$AG$24</definedName>
    <definedName name="業務原因工程４">[1]表紙!$AG$25</definedName>
    <definedName name="業務原因工程５">[1]表紙!$AG$26</definedName>
    <definedName name="業務原因工程６">[1]表紙!$AG$27</definedName>
    <definedName name="業務原因工程７">[1]表紙!$AG$28</definedName>
    <definedName name="業務原因工程８">[1]表紙!$AG$29</definedName>
    <definedName name="業務原因工程９">[1]表紙!$AG$30</definedName>
    <definedName name="業務障害件数">[1]表紙!$AG$19</definedName>
    <definedName name="原因区分名１">[1]表紙!$C$62</definedName>
    <definedName name="原因区分名１０">[1]表紙!$C$71</definedName>
    <definedName name="原因区分名１１">[1]表紙!$C$72</definedName>
    <definedName name="原因区分名１２">[1]表紙!$C$73</definedName>
    <definedName name="原因区分名１３">[1]表紙!$C$74</definedName>
    <definedName name="原因区分名１４">[1]表紙!$C$75</definedName>
    <definedName name="原因区分名１５">[1]表紙!$C$76</definedName>
    <definedName name="原因区分名１６">[1]表紙!$C$77</definedName>
    <definedName name="原因区分名１７">[1]表紙!$C$78</definedName>
    <definedName name="原因区分名１８">[1]表紙!$C$79</definedName>
    <definedName name="原因区分名１９">[1]表紙!$C$80</definedName>
    <definedName name="原因区分名２">[1]表紙!$C$63</definedName>
    <definedName name="原因区分名２０">[1]表紙!$C$81</definedName>
    <definedName name="原因区分名２１">[1]表紙!$C$82</definedName>
    <definedName name="原因区分名２２">[1]表紙!$C$83</definedName>
    <definedName name="原因区分名２３">[1]表紙!$C$84</definedName>
    <definedName name="原因区分名２４">[1]表紙!$C$85</definedName>
    <definedName name="原因区分名２５">[1]表紙!$C$86</definedName>
    <definedName name="原因区分名２６">[1]表紙!$C$87</definedName>
    <definedName name="原因区分名２７">[1]表紙!$C$88</definedName>
    <definedName name="原因区分名２８">[1]表紙!$C$89</definedName>
    <definedName name="原因区分名２９">[1]表紙!$C$90</definedName>
    <definedName name="原因区分名３">[1]表紙!$C$64</definedName>
    <definedName name="原因区分名３０">[1]表紙!$C$91</definedName>
    <definedName name="原因区分名３１">[1]表紙!$C$92</definedName>
    <definedName name="原因区分名３２">[1]表紙!$C$93</definedName>
    <definedName name="原因区分名３３">[1]表紙!$C$94</definedName>
    <definedName name="原因区分名３４">[1]表紙!$C$95</definedName>
    <definedName name="原因区分名３５">[1]表紙!$C$96</definedName>
    <definedName name="原因区分名３６">[1]表紙!$C$97</definedName>
    <definedName name="原因区分名３７">[1]表紙!$C$98</definedName>
    <definedName name="原因区分名３８">[1]表紙!$C$99</definedName>
    <definedName name="原因区分名３９">[1]表紙!$C$100</definedName>
    <definedName name="原因区分名４">[1]表紙!$C$65</definedName>
    <definedName name="原因区分名４０">[1]表紙!$C$101</definedName>
    <definedName name="原因区分名５">[1]表紙!$C$66</definedName>
    <definedName name="原因区分名６">[1]表紙!$C$67</definedName>
    <definedName name="原因区分名７">[1]表紙!$C$68</definedName>
    <definedName name="原因区分名８">[1]表紙!$C$69</definedName>
    <definedName name="原因区分名９">[1]表紙!$C$70</definedName>
    <definedName name="原因工程名１">[1]表紙!$U$22</definedName>
    <definedName name="原因工程名１０">[1]表紙!$U$31</definedName>
    <definedName name="原因工程名２">[1]表紙!$U$23</definedName>
    <definedName name="原因工程名３">[1]表紙!$U$24</definedName>
    <definedName name="原因工程名４">[1]表紙!$U$25</definedName>
    <definedName name="原因工程名５">[1]表紙!$U$26</definedName>
    <definedName name="原因工程名６">[1]表紙!$U$27</definedName>
    <definedName name="原因工程名７">[1]表紙!$U$28</definedName>
    <definedName name="原因工程名８">[1]表紙!$U$29</definedName>
    <definedName name="原因工程名９">[1]表紙!$U$30</definedName>
    <definedName name="工程リスト範囲">[1]コード表!$C$2</definedName>
    <definedName name="合計テスト項目数">[1]表紙!$AM$16</definedName>
    <definedName name="合計障害件数">[1]表紙!$AM$19</definedName>
    <definedName name="担当者名リスト範囲">[1]コード表!$I$2</definedName>
  </definedNames>
  <calcPr calcId="145621"/>
</workbook>
</file>

<file path=xl/calcChain.xml><?xml version="1.0" encoding="utf-8"?>
<calcChain xmlns="http://schemas.openxmlformats.org/spreadsheetml/2006/main">
  <c r="C130" i="179" l="1"/>
  <c r="C129" i="179"/>
  <c r="C128" i="179"/>
  <c r="C127" i="179"/>
  <c r="C126" i="179"/>
  <c r="C125" i="179"/>
  <c r="C124" i="179"/>
  <c r="C123" i="179"/>
  <c r="C122" i="179"/>
  <c r="C121" i="179"/>
  <c r="C120" i="179"/>
  <c r="C119" i="179"/>
  <c r="C118" i="179"/>
  <c r="C117" i="179"/>
  <c r="C116" i="179"/>
  <c r="C115" i="179"/>
  <c r="C114" i="179"/>
  <c r="C113" i="179"/>
  <c r="C112" i="179"/>
  <c r="C111" i="179"/>
  <c r="C110" i="179"/>
  <c r="C109" i="179"/>
  <c r="C108" i="179"/>
  <c r="C107" i="179"/>
  <c r="C106" i="179"/>
  <c r="C105" i="179"/>
  <c r="C104" i="179"/>
  <c r="C103" i="179"/>
  <c r="C102" i="179"/>
  <c r="C101" i="179"/>
  <c r="C100" i="179"/>
  <c r="C99" i="179"/>
  <c r="C98" i="179"/>
  <c r="C97" i="179"/>
  <c r="C96" i="179"/>
  <c r="C95" i="179"/>
  <c r="C94" i="179"/>
  <c r="C93" i="179"/>
  <c r="C92" i="179"/>
  <c r="C91" i="179"/>
  <c r="C90" i="179"/>
  <c r="C89" i="179"/>
  <c r="C88" i="179"/>
  <c r="C87" i="179"/>
  <c r="C86" i="179"/>
  <c r="C85" i="179"/>
  <c r="C84" i="179"/>
  <c r="C83" i="179"/>
  <c r="C82" i="179"/>
  <c r="C81" i="179"/>
  <c r="C80" i="179"/>
  <c r="C79" i="179"/>
  <c r="C78" i="179"/>
  <c r="C77" i="179"/>
  <c r="C76" i="179"/>
  <c r="C75" i="179"/>
  <c r="C74" i="179"/>
  <c r="C73" i="179"/>
  <c r="C72" i="179"/>
  <c r="C71" i="179"/>
  <c r="C70" i="179"/>
  <c r="C69" i="179"/>
  <c r="C68" i="179"/>
  <c r="C67" i="179"/>
  <c r="C66" i="179"/>
  <c r="C65" i="179"/>
  <c r="C64" i="179"/>
  <c r="C63" i="179"/>
  <c r="C62" i="179"/>
  <c r="C61" i="179"/>
  <c r="C60" i="179"/>
  <c r="C59" i="179"/>
  <c r="C148" i="179"/>
  <c r="C147" i="179"/>
  <c r="C146" i="179"/>
  <c r="C145" i="179"/>
  <c r="C144" i="179"/>
  <c r="C143" i="179"/>
  <c r="C142" i="179"/>
  <c r="C141" i="179"/>
  <c r="C140" i="179"/>
  <c r="C139" i="179"/>
  <c r="C138" i="179"/>
  <c r="C137" i="179"/>
  <c r="C136" i="179"/>
  <c r="C135" i="179"/>
  <c r="C134" i="179"/>
  <c r="C133" i="179"/>
  <c r="C132" i="179"/>
  <c r="C131" i="179"/>
  <c r="C58" i="179"/>
  <c r="C57" i="179"/>
  <c r="C56" i="179"/>
  <c r="C55" i="179"/>
  <c r="C54" i="179"/>
  <c r="C53" i="179"/>
  <c r="C52" i="179"/>
  <c r="C51" i="179"/>
  <c r="C50" i="179"/>
  <c r="C49" i="179"/>
  <c r="C48" i="179"/>
  <c r="C47" i="179"/>
  <c r="C46" i="179"/>
  <c r="C45" i="179"/>
  <c r="C44" i="179"/>
  <c r="C43" i="179"/>
  <c r="C42" i="179"/>
  <c r="C41" i="179"/>
  <c r="C52" i="12" l="1"/>
  <c r="C51" i="12"/>
  <c r="C50" i="12"/>
  <c r="C49" i="12"/>
  <c r="C48" i="12"/>
  <c r="C47" i="12"/>
  <c r="C40" i="12"/>
  <c r="C39" i="12"/>
  <c r="C34" i="12"/>
  <c r="C33" i="12"/>
  <c r="C21" i="12"/>
  <c r="C130" i="12" l="1"/>
  <c r="C129" i="12"/>
  <c r="C128" i="12"/>
  <c r="C127" i="12"/>
  <c r="C126" i="12"/>
  <c r="C125" i="12"/>
  <c r="C124" i="12"/>
  <c r="C123" i="12"/>
  <c r="C122" i="12"/>
  <c r="C121" i="12"/>
  <c r="C120" i="12"/>
  <c r="C119" i="12"/>
  <c r="C352" i="12" l="1"/>
  <c r="C351" i="12"/>
  <c r="C350" i="12"/>
  <c r="C349" i="12"/>
  <c r="C348" i="12"/>
  <c r="C347" i="12"/>
  <c r="C346" i="12"/>
  <c r="C345" i="12"/>
  <c r="C344" i="12"/>
  <c r="C343" i="12"/>
  <c r="C342" i="12"/>
  <c r="C341" i="12"/>
  <c r="C340" i="12"/>
  <c r="C339" i="12"/>
  <c r="C338" i="12"/>
  <c r="C337" i="12"/>
  <c r="C336" i="12"/>
  <c r="C335" i="12"/>
  <c r="C334" i="12"/>
  <c r="C333" i="12"/>
  <c r="C332" i="12"/>
  <c r="C331" i="12"/>
  <c r="C330" i="12"/>
  <c r="C329" i="12"/>
  <c r="C328" i="12"/>
  <c r="C327" i="12"/>
  <c r="C326" i="12"/>
  <c r="C325" i="12"/>
  <c r="C324" i="12"/>
  <c r="C323" i="12"/>
  <c r="C322" i="12"/>
  <c r="C321" i="12"/>
  <c r="C320" i="12"/>
  <c r="C319" i="12"/>
  <c r="C318" i="12"/>
  <c r="C317" i="12"/>
  <c r="C316" i="12"/>
  <c r="C315" i="12"/>
  <c r="C314" i="12"/>
  <c r="C313" i="12"/>
  <c r="C312" i="12"/>
  <c r="C311" i="12"/>
  <c r="C310" i="12"/>
  <c r="C309" i="12"/>
  <c r="C308" i="12"/>
  <c r="C307" i="12"/>
  <c r="C306" i="12"/>
  <c r="C305" i="12"/>
  <c r="C304" i="12"/>
  <c r="C303" i="12"/>
  <c r="C302" i="12"/>
  <c r="C301" i="12"/>
  <c r="C300" i="12"/>
  <c r="C299" i="12"/>
  <c r="C298" i="12"/>
  <c r="C297" i="12"/>
  <c r="C296" i="12"/>
  <c r="C295" i="12"/>
  <c r="C294" i="12"/>
  <c r="C293" i="12"/>
  <c r="C292" i="12"/>
  <c r="C291" i="12"/>
  <c r="C290" i="12"/>
  <c r="C289" i="12"/>
  <c r="C288" i="12"/>
  <c r="C287" i="12"/>
  <c r="C286" i="12"/>
  <c r="C285" i="12"/>
  <c r="C284" i="12"/>
  <c r="C283" i="12"/>
  <c r="C282" i="12"/>
  <c r="C281" i="12"/>
  <c r="C280" i="12"/>
  <c r="C279" i="12"/>
  <c r="C278" i="12"/>
  <c r="C277" i="12"/>
  <c r="C276" i="12"/>
  <c r="C275" i="12"/>
  <c r="C274" i="12"/>
  <c r="C273" i="12"/>
  <c r="C272" i="12"/>
  <c r="C271" i="12"/>
  <c r="C270" i="12"/>
  <c r="C269" i="12"/>
  <c r="C268" i="12"/>
  <c r="C267" i="12"/>
  <c r="C266" i="12"/>
  <c r="C265" i="12"/>
  <c r="C264" i="12"/>
  <c r="C263" i="12"/>
  <c r="C262" i="12"/>
  <c r="C261" i="12"/>
  <c r="C260" i="12"/>
  <c r="C259" i="12"/>
  <c r="C258" i="12"/>
  <c r="C257" i="12"/>
  <c r="C256" i="12"/>
  <c r="C255" i="12"/>
  <c r="C254" i="12"/>
  <c r="C253" i="12"/>
  <c r="C252" i="12"/>
  <c r="C251" i="12"/>
  <c r="C250" i="12"/>
  <c r="C249" i="12"/>
  <c r="C248" i="12"/>
  <c r="C247" i="12"/>
  <c r="C246" i="12"/>
  <c r="C245" i="12"/>
  <c r="C244" i="12"/>
  <c r="C243" i="12"/>
  <c r="C242" i="12"/>
  <c r="C241" i="12"/>
  <c r="C240" i="12"/>
  <c r="C239" i="12"/>
  <c r="C238" i="12"/>
  <c r="C237" i="12"/>
  <c r="C236" i="12"/>
  <c r="C235" i="12"/>
  <c r="C234" i="12"/>
  <c r="C233" i="12"/>
  <c r="C232" i="12"/>
  <c r="C231" i="12"/>
  <c r="C230" i="12"/>
  <c r="C229" i="12"/>
  <c r="C228" i="12"/>
  <c r="C227" i="12"/>
  <c r="C226" i="12"/>
  <c r="C225" i="12"/>
  <c r="C224" i="12"/>
  <c r="C223" i="12"/>
  <c r="C222" i="12"/>
  <c r="C221" i="12"/>
  <c r="C220" i="12"/>
  <c r="C219" i="12"/>
  <c r="C218" i="12"/>
  <c r="C217" i="12"/>
  <c r="C216" i="12"/>
  <c r="C215" i="12"/>
  <c r="C214" i="12"/>
  <c r="C213" i="12"/>
  <c r="C212" i="12"/>
  <c r="C211" i="12"/>
  <c r="C210" i="12"/>
  <c r="C209" i="12"/>
  <c r="C208" i="12"/>
  <c r="C207" i="12"/>
  <c r="C206" i="12"/>
  <c r="C205" i="12"/>
  <c r="C204" i="12"/>
  <c r="C203" i="12"/>
  <c r="C64" i="12"/>
  <c r="C63" i="12"/>
  <c r="C62" i="12"/>
  <c r="C61" i="12"/>
  <c r="C60" i="12"/>
  <c r="C59" i="12"/>
  <c r="C58" i="12"/>
  <c r="C57" i="12"/>
  <c r="C56" i="12"/>
  <c r="C55" i="12"/>
  <c r="C54" i="12"/>
  <c r="C53" i="12"/>
  <c r="C46" i="12"/>
  <c r="C45" i="12"/>
  <c r="C44" i="12"/>
  <c r="C43" i="12"/>
  <c r="C42" i="12"/>
  <c r="C41" i="12"/>
  <c r="C38" i="12"/>
  <c r="C37" i="12"/>
  <c r="C36" i="12"/>
  <c r="C35" i="12"/>
  <c r="C32" i="12"/>
  <c r="C31" i="12"/>
  <c r="C30" i="12"/>
  <c r="C29" i="12"/>
  <c r="C202" i="12"/>
  <c r="C201" i="12"/>
  <c r="C200" i="12"/>
  <c r="C199" i="12"/>
  <c r="C198" i="12"/>
  <c r="C197" i="12"/>
  <c r="C196" i="12"/>
  <c r="C195" i="12"/>
  <c r="C194" i="12"/>
  <c r="C193" i="12"/>
  <c r="C192" i="12"/>
  <c r="C191" i="12"/>
  <c r="C190" i="12"/>
  <c r="C189" i="12"/>
  <c r="C188" i="12"/>
  <c r="C187" i="12"/>
  <c r="C186" i="12"/>
  <c r="C185" i="12"/>
  <c r="C184" i="12"/>
  <c r="C183" i="12"/>
  <c r="C182" i="12"/>
  <c r="C181" i="12"/>
  <c r="C180" i="12"/>
  <c r="C179" i="12"/>
  <c r="C76" i="12"/>
  <c r="C75" i="12"/>
  <c r="C74" i="12"/>
  <c r="C73" i="12"/>
  <c r="C72" i="12"/>
  <c r="C71" i="12"/>
  <c r="C178" i="12"/>
  <c r="C177" i="12"/>
  <c r="C176" i="12"/>
  <c r="C175" i="12"/>
  <c r="C174" i="12"/>
  <c r="C173" i="12"/>
  <c r="C172" i="12"/>
  <c r="C171" i="12"/>
  <c r="C170" i="12"/>
  <c r="C169" i="12"/>
  <c r="C168" i="12"/>
  <c r="C167" i="12"/>
  <c r="C166" i="12"/>
  <c r="C165" i="12"/>
  <c r="C164" i="12"/>
  <c r="C163" i="12"/>
  <c r="C162" i="12"/>
  <c r="C161" i="12"/>
  <c r="C160" i="12"/>
  <c r="C159" i="12"/>
  <c r="C158" i="12"/>
  <c r="C157" i="12"/>
  <c r="C156" i="12"/>
  <c r="C155" i="12"/>
  <c r="AZ2" i="179" l="1"/>
  <c r="AX2" i="12" l="1"/>
  <c r="AP2" i="179"/>
  <c r="J2" i="98" l="1"/>
  <c r="L2" i="98"/>
  <c r="AA101" i="37" l="1"/>
  <c r="AA100" i="37"/>
  <c r="AA99" i="37"/>
  <c r="AA98" i="37"/>
  <c r="AA97" i="37"/>
  <c r="AA96" i="37"/>
  <c r="AA95" i="37"/>
  <c r="AA94" i="37"/>
  <c r="AA93" i="37"/>
  <c r="AA92" i="37"/>
  <c r="AA91" i="37"/>
  <c r="AA90" i="37"/>
  <c r="AA89" i="37"/>
  <c r="AA88" i="37"/>
  <c r="AA87" i="37"/>
  <c r="AA86" i="37"/>
  <c r="U101" i="37"/>
  <c r="U100" i="37"/>
  <c r="U99" i="37"/>
  <c r="U98" i="37"/>
  <c r="U97" i="37"/>
  <c r="U96" i="37"/>
  <c r="U95" i="37"/>
  <c r="U94" i="37"/>
  <c r="U93" i="37"/>
  <c r="U92" i="37"/>
  <c r="U91" i="37"/>
  <c r="U90" i="37"/>
  <c r="U89" i="37"/>
  <c r="U88" i="37"/>
  <c r="U87" i="37"/>
  <c r="U86" i="37"/>
  <c r="O86" i="37"/>
  <c r="C112" i="12"/>
  <c r="C111" i="12"/>
  <c r="C110" i="12"/>
  <c r="C109" i="12"/>
  <c r="C108" i="12"/>
  <c r="C107" i="12"/>
  <c r="C94" i="12"/>
  <c r="C93" i="12"/>
  <c r="C92" i="12"/>
  <c r="C91" i="12"/>
  <c r="C90" i="12"/>
  <c r="C89" i="12"/>
  <c r="C88" i="12"/>
  <c r="C87" i="12"/>
  <c r="C86" i="12"/>
  <c r="C85" i="12"/>
  <c r="C84" i="12"/>
  <c r="C83" i="12"/>
  <c r="C82" i="12"/>
  <c r="C81" i="12"/>
  <c r="C80" i="12"/>
  <c r="C79" i="12"/>
  <c r="C78" i="12"/>
  <c r="C77" i="12"/>
  <c r="C106" i="12"/>
  <c r="C105" i="12"/>
  <c r="C104" i="12"/>
  <c r="C103" i="12"/>
  <c r="C102" i="12"/>
  <c r="C101" i="12"/>
  <c r="C100" i="12"/>
  <c r="C99" i="12"/>
  <c r="C98" i="12"/>
  <c r="C97" i="12"/>
  <c r="C96" i="12"/>
  <c r="C95" i="12"/>
  <c r="C154" i="12"/>
  <c r="C153" i="12"/>
  <c r="C152" i="12"/>
  <c r="C151" i="12"/>
  <c r="C150" i="12"/>
  <c r="C149" i="12"/>
  <c r="C148" i="12"/>
  <c r="C147" i="12"/>
  <c r="C146" i="12"/>
  <c r="C145" i="12"/>
  <c r="C144" i="12"/>
  <c r="C143" i="12"/>
  <c r="C142" i="12"/>
  <c r="C141" i="12"/>
  <c r="C140" i="12"/>
  <c r="C139" i="12"/>
  <c r="C138" i="12"/>
  <c r="C137" i="12"/>
  <c r="C136" i="12"/>
  <c r="C135" i="12"/>
  <c r="C134" i="12"/>
  <c r="C133" i="12"/>
  <c r="C132" i="12"/>
  <c r="C131" i="12"/>
  <c r="C118" i="12"/>
  <c r="C117" i="12"/>
  <c r="C116" i="12"/>
  <c r="C115" i="12"/>
  <c r="C114" i="12"/>
  <c r="C113" i="12"/>
  <c r="C70" i="12"/>
  <c r="C69" i="12"/>
  <c r="C68" i="12"/>
  <c r="C67" i="12"/>
  <c r="C66" i="12"/>
  <c r="C65" i="12"/>
  <c r="C27" i="12"/>
  <c r="C26" i="12"/>
  <c r="C25" i="12"/>
  <c r="C24" i="12"/>
  <c r="C23" i="12"/>
  <c r="C22" i="12"/>
  <c r="C20" i="12"/>
  <c r="C19" i="12"/>
  <c r="C18" i="12"/>
  <c r="C17" i="12"/>
  <c r="C16" i="12"/>
  <c r="C15" i="12"/>
  <c r="C14" i="12"/>
  <c r="C13" i="12"/>
  <c r="C12" i="12"/>
  <c r="C11" i="12"/>
  <c r="C31" i="179"/>
  <c r="C32" i="179"/>
  <c r="C33" i="179"/>
  <c r="C34" i="179"/>
  <c r="C35" i="179"/>
  <c r="C36" i="179"/>
  <c r="C37" i="179"/>
  <c r="C38" i="179"/>
  <c r="C39" i="179"/>
  <c r="C40" i="179"/>
  <c r="C149" i="179"/>
  <c r="C150" i="179"/>
  <c r="C151" i="179"/>
  <c r="C152" i="179"/>
  <c r="C153" i="179"/>
  <c r="C154" i="179"/>
  <c r="C155" i="179"/>
  <c r="C156" i="179"/>
  <c r="C157" i="179"/>
  <c r="C158" i="179"/>
  <c r="C159" i="179"/>
  <c r="C160" i="179"/>
  <c r="C161" i="179"/>
  <c r="C162" i="179"/>
  <c r="C163" i="179"/>
  <c r="C164" i="179"/>
  <c r="C165" i="179"/>
  <c r="C166" i="179"/>
  <c r="C12" i="179"/>
  <c r="C13" i="179"/>
  <c r="C14" i="179"/>
  <c r="C15" i="179"/>
  <c r="C16" i="179"/>
  <c r="C17" i="179"/>
  <c r="C18" i="179"/>
  <c r="C19" i="179"/>
  <c r="C20" i="179"/>
  <c r="C21" i="179"/>
  <c r="C22" i="179"/>
  <c r="C23" i="179"/>
  <c r="C24" i="179"/>
  <c r="C25" i="179"/>
  <c r="C26" i="179"/>
  <c r="C27" i="179"/>
  <c r="C28" i="179"/>
  <c r="C29" i="179"/>
  <c r="C30" i="179"/>
  <c r="C11" i="179"/>
  <c r="O101" i="37"/>
  <c r="O100" i="37"/>
  <c r="O99" i="37"/>
  <c r="O98" i="37"/>
  <c r="O97" i="37"/>
  <c r="O96" i="37"/>
  <c r="O95" i="37"/>
  <c r="O94" i="37"/>
  <c r="O93" i="37"/>
  <c r="O92" i="37"/>
  <c r="O91" i="37"/>
  <c r="O90" i="37"/>
  <c r="O89" i="37"/>
  <c r="O88" i="37"/>
  <c r="O87" i="37"/>
  <c r="EO9" i="12"/>
  <c r="EO10" i="12" s="1"/>
  <c r="EN9" i="12"/>
  <c r="EN10" i="12" s="1"/>
  <c r="EM9" i="12"/>
  <c r="EM10" i="12" s="1"/>
  <c r="EL9" i="12"/>
  <c r="EL10" i="12" s="1"/>
  <c r="EK9" i="12"/>
  <c r="EK10" i="12" s="1"/>
  <c r="EJ9" i="12"/>
  <c r="EJ10" i="12" s="1"/>
  <c r="EI9" i="12"/>
  <c r="EI10" i="12" s="1"/>
  <c r="EH9" i="12"/>
  <c r="EH10" i="12" s="1"/>
  <c r="EG9" i="12"/>
  <c r="EG10" i="12" s="1"/>
  <c r="EF9" i="12"/>
  <c r="EF10" i="12" s="1"/>
  <c r="EE9" i="12"/>
  <c r="EE10" i="12" s="1"/>
  <c r="ED9" i="12"/>
  <c r="ED10" i="12" s="1"/>
  <c r="EC9" i="12"/>
  <c r="EC10" i="12" s="1"/>
  <c r="EB9" i="12"/>
  <c r="EB10" i="12" s="1"/>
  <c r="EA9" i="12"/>
  <c r="EA10" i="12" s="1"/>
  <c r="DZ9" i="12"/>
  <c r="DZ10" i="12" s="1"/>
  <c r="DY9" i="12"/>
  <c r="DX9" i="12"/>
  <c r="DW9" i="12"/>
  <c r="DV9" i="12"/>
  <c r="DU9" i="12"/>
  <c r="DT9" i="12"/>
  <c r="DS9" i="12"/>
  <c r="DR9" i="12"/>
  <c r="DQ9" i="12"/>
  <c r="DP9" i="12"/>
  <c r="DO9" i="12"/>
  <c r="DN9" i="12"/>
  <c r="DM9" i="12"/>
  <c r="DL9" i="12"/>
  <c r="DK9" i="12"/>
  <c r="DJ9" i="12"/>
  <c r="DI9" i="12"/>
  <c r="DH9" i="12"/>
  <c r="DG9" i="12"/>
  <c r="DF9" i="12"/>
  <c r="DE9" i="12"/>
  <c r="DD9" i="12"/>
  <c r="DC9" i="12"/>
  <c r="DB9" i="12"/>
  <c r="EQ9" i="179"/>
  <c r="EQ10" i="179" s="1"/>
  <c r="EP9" i="179"/>
  <c r="EP10" i="179" s="1"/>
  <c r="EO9" i="179"/>
  <c r="EO10" i="179" s="1"/>
  <c r="EN9" i="179"/>
  <c r="EN10" i="179" s="1"/>
  <c r="EM9" i="179"/>
  <c r="EM10" i="179" s="1"/>
  <c r="EL9" i="179"/>
  <c r="EL10" i="179" s="1"/>
  <c r="EK9" i="179"/>
  <c r="EK10" i="179" s="1"/>
  <c r="EJ9" i="179"/>
  <c r="EJ10" i="179" s="1"/>
  <c r="EI9" i="179"/>
  <c r="EI10" i="179" s="1"/>
  <c r="EH9" i="179"/>
  <c r="EH10" i="179" s="1"/>
  <c r="EG9" i="179"/>
  <c r="EG10" i="179" s="1"/>
  <c r="EF9" i="179"/>
  <c r="EF10" i="179" s="1"/>
  <c r="EE9" i="179"/>
  <c r="EE10" i="179" s="1"/>
  <c r="ED9" i="179"/>
  <c r="ED10" i="179" s="1"/>
  <c r="EC9" i="179"/>
  <c r="EC10" i="179" s="1"/>
  <c r="EB9" i="179"/>
  <c r="EB10" i="179" s="1"/>
  <c r="EA9" i="179"/>
  <c r="DZ9" i="179"/>
  <c r="DY9" i="179"/>
  <c r="DX9" i="179"/>
  <c r="DW9" i="179"/>
  <c r="DV9" i="179"/>
  <c r="DU9" i="179"/>
  <c r="DT9" i="179"/>
  <c r="DS9" i="179"/>
  <c r="DR9" i="179"/>
  <c r="DQ9" i="179"/>
  <c r="DP9" i="179"/>
  <c r="DO9" i="179"/>
  <c r="DN9" i="179"/>
  <c r="DM9" i="179"/>
  <c r="DL9" i="179"/>
  <c r="DK9" i="179"/>
  <c r="DJ9" i="179"/>
  <c r="DI9" i="179"/>
  <c r="DH9" i="179"/>
  <c r="DG9" i="179"/>
  <c r="DF9" i="179"/>
  <c r="DK10" i="12"/>
  <c r="DU10" i="179"/>
  <c r="DW10" i="179"/>
  <c r="DF10" i="12"/>
  <c r="DZ10" i="179"/>
  <c r="DT10" i="179"/>
  <c r="DH10" i="12"/>
  <c r="DM10" i="12"/>
  <c r="DQ10" i="12"/>
  <c r="DG10" i="179"/>
  <c r="DS10" i="12"/>
  <c r="DJ10" i="12"/>
  <c r="DR10" i="179"/>
  <c r="U22" i="37"/>
  <c r="DR10" i="12"/>
  <c r="CV6" i="12"/>
  <c r="DX10" i="179"/>
  <c r="DY10" i="12"/>
  <c r="DM10" i="179"/>
  <c r="DS10" i="179"/>
  <c r="DF10" i="179"/>
  <c r="DV10" i="179"/>
  <c r="DU10" i="12"/>
  <c r="DP10" i="12"/>
  <c r="DN10" i="179"/>
  <c r="DP10" i="179"/>
  <c r="DO10" i="179"/>
  <c r="DL10" i="179"/>
  <c r="DG10" i="12"/>
  <c r="DW10" i="12"/>
  <c r="DI10" i="12"/>
  <c r="EA10" i="179"/>
  <c r="DB10" i="12"/>
  <c r="DY10" i="179"/>
  <c r="DC10" i="12"/>
  <c r="DH10" i="179"/>
  <c r="DJ10" i="179"/>
  <c r="DO10" i="12"/>
  <c r="DQ10" i="179"/>
  <c r="DV10" i="12"/>
  <c r="CX6" i="179"/>
  <c r="DL10" i="12"/>
  <c r="DK10" i="179"/>
  <c r="DN10" i="12"/>
  <c r="DI10" i="179"/>
  <c r="DT10" i="12"/>
  <c r="DE10" i="12"/>
  <c r="DD10" i="12"/>
  <c r="DX10" i="12"/>
  <c r="O85" i="37" l="1"/>
  <c r="U85" i="37"/>
  <c r="O82" i="37"/>
  <c r="U82" i="37"/>
  <c r="O83" i="37"/>
  <c r="U83" i="37"/>
  <c r="O84" i="37"/>
  <c r="U84" i="37"/>
  <c r="U81" i="37"/>
  <c r="U80" i="37"/>
  <c r="U79" i="37"/>
  <c r="U78" i="37"/>
  <c r="U77" i="37"/>
  <c r="U76" i="37"/>
  <c r="U75" i="37"/>
  <c r="U74" i="37"/>
  <c r="U73" i="37"/>
  <c r="U72" i="37"/>
  <c r="U71" i="37"/>
  <c r="U70" i="37"/>
  <c r="U69" i="37"/>
  <c r="U68" i="37"/>
  <c r="U67" i="37"/>
  <c r="U66" i="37"/>
  <c r="U65" i="37"/>
  <c r="U64" i="37"/>
  <c r="U63" i="37"/>
  <c r="U62" i="37"/>
  <c r="O81" i="37"/>
  <c r="O80" i="37"/>
  <c r="O79" i="37"/>
  <c r="O78" i="37"/>
  <c r="O77" i="37"/>
  <c r="O76" i="37"/>
  <c r="O75" i="37"/>
  <c r="O74" i="37"/>
  <c r="O73" i="37"/>
  <c r="O72" i="37"/>
  <c r="O71" i="37"/>
  <c r="O70" i="37"/>
  <c r="O69" i="37"/>
  <c r="O68" i="37"/>
  <c r="O67" i="37"/>
  <c r="O66" i="37"/>
  <c r="O65" i="37"/>
  <c r="O64" i="37"/>
  <c r="DE9" i="179"/>
  <c r="DD9" i="179"/>
  <c r="DE10" i="179"/>
  <c r="U28" i="37"/>
  <c r="U25" i="37"/>
  <c r="U26" i="37"/>
  <c r="U24" i="37"/>
  <c r="U31" i="37"/>
  <c r="DD10" i="179"/>
  <c r="U27" i="37"/>
  <c r="U23" i="37"/>
  <c r="U30" i="37"/>
  <c r="U29" i="37"/>
  <c r="AA68" i="37" l="1"/>
  <c r="AA71" i="37"/>
  <c r="AA72" i="37"/>
  <c r="O62" i="37"/>
  <c r="AA83" i="37"/>
  <c r="AA85" i="37"/>
  <c r="AA82" i="37"/>
  <c r="AA84" i="37"/>
  <c r="AA75" i="37"/>
  <c r="AA67" i="37"/>
  <c r="AA69" i="37"/>
  <c r="AA73" i="37"/>
  <c r="AA76" i="37"/>
  <c r="AA70" i="37"/>
  <c r="AA78" i="37"/>
  <c r="AA79" i="37"/>
  <c r="AA77" i="37"/>
  <c r="AA81" i="37"/>
  <c r="AA80" i="37"/>
  <c r="AA74" i="37"/>
  <c r="AA66" i="37"/>
  <c r="AA65" i="37"/>
  <c r="AA64" i="37"/>
  <c r="O63" i="37"/>
  <c r="AA63" i="37" s="1"/>
  <c r="ER9" i="12"/>
  <c r="ES9" i="12"/>
  <c r="ET9" i="12"/>
  <c r="EU9" i="12"/>
  <c r="EV9" i="12"/>
  <c r="EW9" i="12"/>
  <c r="EX9" i="12"/>
  <c r="EY9" i="12"/>
  <c r="EZ9" i="12"/>
  <c r="FA9" i="12"/>
  <c r="FC9" i="179"/>
  <c r="FB9" i="179"/>
  <c r="FA9" i="179"/>
  <c r="EZ9" i="179"/>
  <c r="EY9" i="179"/>
  <c r="EX9" i="179"/>
  <c r="EW9" i="179"/>
  <c r="EV9" i="179"/>
  <c r="EU9" i="179"/>
  <c r="ET9" i="179"/>
  <c r="FA10" i="179"/>
  <c r="FB10" i="179"/>
  <c r="EW10" i="12"/>
  <c r="ES10" i="12"/>
  <c r="FA10" i="12"/>
  <c r="EX10" i="179"/>
  <c r="EY10" i="12"/>
  <c r="EZ10" i="12"/>
  <c r="ET10" i="179"/>
  <c r="ER10" i="12"/>
  <c r="EU10" i="12"/>
  <c r="EW10" i="179"/>
  <c r="EZ10" i="179"/>
  <c r="EX10" i="12"/>
  <c r="EV10" i="12"/>
  <c r="EV10" i="179"/>
  <c r="ET10" i="12"/>
  <c r="FC10" i="179"/>
  <c r="EY10" i="179"/>
  <c r="EU10" i="179"/>
  <c r="AG22" i="37" l="1"/>
  <c r="AA62" i="37"/>
  <c r="AG31" i="37" l="1"/>
  <c r="AG30" i="37"/>
  <c r="AG29" i="37"/>
  <c r="AG28" i="37"/>
  <c r="AG27" i="37"/>
  <c r="AG26" i="37"/>
  <c r="AG25" i="37"/>
  <c r="AG24" i="37"/>
  <c r="AG23" i="37"/>
  <c r="AA31" i="37"/>
  <c r="AA30" i="37"/>
  <c r="AA29" i="37"/>
  <c r="AA28" i="37"/>
  <c r="AA27" i="37"/>
  <c r="AA26" i="37"/>
  <c r="AA25" i="37"/>
  <c r="AA24" i="37"/>
  <c r="AA23" i="37"/>
  <c r="AA22" i="37"/>
  <c r="AM24" i="37" l="1"/>
  <c r="AM26" i="37"/>
  <c r="AM30" i="37"/>
  <c r="AM25" i="37"/>
  <c r="AM29" i="37"/>
  <c r="AM23" i="37"/>
  <c r="AM27" i="37"/>
  <c r="AM31" i="37"/>
  <c r="AM28" i="37"/>
  <c r="AM22" i="37"/>
  <c r="Z6" i="179"/>
  <c r="T6" i="179"/>
  <c r="I6" i="179"/>
  <c r="A6" i="179"/>
  <c r="T6" i="12"/>
  <c r="CX2" i="179"/>
  <c r="CP2" i="12"/>
  <c r="CR2" i="179"/>
  <c r="CV2" i="12"/>
  <c r="AG16" i="37" l="1"/>
  <c r="AG17" i="37" s="1"/>
  <c r="AA16" i="37"/>
  <c r="AA17" i="37" s="1"/>
  <c r="AG19" i="37"/>
  <c r="AG20" i="37" s="1"/>
  <c r="AA19" i="37"/>
  <c r="AA20" i="37" s="1"/>
  <c r="AM16" i="37" l="1"/>
  <c r="AM17" i="37" s="1"/>
  <c r="B57" i="37"/>
  <c r="B6" i="37" l="1"/>
  <c r="AN1" i="12" s="1"/>
  <c r="AP1" i="179" l="1"/>
  <c r="AM19" i="37"/>
  <c r="AM20" i="37" s="1"/>
  <c r="H2" i="98"/>
  <c r="K2" i="98" l="1"/>
  <c r="G2" i="98"/>
  <c r="Z6" i="12" l="1"/>
  <c r="I6" i="12"/>
  <c r="AN2" i="12"/>
  <c r="B7" i="37"/>
  <c r="AZ1" i="179" l="1"/>
  <c r="A6" i="12"/>
  <c r="AX1" i="12"/>
  <c r="O12" i="37" l="1"/>
  <c r="AO17" i="37" l="1"/>
  <c r="AC17" i="37"/>
  <c r="AO20" i="37"/>
  <c r="AC20" i="37"/>
  <c r="AJ17" i="37"/>
  <c r="AJ20" i="37"/>
</calcChain>
</file>

<file path=xl/comments1.xml><?xml version="1.0" encoding="utf-8"?>
<comments xmlns="http://schemas.openxmlformats.org/spreadsheetml/2006/main">
  <authors>
    <author>jinfengshan</author>
  </authors>
  <commentList>
    <comment ref="D8" authorId="0">
      <text>
        <r>
          <rPr>
            <sz val="11"/>
            <color indexed="81"/>
            <rFont val="Arial"/>
            <family val="2"/>
          </rPr>
          <t>Input test's summary</t>
        </r>
      </text>
    </comment>
  </commentList>
</comments>
</file>

<file path=xl/comments2.xml><?xml version="1.0" encoding="utf-8"?>
<comments xmlns="http://schemas.openxmlformats.org/spreadsheetml/2006/main">
  <authors>
    <author>jinfengshan</author>
  </authors>
  <commentList>
    <comment ref="D8" authorId="0">
      <text>
        <r>
          <rPr>
            <sz val="11"/>
            <color indexed="81"/>
            <rFont val="Arial"/>
            <family val="2"/>
          </rPr>
          <t>Input test's summary</t>
        </r>
      </text>
    </comment>
  </commentList>
</comments>
</file>

<file path=xl/sharedStrings.xml><?xml version="1.0" encoding="utf-8"?>
<sst xmlns="http://schemas.openxmlformats.org/spreadsheetml/2006/main" count="1695" uniqueCount="807">
  <si>
    <t>No.</t>
    <phoneticPr fontId="3"/>
  </si>
  <si>
    <t>No.</t>
    <phoneticPr fontId="3"/>
  </si>
  <si>
    <t>ms</t>
    <phoneticPr fontId="3"/>
  </si>
  <si>
    <t>Report</t>
    <phoneticPr fontId="3"/>
  </si>
  <si>
    <t>Process Name</t>
    <phoneticPr fontId="3"/>
  </si>
  <si>
    <t>Development Scale</t>
    <phoneticPr fontId="3"/>
  </si>
  <si>
    <t>1. PS Design Document Review</t>
    <phoneticPr fontId="3"/>
  </si>
  <si>
    <t>3. PG Source Review</t>
  </si>
  <si>
    <t>Review Issue Count</t>
    <phoneticPr fontId="3"/>
  </si>
  <si>
    <t>Review Issue Rate</t>
    <phoneticPr fontId="3"/>
  </si>
  <si>
    <t>Review Date</t>
    <phoneticPr fontId="3"/>
  </si>
  <si>
    <t>Reviewer</t>
    <phoneticPr fontId="3"/>
  </si>
  <si>
    <t>Reviewee</t>
    <phoneticPr fontId="3"/>
  </si>
  <si>
    <t>Reviewee</t>
    <phoneticPr fontId="3"/>
  </si>
  <si>
    <t>4. PT</t>
  </si>
  <si>
    <t>&lt;Business Test&gt;</t>
  </si>
  <si>
    <t>Test Start Date</t>
    <phoneticPr fontId="3"/>
  </si>
  <si>
    <t>Test End Date</t>
    <phoneticPr fontId="3"/>
  </si>
  <si>
    <t>Tested By</t>
    <phoneticPr fontId="3"/>
  </si>
  <si>
    <t>Verified Date</t>
    <phoneticPr fontId="3"/>
  </si>
  <si>
    <t>Verified By</t>
    <phoneticPr fontId="3"/>
  </si>
  <si>
    <t>&lt;C1 Coverage (The conditional branch of the program is executed successfully.)&gt;</t>
  </si>
  <si>
    <t>C1 Coverage</t>
    <phoneticPr fontId="3"/>
  </si>
  <si>
    <t>Reason of not achieving to 100% in C1 Coverage</t>
    <phoneticPr fontId="3"/>
  </si>
  <si>
    <t>Data Count</t>
    <phoneticPr fontId="5"/>
  </si>
  <si>
    <t>Item</t>
  </si>
  <si>
    <t>Processing Time</t>
    <phoneticPr fontId="5"/>
  </si>
  <si>
    <t>Exec SQL</t>
    <phoneticPr fontId="5"/>
  </si>
  <si>
    <t>Item</t>
    <phoneticPr fontId="3"/>
  </si>
  <si>
    <t>Item</t>
    <phoneticPr fontId="3"/>
  </si>
  <si>
    <t>Times</t>
    <phoneticPr fontId="3"/>
  </si>
  <si>
    <t>Times</t>
    <phoneticPr fontId="3"/>
  </si>
  <si>
    <t>First Time</t>
    <phoneticPr fontId="3"/>
  </si>
  <si>
    <t>Second Time</t>
    <phoneticPr fontId="3"/>
  </si>
  <si>
    <t>Performance Evaluation</t>
    <phoneticPr fontId="3"/>
  </si>
  <si>
    <t>Document Name</t>
  </si>
  <si>
    <t>&lt;Performance (Need to be recorded when verifying performance by Registration/Updating operation.)&gt;</t>
    <phoneticPr fontId="3"/>
  </si>
  <si>
    <t>4. Cause Type</t>
  </si>
  <si>
    <t>11:Interface Design Mistake</t>
  </si>
  <si>
    <t>20:Logical Mistake</t>
  </si>
  <si>
    <t>22:PG Mistake (SQL Mistake)</t>
  </si>
  <si>
    <t>30:Test Specification Mistake</t>
  </si>
  <si>
    <t>31:Test Data Mistake</t>
  </si>
  <si>
    <t>40:Operation Mistake</t>
  </si>
  <si>
    <t>41:Environment Setting Mistake</t>
  </si>
  <si>
    <t>60:Other</t>
  </si>
  <si>
    <t>First Acceptance</t>
    <phoneticPr fontId="3"/>
  </si>
  <si>
    <t>Second Acceptance</t>
    <phoneticPr fontId="3"/>
  </si>
  <si>
    <t>Number of  Defect</t>
    <phoneticPr fontId="3"/>
  </si>
  <si>
    <t>Date</t>
    <phoneticPr fontId="3"/>
  </si>
  <si>
    <t>PIC</t>
    <phoneticPr fontId="3"/>
  </si>
  <si>
    <t>PIC</t>
    <phoneticPr fontId="3"/>
  </si>
  <si>
    <t>Result</t>
    <phoneticPr fontId="3"/>
  </si>
  <si>
    <t>Version</t>
    <phoneticPr fontId="3"/>
  </si>
  <si>
    <t>First Version</t>
    <phoneticPr fontId="3"/>
  </si>
  <si>
    <t>Second Version</t>
    <phoneticPr fontId="3"/>
  </si>
  <si>
    <t>Creation Date</t>
    <phoneticPr fontId="3"/>
  </si>
  <si>
    <t>&lt;Basic Test&gt;</t>
    <phoneticPr fontId="3"/>
  </si>
  <si>
    <t>&lt;Business Test&gt;</t>
    <phoneticPr fontId="3"/>
  </si>
  <si>
    <t>&lt;Total&gt;</t>
    <phoneticPr fontId="3"/>
  </si>
  <si>
    <t>Item/</t>
    <phoneticPr fontId="3"/>
  </si>
  <si>
    <t>Test Type</t>
    <phoneticPr fontId="3"/>
  </si>
  <si>
    <t>Verification Target</t>
    <phoneticPr fontId="3"/>
  </si>
  <si>
    <t>Test Result</t>
    <phoneticPr fontId="3"/>
  </si>
  <si>
    <t>Cause Phase</t>
    <phoneticPr fontId="3"/>
  </si>
  <si>
    <t>Cause Category</t>
    <phoneticPr fontId="3"/>
  </si>
  <si>
    <t>Cause Type</t>
    <phoneticPr fontId="3"/>
  </si>
  <si>
    <t>Cause Detail</t>
    <phoneticPr fontId="3"/>
  </si>
  <si>
    <t>Business Test</t>
    <phoneticPr fontId="3"/>
  </si>
  <si>
    <t>PT Report</t>
    <phoneticPr fontId="3"/>
  </si>
  <si>
    <t>Test Conditions</t>
    <phoneticPr fontId="3"/>
  </si>
  <si>
    <t>Estimated Result</t>
    <phoneticPr fontId="3"/>
  </si>
  <si>
    <t>Verification Method</t>
    <phoneticPr fontId="3"/>
  </si>
  <si>
    <t>Level1</t>
  </si>
  <si>
    <t>Level2</t>
    <phoneticPr fontId="3"/>
  </si>
  <si>
    <t>Level3</t>
    <phoneticPr fontId="3"/>
  </si>
  <si>
    <t>(Start Line)</t>
    <phoneticPr fontId="3"/>
  </si>
  <si>
    <t>Description</t>
    <phoneticPr fontId="3"/>
  </si>
  <si>
    <t>PWaaS Progress and Quality Management Template Version Information</t>
  </si>
  <si>
    <t>Subsystem</t>
    <phoneticPr fontId="13"/>
  </si>
  <si>
    <t xml:space="preserve"> </t>
    <phoneticPr fontId="3"/>
  </si>
  <si>
    <t>Scale</t>
    <phoneticPr fontId="3"/>
  </si>
  <si>
    <t>23:PG Mistake (Against Common Rules)</t>
  </si>
  <si>
    <t>42:ConfManage/Release Mistake</t>
  </si>
  <si>
    <t>Parts</t>
  </si>
  <si>
    <t>&lt;Basic Test&gt;</t>
    <phoneticPr fontId="3"/>
  </si>
  <si>
    <t>C1 Coverage = Tested Conditional Branches/Total Conditional Branches</t>
    <phoneticPr fontId="3"/>
  </si>
  <si>
    <t>Completion Date
(Input the test result in the line with "Passed")</t>
    <phoneticPr fontId="3"/>
  </si>
  <si>
    <t>Program ID</t>
    <phoneticPr fontId="3"/>
  </si>
  <si>
    <t>2. PT Report Review</t>
    <phoneticPr fontId="3"/>
  </si>
  <si>
    <t>Remarks</t>
    <phoneticPr fontId="3"/>
  </si>
  <si>
    <t>Remarks 1</t>
    <phoneticPr fontId="3"/>
  </si>
  <si>
    <t>Remarks 2</t>
    <phoneticPr fontId="3"/>
  </si>
  <si>
    <t>Free Area</t>
    <phoneticPr fontId="3"/>
  </si>
  <si>
    <t>Free Area 1</t>
    <phoneticPr fontId="3"/>
  </si>
  <si>
    <t>Free Area 2</t>
    <phoneticPr fontId="3"/>
  </si>
  <si>
    <t>Free Area 3</t>
    <phoneticPr fontId="3"/>
  </si>
  <si>
    <t>Test Item Num.</t>
    <phoneticPr fontId="3"/>
  </si>
  <si>
    <t>Test Complete Num.</t>
    <phoneticPr fontId="3"/>
  </si>
  <si>
    <t>Defect Num.</t>
    <phoneticPr fontId="3"/>
  </si>
  <si>
    <t>Basic Test (Online)</t>
    <phoneticPr fontId="3"/>
  </si>
  <si>
    <t>Phase</t>
    <phoneticPr fontId="3"/>
  </si>
  <si>
    <t>Team</t>
    <phoneticPr fontId="3"/>
  </si>
  <si>
    <t>Developer</t>
    <phoneticPr fontId="3"/>
  </si>
  <si>
    <t>'Code Table'!E3</t>
    <phoneticPr fontId="39"/>
  </si>
  <si>
    <t>A</t>
    <phoneticPr fontId="3"/>
  </si>
  <si>
    <t>B</t>
    <phoneticPr fontId="3"/>
  </si>
  <si>
    <t>C</t>
    <phoneticPr fontId="3"/>
  </si>
  <si>
    <t>D</t>
    <phoneticPr fontId="3"/>
  </si>
  <si>
    <t>E</t>
    <phoneticPr fontId="3"/>
  </si>
  <si>
    <t>F</t>
    <phoneticPr fontId="3"/>
  </si>
  <si>
    <t>G</t>
    <phoneticPr fontId="3"/>
  </si>
  <si>
    <t>H</t>
    <phoneticPr fontId="3"/>
  </si>
  <si>
    <t>I</t>
    <phoneticPr fontId="3"/>
  </si>
  <si>
    <t>J</t>
    <phoneticPr fontId="3"/>
  </si>
  <si>
    <t>K</t>
    <phoneticPr fontId="3"/>
  </si>
  <si>
    <t>IT4</t>
  </si>
  <si>
    <t>L</t>
    <phoneticPr fontId="3"/>
  </si>
  <si>
    <t>IT5</t>
  </si>
  <si>
    <t>M</t>
    <phoneticPr fontId="3"/>
  </si>
  <si>
    <t>N</t>
    <phoneticPr fontId="3"/>
  </si>
  <si>
    <t>ST2</t>
  </si>
  <si>
    <t>O</t>
    <phoneticPr fontId="3"/>
  </si>
  <si>
    <t>ST3</t>
  </si>
  <si>
    <t>P</t>
    <phoneticPr fontId="3"/>
  </si>
  <si>
    <t>ST4</t>
  </si>
  <si>
    <t>Q</t>
    <phoneticPr fontId="3"/>
  </si>
  <si>
    <t>ST5</t>
  </si>
  <si>
    <t>R</t>
    <phoneticPr fontId="3"/>
  </si>
  <si>
    <t>S</t>
    <phoneticPr fontId="3"/>
  </si>
  <si>
    <t>T</t>
    <phoneticPr fontId="3"/>
  </si>
  <si>
    <t>U</t>
    <phoneticPr fontId="3"/>
  </si>
  <si>
    <t>V</t>
    <phoneticPr fontId="3"/>
  </si>
  <si>
    <t>W</t>
    <phoneticPr fontId="3"/>
  </si>
  <si>
    <t>X</t>
    <phoneticPr fontId="3"/>
  </si>
  <si>
    <t>Y</t>
    <phoneticPr fontId="3"/>
  </si>
  <si>
    <t>Z</t>
    <phoneticPr fontId="3"/>
  </si>
  <si>
    <t>Last line</t>
    <phoneticPr fontId="3"/>
  </si>
  <si>
    <t>Last line</t>
  </si>
  <si>
    <t>Company Name</t>
    <phoneticPr fontId="3"/>
  </si>
  <si>
    <t>Cause Type</t>
    <phoneticPr fontId="3"/>
  </si>
  <si>
    <t>Cause Phase</t>
    <phoneticPr fontId="3"/>
  </si>
  <si>
    <t>Summary Target</t>
    <phoneticPr fontId="3"/>
  </si>
  <si>
    <t>Program Test for Online</t>
    <phoneticPr fontId="3"/>
  </si>
  <si>
    <t>Document</t>
    <phoneticPr fontId="7"/>
  </si>
  <si>
    <t>PT Report</t>
    <phoneticPr fontId="7"/>
  </si>
  <si>
    <t>Version</t>
    <phoneticPr fontId="7"/>
  </si>
  <si>
    <t>Revision</t>
    <phoneticPr fontId="7"/>
  </si>
  <si>
    <t>(Refer to Next Page)</t>
    <phoneticPr fontId="3"/>
  </si>
  <si>
    <t>Report</t>
    <phoneticPr fontId="3"/>
  </si>
  <si>
    <t>&lt;PT Result&gt;</t>
    <phoneticPr fontId="3"/>
  </si>
  <si>
    <t>&lt;Basic Test&gt;</t>
    <phoneticPr fontId="3"/>
  </si>
  <si>
    <t>&lt;Business Test&gt;</t>
    <phoneticPr fontId="3"/>
  </si>
  <si>
    <t>&lt;PT Result&gt;</t>
    <phoneticPr fontId="3"/>
  </si>
  <si>
    <t>1. Number of Test Item</t>
    <phoneticPr fontId="3"/>
  </si>
  <si>
    <t>Number of Test Item</t>
    <phoneticPr fontId="5"/>
  </si>
  <si>
    <t>Test Item Rate</t>
    <phoneticPr fontId="3"/>
  </si>
  <si>
    <t>2. Number of  Error</t>
    <phoneticPr fontId="3"/>
  </si>
  <si>
    <t>Number of  Defect</t>
    <phoneticPr fontId="3"/>
  </si>
  <si>
    <t>Error Rate</t>
    <phoneticPr fontId="3"/>
  </si>
  <si>
    <t>3. Cause Phase</t>
    <phoneticPr fontId="3"/>
  </si>
  <si>
    <t>4. Cause Type</t>
    <phoneticPr fontId="3"/>
  </si>
  <si>
    <t>&lt; Document&gt;</t>
    <phoneticPr fontId="3"/>
  </si>
  <si>
    <t>&lt;PT Evaluation&gt; (After PT Review, Verification PIC need to record Completion Judgement Contents)</t>
    <phoneticPr fontId="3"/>
  </si>
  <si>
    <t>5. PT Acceptance</t>
    <phoneticPr fontId="3"/>
  </si>
  <si>
    <t>PT Report</t>
    <phoneticPr fontId="3"/>
  </si>
  <si>
    <t>Subsystem</t>
    <phoneticPr fontId="3"/>
  </si>
  <si>
    <t>Remarks 2</t>
    <phoneticPr fontId="3"/>
  </si>
  <si>
    <t>Program ID</t>
    <phoneticPr fontId="3"/>
  </si>
  <si>
    <t>Summary Target</t>
    <phoneticPr fontId="3"/>
  </si>
  <si>
    <t>Normal/Irregular</t>
    <phoneticPr fontId="3"/>
  </si>
  <si>
    <t>Test Conditions</t>
    <phoneticPr fontId="3"/>
  </si>
  <si>
    <t>Estimated Result</t>
    <phoneticPr fontId="3"/>
  </si>
  <si>
    <t>Verification Method</t>
    <phoneticPr fontId="3"/>
  </si>
  <si>
    <t>Verification Target</t>
    <phoneticPr fontId="3"/>
  </si>
  <si>
    <t>PIC</t>
    <phoneticPr fontId="3"/>
  </si>
  <si>
    <t>Times</t>
    <phoneticPr fontId="3"/>
  </si>
  <si>
    <t>Date</t>
    <phoneticPr fontId="3"/>
  </si>
  <si>
    <t>Test Result</t>
    <phoneticPr fontId="3"/>
  </si>
  <si>
    <t>Completion Date
(Input the test result in the line with "Passed")</t>
    <phoneticPr fontId="3"/>
  </si>
  <si>
    <t>Remarks</t>
    <phoneticPr fontId="3"/>
  </si>
  <si>
    <t>Test Target Development Company</t>
    <phoneticPr fontId="3"/>
  </si>
  <si>
    <t>Test Target Developer PIC</t>
    <phoneticPr fontId="3"/>
  </si>
  <si>
    <t>Test Item Num.</t>
    <phoneticPr fontId="3"/>
  </si>
  <si>
    <t>Test Complete Num.</t>
    <phoneticPr fontId="3"/>
  </si>
  <si>
    <t>Defect Num.</t>
    <phoneticPr fontId="3"/>
  </si>
  <si>
    <t>Invalid Line</t>
    <phoneticPr fontId="3"/>
  </si>
  <si>
    <t>*Please double-click the line that you want to choose.</t>
    <phoneticPr fontId="3"/>
  </si>
  <si>
    <t>List of Cause Category / Cause Type / Cause Detail</t>
    <phoneticPr fontId="3"/>
  </si>
  <si>
    <t>Don't delete this sheet.</t>
    <phoneticPr fontId="3"/>
  </si>
  <si>
    <t>Please operate line before this line. It is restricted to just insert a line, do copy and then insert.</t>
    <phoneticPr fontId="3"/>
  </si>
  <si>
    <t>V5.4_EN</t>
    <phoneticPr fontId="7"/>
  </si>
  <si>
    <t>*Data will not be imported to PWaaS if the required item is not input.</t>
  </si>
  <si>
    <r>
      <t xml:space="preserve">Test Item
</t>
    </r>
    <r>
      <rPr>
        <b/>
        <sz val="12"/>
        <color rgb="FFFF0000"/>
        <rFont val="Arial"/>
        <family val="2"/>
      </rPr>
      <t xml:space="preserve"> (Required)</t>
    </r>
  </si>
  <si>
    <t>*This is the last line. Please don't delete it. If you want to increase or decrease lines, please manipulate lines in the above. "Insert" is prohibited. Instead of it, please use "Insert Copied Cells".</t>
  </si>
  <si>
    <t>*This is the last line. Please don't delete it. If you want to increase or decrease lines, please manipulate lines in the above.</t>
  </si>
  <si>
    <t xml:space="preserve">    Please set "Subsystem", "Business Process Name", "Process Name" in the PWaaS Management Menu, and reflect them on the left table using the PWaaS Management Menu.</t>
  </si>
  <si>
    <t xml:space="preserve">    Notice</t>
  </si>
  <si>
    <t xml:space="preserve">    How to input</t>
  </si>
  <si>
    <t xml:space="preserve">      - You can insert lines between the header and the last line in the table. The header and the last line are not included.</t>
  </si>
  <si>
    <t xml:space="preserve">      - Please don't change columns.</t>
  </si>
  <si>
    <t xml:space="preserve">      - If you add or change an item in the left table, the result of summarization could be incorrect.</t>
  </si>
  <si>
    <t xml:space="preserve">      - When you don't have enough lines in the left table, please insert a line.</t>
  </si>
  <si>
    <t>For projects which use the PWaaS Management Menu</t>
    <phoneticPr fontId="13"/>
  </si>
  <si>
    <t>For projects which don't use the PWaaS Management Menu</t>
    <phoneticPr fontId="13"/>
  </si>
  <si>
    <t>For projects which use the PWaaS Management Menu</t>
  </si>
  <si>
    <t xml:space="preserve">    Please set items in the PWaaS Management Menu, and reflect them on the left table using the PWaaS Management Menu.</t>
  </si>
  <si>
    <t xml:space="preserve">      - If you add or change items in the left table, the result of summarization could be incorrect.</t>
  </si>
  <si>
    <t>For projects which don't use the PWaaS Management Menu</t>
  </si>
  <si>
    <t xml:space="preserve">      - After you input items, please push the "Setup" button to reflect them on this Excel book.</t>
  </si>
  <si>
    <t>Usage of PT Report</t>
    <phoneticPr fontId="3"/>
  </si>
  <si>
    <t>1. Structure of PT Report and Explanation of each sheet</t>
    <phoneticPr fontId="3"/>
  </si>
  <si>
    <t>Sheet</t>
    <phoneticPr fontId="3"/>
  </si>
  <si>
    <t>Can I delete it?</t>
    <phoneticPr fontId="3"/>
  </si>
  <si>
    <t>Explanation</t>
    <phoneticPr fontId="3"/>
  </si>
  <si>
    <t>Title Page</t>
    <phoneticPr fontId="3"/>
  </si>
  <si>
    <t>No</t>
    <phoneticPr fontId="3"/>
  </si>
  <si>
    <t>Please write a program name under PT in this worksheet. You can confrim the result of PT in it.</t>
    <phoneticPr fontId="3"/>
  </si>
  <si>
    <t>Usage</t>
    <phoneticPr fontId="3"/>
  </si>
  <si>
    <t>Yes</t>
    <phoneticPr fontId="3"/>
  </si>
  <si>
    <t>This worksheet.</t>
    <phoneticPr fontId="3"/>
  </si>
  <si>
    <t>start_basic</t>
    <phoneticPr fontId="3"/>
  </si>
  <si>
    <r>
      <t xml:space="preserve">Please put the worksheets Basic Test (Online), Basic Test (Batch), Basic Test (Report) between the worksheets </t>
    </r>
    <r>
      <rPr>
        <b/>
        <sz val="11"/>
        <rFont val="Arial"/>
        <family val="2"/>
      </rPr>
      <t>start_basic</t>
    </r>
    <r>
      <rPr>
        <sz val="11"/>
        <rFont val="Arial"/>
        <family val="2"/>
      </rPr>
      <t xml:space="preserve"> and </t>
    </r>
    <r>
      <rPr>
        <b/>
        <sz val="11"/>
        <rFont val="Arial"/>
        <family val="2"/>
      </rPr>
      <t>end_basic</t>
    </r>
    <r>
      <rPr>
        <sz val="11"/>
        <rFont val="Arial"/>
        <family val="2"/>
      </rPr>
      <t>.
These worksheets are treated as Basic Tests.</t>
    </r>
    <r>
      <rPr>
        <sz val="11"/>
        <rFont val="Meiryo UI"/>
        <family val="3"/>
        <charset val="128"/>
      </rPr>
      <t/>
    </r>
    <phoneticPr fontId="3"/>
  </si>
  <si>
    <t>end_basic</t>
    <phoneticPr fontId="3"/>
  </si>
  <si>
    <t>Basic Test (Online) 1</t>
    <phoneticPr fontId="3"/>
  </si>
  <si>
    <r>
      <t xml:space="preserve">A model worksheet which includes basic test items for </t>
    </r>
    <r>
      <rPr>
        <b/>
        <sz val="11"/>
        <color rgb="FFFF0000"/>
        <rFont val="Arial"/>
        <family val="2"/>
      </rPr>
      <t>online</t>
    </r>
    <r>
      <rPr>
        <sz val="11"/>
        <rFont val="Arial"/>
        <family val="2"/>
      </rPr>
      <t xml:space="preserve"> programs.</t>
    </r>
    <phoneticPr fontId="3"/>
  </si>
  <si>
    <t>Basic Test (Batch) 1</t>
    <phoneticPr fontId="3"/>
  </si>
  <si>
    <r>
      <t xml:space="preserve">A model worksheet which includes basic test items for </t>
    </r>
    <r>
      <rPr>
        <b/>
        <sz val="11"/>
        <color rgb="FFFF0000"/>
        <rFont val="Arial"/>
        <family val="2"/>
      </rPr>
      <t>batch</t>
    </r>
    <r>
      <rPr>
        <sz val="11"/>
        <rFont val="Arial"/>
        <family val="2"/>
      </rPr>
      <t xml:space="preserve"> programs.</t>
    </r>
    <phoneticPr fontId="3"/>
  </si>
  <si>
    <t>Basic Test (Report) 1</t>
    <phoneticPr fontId="3"/>
  </si>
  <si>
    <r>
      <t xml:space="preserve">A model worksheet which includes basic test items for </t>
    </r>
    <r>
      <rPr>
        <b/>
        <sz val="11"/>
        <color rgb="FFFF0000"/>
        <rFont val="Arial"/>
        <family val="2"/>
      </rPr>
      <t>report</t>
    </r>
    <r>
      <rPr>
        <sz val="11"/>
        <rFont val="Arial"/>
        <family val="2"/>
      </rPr>
      <t xml:space="preserve"> programs.</t>
    </r>
    <phoneticPr fontId="3"/>
  </si>
  <si>
    <t>start_business</t>
    <phoneticPr fontId="3"/>
  </si>
  <si>
    <r>
      <t xml:space="preserve">Please put the worksheetss Business Test 1, Business Test 2, Business Test 3, and so on, between the worksheets </t>
    </r>
    <r>
      <rPr>
        <b/>
        <sz val="11"/>
        <rFont val="Arial"/>
        <family val="2"/>
      </rPr>
      <t>start_business</t>
    </r>
    <r>
      <rPr>
        <sz val="11"/>
        <rFont val="Arial"/>
        <family val="2"/>
      </rPr>
      <t xml:space="preserve"> and </t>
    </r>
    <r>
      <rPr>
        <b/>
        <sz val="11"/>
        <rFont val="Arial"/>
        <family val="2"/>
      </rPr>
      <t>end_business</t>
    </r>
    <r>
      <rPr>
        <sz val="11"/>
        <rFont val="Arial"/>
        <family val="2"/>
      </rPr>
      <t>. These worksheets are treated as Business Tests.</t>
    </r>
    <phoneticPr fontId="3"/>
  </si>
  <si>
    <t>Business Test 1</t>
    <phoneticPr fontId="3"/>
  </si>
  <si>
    <t>An empty worksheet into which you write test items for business function test.</t>
    <phoneticPr fontId="3"/>
  </si>
  <si>
    <t>end_business</t>
    <phoneticPr fontId="3"/>
  </si>
  <si>
    <t>Business Test 2</t>
    <phoneticPr fontId="3"/>
  </si>
  <si>
    <t>An empty worksheet into which you write test items for business function test.</t>
  </si>
  <si>
    <t>Business Test 3</t>
    <phoneticPr fontId="3"/>
  </si>
  <si>
    <t>Code Table</t>
    <phoneticPr fontId="3"/>
  </si>
  <si>
    <r>
      <t>A worksheet for setting Phases, Company Names, Developers. It is automatically filled by PWaaS Management Menu. You can fill it by yourself.</t>
    </r>
    <r>
      <rPr>
        <sz val="11"/>
        <rFont val="Meiryo UI"/>
        <family val="3"/>
        <charset val="128"/>
      </rPr>
      <t/>
    </r>
    <phoneticPr fontId="3"/>
  </si>
  <si>
    <r>
      <t>A worksheet for setting Cause Types. It is automatically filled by PWaaS Management Menu. You can fill it by yourself.</t>
    </r>
    <r>
      <rPr>
        <sz val="11"/>
        <rFont val="Meiryo UI"/>
        <family val="3"/>
        <charset val="128"/>
      </rPr>
      <t/>
    </r>
    <phoneticPr fontId="3"/>
  </si>
  <si>
    <t>Settings</t>
    <phoneticPr fontId="3"/>
  </si>
  <si>
    <t>Process</t>
    <phoneticPr fontId="3"/>
  </si>
  <si>
    <t>A worksheet for distributing the settings of management units to other worksheets.</t>
    <phoneticPr fontId="3"/>
  </si>
  <si>
    <t>Version Information</t>
    <phoneticPr fontId="3"/>
  </si>
  <si>
    <t>A worksheet which contains the version information of this PT Report.</t>
    <phoneticPr fontId="3"/>
  </si>
  <si>
    <t>2. Usage of PT Report</t>
    <phoneticPr fontId="3"/>
  </si>
  <si>
    <t>(1) On the "Title Page", please enter items from Subsystem to Development Scale. Please enter records of reviews or tests if you need to enter them.</t>
    <phoneticPr fontId="3"/>
  </si>
  <si>
    <r>
      <rPr>
        <sz val="11"/>
        <rFont val="Meiryo UI"/>
        <family val="3"/>
        <charset val="128"/>
      </rPr>
      <t>　　</t>
    </r>
    <r>
      <rPr>
        <sz val="11"/>
        <rFont val="Arial"/>
        <family val="2"/>
      </rPr>
      <t xml:space="preserve"> You can delete unnecessary test items. When you delete them, because 1 test item consists of 6 lines, please delete 6 lines per 1 unnecessary test item.</t>
    </r>
    <r>
      <rPr>
        <sz val="11"/>
        <rFont val="Meiryo UI"/>
        <family val="3"/>
        <charset val="128"/>
      </rPr>
      <t/>
    </r>
    <phoneticPr fontId="3"/>
  </si>
  <si>
    <r>
      <rPr>
        <sz val="11"/>
        <rFont val="Meiryo UI"/>
        <family val="3"/>
        <charset val="128"/>
      </rPr>
      <t>　　</t>
    </r>
    <r>
      <rPr>
        <sz val="11"/>
        <rFont val="Arial"/>
        <family val="2"/>
      </rPr>
      <t xml:space="preserve"> When you have multiple programs to test,  and when you need more than 1 worksheet, please copy and add a "Basic Test" worksheet. The worksheet name is arbitrary. You can use "Basic Test (Online)", "Basic Test (Batch)" and "Basic Test (Report)" at the same time.</t>
    </r>
    <r>
      <rPr>
        <sz val="11"/>
        <rFont val="Meiryo UI"/>
        <family val="3"/>
        <charset val="128"/>
      </rPr>
      <t/>
    </r>
    <phoneticPr fontId="3"/>
  </si>
  <si>
    <r>
      <rPr>
        <sz val="11"/>
        <rFont val="Meiryo UI"/>
        <family val="3"/>
        <charset val="128"/>
      </rPr>
      <t>　　</t>
    </r>
    <r>
      <rPr>
        <sz val="11"/>
        <rFont val="Arial"/>
        <family val="2"/>
      </rPr>
      <t xml:space="preserve"> If you don't do Basic Test, please don't do these operations. (Please don't move the "Basic Test" worksheets between "start_basic" and "end_basic".)</t>
    </r>
    <r>
      <rPr>
        <sz val="11"/>
        <rFont val="Meiryo UI"/>
        <family val="3"/>
        <charset val="128"/>
      </rPr>
      <t/>
    </r>
    <phoneticPr fontId="3"/>
  </si>
  <si>
    <t>(3) About "Business Test", please write test items about the business function test in the worksheet "Business Test 1", "Business Test 2" or "Business Test 3".</t>
    <phoneticPr fontId="3"/>
  </si>
  <si>
    <r>
      <rPr>
        <sz val="11"/>
        <rFont val="Meiryo UI"/>
        <family val="3"/>
        <charset val="128"/>
      </rPr>
      <t>　　</t>
    </r>
    <r>
      <rPr>
        <sz val="11"/>
        <rFont val="Arial"/>
        <family val="2"/>
      </rPr>
      <t xml:space="preserve"> When you wirte test items in the "Business Test 2" or "Business Test 3", please move them between the worksheets "start_business" and "end_business".</t>
    </r>
    <r>
      <rPr>
        <sz val="11"/>
        <rFont val="Meiryo UI"/>
        <family val="3"/>
        <charset val="128"/>
      </rPr>
      <t/>
    </r>
    <phoneticPr fontId="3"/>
  </si>
  <si>
    <r>
      <rPr>
        <sz val="11"/>
        <rFont val="Meiryo UI"/>
        <family val="3"/>
        <charset val="128"/>
      </rPr>
      <t>　　</t>
    </r>
    <r>
      <rPr>
        <sz val="11"/>
        <rFont val="Arial"/>
        <family val="2"/>
      </rPr>
      <t xml:space="preserve"> If you need more "Business Test" worksheets, please copy and add a "Business Test" worksheet. The worksheet name is arbitrary.</t>
    </r>
    <r>
      <rPr>
        <sz val="11"/>
        <rFont val="Meiryo UI"/>
        <family val="3"/>
        <charset val="128"/>
      </rPr>
      <t/>
    </r>
    <phoneticPr fontId="3"/>
  </si>
  <si>
    <r>
      <t>About "Code Table", "Cuase Type", "Settings" worksheets, they are basically input by the PWaaS Management Menu. So we omit the explanation of them.</t>
    </r>
    <r>
      <rPr>
        <sz val="11"/>
        <rFont val="Meiryo UI"/>
        <family val="3"/>
        <charset val="128"/>
      </rPr>
      <t/>
    </r>
    <phoneticPr fontId="3"/>
  </si>
  <si>
    <t>(2) About "Basic Test", please select worksheets "Basic Test (Online) 1", "Basic Test (Batch) 1", "Basic Test (Report) 1" as model worksheets,  move them between the worksheets "start_basic" and "end_basic".</t>
    <phoneticPr fontId="3"/>
  </si>
  <si>
    <t>If you would like to know about the details of them, please see "Guidance".</t>
    <phoneticPr fontId="3"/>
  </si>
  <si>
    <t>A worksheet for setting management units (Subsystem, Business Process Name, Pprocess Name). It is automatically filled by PWaaS Management Menu. You can fill it by yourself.</t>
    <phoneticPr fontId="3"/>
  </si>
  <si>
    <t>PT</t>
  </si>
  <si>
    <t>PT</t>
    <phoneticPr fontId="3"/>
  </si>
  <si>
    <t>KS</t>
    <phoneticPr fontId="3"/>
  </si>
  <si>
    <t>Business Process</t>
    <phoneticPr fontId="3"/>
  </si>
  <si>
    <t>Process!K3:K3</t>
  </si>
  <si>
    <t>RD</t>
  </si>
  <si>
    <t>UI</t>
  </si>
  <si>
    <t>SS</t>
  </si>
  <si>
    <t>PS</t>
  </si>
  <si>
    <t>PG</t>
  </si>
  <si>
    <t>PTU</t>
  </si>
  <si>
    <t>IT</t>
  </si>
  <si>
    <t>IT2</t>
  </si>
  <si>
    <t>IT3</t>
  </si>
  <si>
    <t>ST</t>
  </si>
  <si>
    <t>12:File/DB Design Mistake</t>
  </si>
  <si>
    <t>14:Common Components Design Mistake</t>
  </si>
  <si>
    <t>21:PG Mistake (Coding Mistake)</t>
  </si>
  <si>
    <t>24:Regression (Modification Failure)</t>
  </si>
  <si>
    <t>50:Product Defect(Equip/OS/Mid/PKG/Net)</t>
  </si>
  <si>
    <t>80:Unknown Cause (Wait for Reappear)</t>
  </si>
  <si>
    <t>90:Following Requirement</t>
  </si>
  <si>
    <t>91:Same Defect (Already Detected)</t>
  </si>
  <si>
    <t>1:Design Mistake</t>
  </si>
  <si>
    <t>4:Operation Mistake</t>
  </si>
  <si>
    <r>
      <t xml:space="preserve">Test Item
</t>
    </r>
    <r>
      <rPr>
        <b/>
        <sz val="12"/>
        <color rgb="FFFF0000"/>
        <rFont val="Arial"/>
        <family val="2"/>
      </rPr>
      <t xml:space="preserve"> (Required)</t>
    </r>
    <phoneticPr fontId="3"/>
  </si>
  <si>
    <t>Normal</t>
  </si>
  <si>
    <t>10:System Design Mistake</t>
  </si>
  <si>
    <t>Design mistake about system design requirement (performance / security measures, error control.)</t>
  </si>
  <si>
    <t>1011:System Configuration</t>
  </si>
  <si>
    <t>Design mistake of logical configuration and roles (Role of each server and linkage between servers, Application function to each server, Linkage with other system) in whole system</t>
  </si>
  <si>
    <t>1012:Online Processing System</t>
  </si>
  <si>
    <t>Design mistake of Online processing system (Display processing, Application program configuration, Framework, Transaction control, Session control, Authentication system, Performance etc.)</t>
  </si>
  <si>
    <t>1013:Batch Processing System</t>
  </si>
  <si>
    <t>Design mistake of batch processing (Executing control, Application program configuration, DB transaction control, Work file, Recovery processing, Performance etc.)</t>
  </si>
  <si>
    <t>1014:Requested Batch Processing System</t>
  </si>
  <si>
    <t>Design mistake of requested batch processing (Real time acceptance of execution from online, Excuting batch processing)</t>
  </si>
  <si>
    <t>1015:Report Processing System</t>
  </si>
  <si>
    <t>Design mistake of Report processing (Output processing, Report management, Reprinting, Performance etc.)</t>
  </si>
  <si>
    <t>1016:DB Accessing System</t>
  </si>
  <si>
    <t>Design mistake of DB accessing system (Exclusive control, Dead-Lock control, Access control etc.)</t>
  </si>
  <si>
    <t>1017:Security System</t>
  </si>
  <si>
    <t>Design mistake of Security system (Security measures by the system and the developed Application program)</t>
  </si>
  <si>
    <t>1018:Character Code System</t>
  </si>
  <si>
    <t>Design mistake of Character Code system (Code system, External character management etc.)</t>
  </si>
  <si>
    <t>1019:Log Output Processing System</t>
  </si>
  <si>
    <t>Design mistake of Log output processing (Type of Logs, Unit of output, Log management, Performance etc.)</t>
  </si>
  <si>
    <t>1020:Mistake-processing System</t>
  </si>
  <si>
    <t>Design mistake of error processing (Classification of mistake incident, Mistake control, Exception management etc.)</t>
  </si>
  <si>
    <t>1021:System Linkage</t>
  </si>
  <si>
    <t>Design mistake of System Linkage (Linkage method in each linkage type, Data assurance, Character code, Mistake methodology, Performance of each Linkage destination etc.)</t>
  </si>
  <si>
    <t>1022:System Implementation (Only App.pgm)</t>
  </si>
  <si>
    <t>Design mistake of System Implementation on View point of Application program (Business date, Deletion management, External defined items, Alternative implementation etc.)</t>
  </si>
  <si>
    <t>1099:Other</t>
  </si>
  <si>
    <t>The other mistakes of system method &amp; processing</t>
  </si>
  <si>
    <t>Design mistake about  connected external system or interface in subsystem</t>
  </si>
  <si>
    <t>1111:Internal Interface Design Mistake</t>
  </si>
  <si>
    <t>Internal Interface Design mistake (Interface between programs, functions)</t>
  </si>
  <si>
    <t>1112:External Interface Design Mistake</t>
  </si>
  <si>
    <t>External Interface Design mistake (Interface between subsystems, systems)</t>
  </si>
  <si>
    <t>1199:Other</t>
  </si>
  <si>
    <t>The other mistakes on interface</t>
  </si>
  <si>
    <t xml:space="preserve">Design mistake about DB construction, file construction, index and link </t>
  </si>
  <si>
    <t>1211:Conceptual Design Mistake</t>
  </si>
  <si>
    <t>Conceptual design(entity) mistake</t>
  </si>
  <si>
    <t>1212:Business Code Design Mistake</t>
  </si>
  <si>
    <t>Design mistake of the code to be applied in business</t>
  </si>
  <si>
    <t>1213:DB Logical Design Mistake</t>
  </si>
  <si>
    <t>Mistake concerning to database logical design (Relation, Normalization, data type etc.)</t>
  </si>
  <si>
    <t>1214:DB Physical Design Mistake</t>
  </si>
  <si>
    <t>Mistake concerning to database physical design (tables and index design mistake prioritized performance, DB arrangement prioritized implementation etc.)</t>
  </si>
  <si>
    <t>1215:File Design Mistake</t>
  </si>
  <si>
    <t>Mistake of file item design (digits, attribute, layout etc.) except for DB</t>
  </si>
  <si>
    <t>1216:Exclusive control Design Mistake</t>
  </si>
  <si>
    <t>Design omission and mistake concerning to exclusive control</t>
  </si>
  <si>
    <t>1299:Other</t>
  </si>
  <si>
    <t>The other mistakes on DB/file design</t>
  </si>
  <si>
    <t>13:System Function Design Mistake</t>
  </si>
  <si>
    <t>Omission of design to be done during RD～PS phase
Excess or lack of item in screen/report/batch, layout design Mistake, related check mistake between items</t>
  </si>
  <si>
    <t>1314:Design Omission in PS phase</t>
  </si>
  <si>
    <t>Omission of design to be done during PS phase (Details, Internal design etc.)</t>
  </si>
  <si>
    <t>1315:Design Omission in SS phase</t>
  </si>
  <si>
    <t>Omission of design to be done during SS phase (Details, Internal design etc.)</t>
  </si>
  <si>
    <t>1316:Design Omission in UI phase</t>
  </si>
  <si>
    <t>Omission of design to be done during UI phase (Requirement, External design etc.)</t>
  </si>
  <si>
    <t>1317:Design Omission in RD phase</t>
  </si>
  <si>
    <t>Omission of design to be done during RD phase (Requirement, External design etc.)</t>
  </si>
  <si>
    <t>1321:Screen・Report Design Mistake</t>
  </si>
  <si>
    <t>Design mistake of screen &amp; report layout (posision and attribute of input/output items and fixed items)</t>
  </si>
  <si>
    <t>1322:Redundancy or Deficiency of Items</t>
  </si>
  <si>
    <t>Design mistake regarding excess or deficiency of input/output items on screen and report</t>
  </si>
  <si>
    <t>1323:Attributes Mistake</t>
  </si>
  <si>
    <t>Design mistake regarding attribute of input/output items on screen and report</t>
  </si>
  <si>
    <t>1324:Checking Mistake between Items</t>
  </si>
  <si>
    <t>Design mistake regarding check mistake between Items on screen</t>
  </si>
  <si>
    <t>1325:Classification Value Mistake</t>
  </si>
  <si>
    <t>Design mistake regarding classification value using on screen (classification value mistake, inconsistency in system etc.)</t>
  </si>
  <si>
    <t>1399:Other</t>
  </si>
  <si>
    <t>The other mistakes on system function design (screen/report/batch)</t>
  </si>
  <si>
    <t>System Common Components/Business Common Components Designed Mistake</t>
  </si>
  <si>
    <t>1411:Interface Design Mistake</t>
  </si>
  <si>
    <t>Design mistake of argument and interface in common component</t>
  </si>
  <si>
    <t>1412:Processing Design Mistake</t>
  </si>
  <si>
    <t>Design mistake of logic in common component</t>
  </si>
  <si>
    <t>1499:Other</t>
  </si>
  <si>
    <t>The other mistakes on common component design</t>
  </si>
  <si>
    <t>2:Programing Mistake</t>
  </si>
  <si>
    <t>Program Logic Mistake (Construction design mistake is "application design mistake")</t>
  </si>
  <si>
    <t>2011:Normal Processing Omission</t>
  </si>
  <si>
    <t>Normal logic omission</t>
  </si>
  <si>
    <t>2012:Abnormal Processing Omission</t>
  </si>
  <si>
    <t>Abnormal logic omission</t>
  </si>
  <si>
    <t>2099:Other</t>
  </si>
  <si>
    <t>The other mistakes in logic</t>
  </si>
  <si>
    <t>Coding Mistake/Minor Logical Mistake in implementation phase</t>
  </si>
  <si>
    <t>2111:Initialization Mistake</t>
  </si>
  <si>
    <t>Bug occerred due to omission of initialization or setting mistake in variable</t>
  </si>
  <si>
    <t>2112:Branch Condition Mistake</t>
  </si>
  <si>
    <t>Omission or mistake concerning to judgement of condition in the case of IF and SELECT statement etc.</t>
  </si>
  <si>
    <t>2113:Branch Post-processing Mistake</t>
  </si>
  <si>
    <t>Mistake of post-processing routine in branch, Swapped prosessing of true and false in IF and SELECT statement, Omission of processing, Mistake processing etc.</t>
  </si>
  <si>
    <t>2114:Loop Logical Mistake</t>
  </si>
  <si>
    <t>End condition mistake of loop, Mistake of looping times,  Initial value mistake of loop</t>
  </si>
  <si>
    <t>2115:Item Transfer Mistake</t>
  </si>
  <si>
    <t>Value substitution mistake into variable, Mistake of setting value in screen item, report item and data item</t>
  </si>
  <si>
    <t>2116:Calculation Mistake</t>
  </si>
  <si>
    <t>Calculation mistake</t>
  </si>
  <si>
    <t>2117:Display Mistake (Typographical etc.)</t>
  </si>
  <si>
    <t>Displayed item mistake such as Typographical mistakes on screen and report etc.</t>
  </si>
  <si>
    <t>2118:Display Mistake (Displacement etc.)</t>
  </si>
  <si>
    <t>Mistake related to screen control (item attribute, cursor etc.)</t>
  </si>
  <si>
    <t>2119:Screen Control Mistake (Transition)</t>
  </si>
  <si>
    <t>Mistake of screen transition process</t>
  </si>
  <si>
    <t>2120:Screen Control Mistake (Attribute)</t>
  </si>
  <si>
    <t>Control mistake of text box and button (attribute, active / inactive, initial value etc.)</t>
  </si>
  <si>
    <t>2121:Screen Control Mistake (Condition)</t>
  </si>
  <si>
    <t>Control mistake concerning to item section on screen (selection condition between items, range of input data check etc.)</t>
  </si>
  <si>
    <t>2199:Other</t>
  </si>
  <si>
    <t>The other coding mistake</t>
  </si>
  <si>
    <t xml:space="preserve">SQL mistake in implementation phase, or performance defect according to SQL statement </t>
  </si>
  <si>
    <t>2211:Unexpected Result due to SQL</t>
  </si>
  <si>
    <t>DB access(CRUD) mistake due to SQL statement fault</t>
  </si>
  <si>
    <t>2212:Poor Performance due to SQL</t>
  </si>
  <si>
    <t>DB access mistake due to SQL statement fault in case of poor performance</t>
  </si>
  <si>
    <t>2213:Exclusive Ctrl Mistake due to SQL</t>
  </si>
  <si>
    <t>Exclusive control mistake due to inadequate SQL</t>
  </si>
  <si>
    <t>2299:Other</t>
  </si>
  <si>
    <t>The other mistakes of SQL statement</t>
  </si>
  <si>
    <t>Violation of common rule in implementation phase</t>
  </si>
  <si>
    <t>2301:Coding Rule Violation</t>
  </si>
  <si>
    <t>Violation against Coding rule</t>
  </si>
  <si>
    <t>PG modification mistake according to lack of investigation in impact analysis</t>
  </si>
  <si>
    <t>2411:Modification Mistake in Debugging</t>
  </si>
  <si>
    <t>Mistake of modification for defect indicated in review</t>
  </si>
  <si>
    <t>2412:Correction Omission in Debugging</t>
  </si>
  <si>
    <t>Correction omission of defect indicated in review</t>
  </si>
  <si>
    <t>3:Test Preparation Mistake</t>
  </si>
  <si>
    <t>Test requirement mistake such as lack of test case or test requirement/condition failure</t>
  </si>
  <si>
    <t>3011:Wrong description</t>
  </si>
  <si>
    <t>Wrong description in test specification</t>
  </si>
  <si>
    <t>3012:Test Item / Case Omission</t>
  </si>
  <si>
    <t>Missing requirement specified in design specification</t>
  </si>
  <si>
    <t>3013:Insufficient Condition Pattern</t>
  </si>
  <si>
    <t>Insufficient input condition pattern in test specification</t>
  </si>
  <si>
    <t>3014:Insufficient Data Pattern</t>
  </si>
  <si>
    <t>Insufficient input pattern in test specification</t>
  </si>
  <si>
    <t>3015:Misunderstanding Test Specification</t>
  </si>
  <si>
    <t>Cause due to misinterpretation on description in test specification etc.</t>
  </si>
  <si>
    <t>3099:Other</t>
  </si>
  <si>
    <t>The other mistakes in test specification</t>
  </si>
  <si>
    <t>Test Data Setup Mistake (Lack of Data, NULL Data)</t>
  </si>
  <si>
    <t>3111:Incomplete Input Data</t>
  </si>
  <si>
    <t>Some of necessary input data are not prepared</t>
  </si>
  <si>
    <t>3112:Inconsistent Input Data</t>
  </si>
  <si>
    <t>Wrong data created for test pattern</t>
  </si>
  <si>
    <t>3199:Other</t>
  </si>
  <si>
    <t>The other mistakes in test data</t>
  </si>
  <si>
    <t>Operation Mistake (Operation Failure, Procedure Mistake)</t>
  </si>
  <si>
    <t>4011:Test Operation Mistake</t>
  </si>
  <si>
    <t>Operational mistake by person in charge ( operational mistake, wrong sequence etc. )</t>
  </si>
  <si>
    <t>4012:Work Procedure Document Mistake</t>
  </si>
  <si>
    <t>Operational mistake due to wrong work procedure document or operation manual</t>
  </si>
  <si>
    <t>Repository registration mistake, circumstance setup mistake in equipment, OS, PP, Network or DB</t>
  </si>
  <si>
    <t>4111:Hardware Setting Mistake</t>
  </si>
  <si>
    <t>Mistake while setting up hardware environment</t>
  </si>
  <si>
    <t>4112:OS Setting Mistake</t>
  </si>
  <si>
    <t>Mistake while setting up OS environment</t>
  </si>
  <si>
    <t>4113:Network Setting Mistake</t>
  </si>
  <si>
    <t>Mistake while setting up Network environment</t>
  </si>
  <si>
    <t>4114:DB Setting Mistake</t>
  </si>
  <si>
    <t>Mistake while setting up DB environment</t>
  </si>
  <si>
    <t>4115:Server/Client Setting Mistake</t>
  </si>
  <si>
    <t>Mistake while setting up server/client environment</t>
  </si>
  <si>
    <t>4116:PKG Infrastructure Setting Mistake</t>
  </si>
  <si>
    <t>Mistake while setting up parameter of package software infrastructure or Dictionary</t>
  </si>
  <si>
    <t>4117:PKG Function Setting Mistake</t>
  </si>
  <si>
    <t>Mistake while setting up parameter of function in package software or Dictionary</t>
  </si>
  <si>
    <t>4118:Middleware Setting Mistake</t>
  </si>
  <si>
    <t>Mistake while setting up middleware environment</t>
  </si>
  <si>
    <t>Configuration Management Mistake, Release Mistake</t>
  </si>
  <si>
    <t>4211:Document Management Mistake</t>
  </si>
  <si>
    <t>Mistake on document management such as design sheet</t>
  </si>
  <si>
    <t>4212:Appl. Software Management Mistake</t>
  </si>
  <si>
    <t>Mistake on resource management such as package software, add-on, customise</t>
  </si>
  <si>
    <t>4213:OS Management Mistake</t>
  </si>
  <si>
    <t>Mistake on OS resource management</t>
  </si>
  <si>
    <t>4214:MW Management Mistake</t>
  </si>
  <si>
    <t>Mistake on middleware management</t>
  </si>
  <si>
    <t>4221:Document Release Mistake</t>
  </si>
  <si>
    <t>Mistake on document release such as design sheet</t>
  </si>
  <si>
    <t>4222:Appl. Software Release Mistake</t>
  </si>
  <si>
    <t>Mistake on application release such as package software, add-on, customise</t>
  </si>
  <si>
    <t>4223:OS Release Mistake</t>
  </si>
  <si>
    <t>Mistake on OS resource release</t>
  </si>
  <si>
    <t>4224:Middleware Release Mistake</t>
  </si>
  <si>
    <t>Mistake on middleware release</t>
  </si>
  <si>
    <t>5:Production Defect</t>
  </si>
  <si>
    <t>Applicable Product Defect (Equipment, OS, Middle, PKG, Network)</t>
  </si>
  <si>
    <t>5011:Server/Client/NW Equipment Defect</t>
  </si>
  <si>
    <t>Server/Client/Network equipment defect</t>
  </si>
  <si>
    <t>5012:OS Defect</t>
  </si>
  <si>
    <t>Defect of OS product</t>
  </si>
  <si>
    <t>5013:Network Defect</t>
  </si>
  <si>
    <t>Defect of network, infrastructure and so on</t>
  </si>
  <si>
    <t>5014:MW Defect</t>
  </si>
  <si>
    <t>Defect of middleware product</t>
  </si>
  <si>
    <t>52:Linking Destination Defect</t>
  </si>
  <si>
    <t>Linking Destination Defect</t>
  </si>
  <si>
    <t>5211:Linking Dest. I/F Spec. Mistake</t>
  </si>
  <si>
    <t xml:space="preserve">Defect due to Interface(I/F) Specification Mistake of Linking Destination </t>
  </si>
  <si>
    <t>5212:Linking Dest. I/F Data Mistake</t>
  </si>
  <si>
    <t>Data Mistake of Linking Destination</t>
  </si>
  <si>
    <t>5213:Migration Source Spec. Mistake</t>
  </si>
  <si>
    <t>Application Specification Mistake in Migration source</t>
  </si>
  <si>
    <t>5214:Migration Source Data Mistake</t>
  </si>
  <si>
    <t>Existing Data Mistake of Migration source</t>
  </si>
  <si>
    <t>53:Fujitsu PKG Software Defect</t>
  </si>
  <si>
    <t>Fujitsu PKG Software Defect</t>
  </si>
  <si>
    <t>5311:PKG Platform Defect</t>
  </si>
  <si>
    <t>Defect of PKG software platform presented by FUJITSU</t>
  </si>
  <si>
    <t>5312:PKG Software Defect</t>
  </si>
  <si>
    <t>Defect of PKG software presented by FUJITSU</t>
  </si>
  <si>
    <t>5313:PKG Tool Defect</t>
  </si>
  <si>
    <t>Defect of PKG tools presented by FUJITSU</t>
  </si>
  <si>
    <t>5314:PKG Document Mistake</t>
  </si>
  <si>
    <t>Mistake on PKG document presented by FUJITSU</t>
  </si>
  <si>
    <t>5315:PKG Installer Defect</t>
  </si>
  <si>
    <t>Defect of PKG installer presented by FUJITSU</t>
  </si>
  <si>
    <t>54:3rd-party PKG Software Defect</t>
  </si>
  <si>
    <t>3rd-party PKG Software Defect</t>
  </si>
  <si>
    <t>5411:PKG Platform Defect</t>
  </si>
  <si>
    <t>Defect of PKG software platform presented by Third-party</t>
  </si>
  <si>
    <t>5412:PKG Software Defect</t>
  </si>
  <si>
    <t>Defect of PKG software presented by Third-party</t>
  </si>
  <si>
    <t>5413:PKG Tools Defect</t>
  </si>
  <si>
    <t>Defect of PKG tools presented by Third-party</t>
  </si>
  <si>
    <t>5414:PKG Document Mistake</t>
  </si>
  <si>
    <t>Mistake on PKG document presented by Third-party</t>
  </si>
  <si>
    <t>5415:PKG Installer Defect</t>
  </si>
  <si>
    <t>Defect of PKG installer presented by Third-party</t>
  </si>
  <si>
    <t>55:Other Application Software Defect</t>
  </si>
  <si>
    <t>Other Application Software Defect</t>
  </si>
  <si>
    <t>5511:Other Application Software Defect</t>
  </si>
  <si>
    <t>Defect of the other application software above</t>
  </si>
  <si>
    <t>6:Other</t>
  </si>
  <si>
    <t>Defect and mistake except the above ones
*Basically, not to be selected.</t>
  </si>
  <si>
    <t>6011:Investigation in Progress</t>
  </si>
  <si>
    <t>Confirming incident, investigating cause and impact to other function</t>
  </si>
  <si>
    <t>8:Wait for Reappear</t>
  </si>
  <si>
    <t>Lack of necessary information for specifying cause, or not able to reproduce.</t>
  </si>
  <si>
    <t>8011:Unknown Cause (Wait for Reappear)</t>
  </si>
  <si>
    <t>Lack of necessary information to identify cause or less reproducibility of the incident</t>
  </si>
  <si>
    <t>9:Non Error</t>
  </si>
  <si>
    <t>Keep As Is (not Failure)  
* Close requirement change in this category and move to requirement change management</t>
  </si>
  <si>
    <t>9011:As Specified</t>
  </si>
  <si>
    <t>As specified (Non Mistake)     ※Mistake by reviewer</t>
  </si>
  <si>
    <t>9012:Spec. Change (Customer Convenience)</t>
  </si>
  <si>
    <t>Specification change due to Customer convenience / preferences</t>
  </si>
  <si>
    <t>9013:No Requirement from Customer</t>
  </si>
  <si>
    <t>Specification change to cover omission of requirement from customer</t>
  </si>
  <si>
    <t>9014:Defect of Existing System Spec.</t>
  </si>
  <si>
    <t>Specification change to solve defects of existing resource or design</t>
  </si>
  <si>
    <t>The same failure has already detected</t>
  </si>
  <si>
    <t>9111:Same Defect (Already Detected)</t>
  </si>
  <si>
    <t>Same defect as past detected defect</t>
  </si>
  <si>
    <t>1311:Design Omission in RD phase</t>
    <phoneticPr fontId="13"/>
  </si>
  <si>
    <t>Omission of design to be done during RD phase (Requirement, External design etc.)</t>
    <phoneticPr fontId="13"/>
  </si>
  <si>
    <t>1312:Design Omission in UI phase</t>
    <phoneticPr fontId="13"/>
  </si>
  <si>
    <t>Omission of design to be done during UI phase (Requirement, External design etc.)</t>
    <phoneticPr fontId="13"/>
  </si>
  <si>
    <t>1313:Design Omission in SS phase</t>
    <phoneticPr fontId="13"/>
  </si>
  <si>
    <t>Omission of design to be done during SS phase (Details, Internal design etc.)</t>
    <phoneticPr fontId="13"/>
  </si>
  <si>
    <t>6099:Other</t>
  </si>
  <si>
    <t>Other    ※ Do not use it basically (Need to consider again)</t>
  </si>
  <si>
    <t>*16/Jan/2019 deleted (V1.0)</t>
    <phoneticPr fontId="3"/>
  </si>
  <si>
    <t>*16/Jan/2019 added (V1.0)</t>
    <phoneticPr fontId="3"/>
  </si>
  <si>
    <t>Does the screen size, layout and background color follows requirement?</t>
    <phoneticPr fontId="3"/>
  </si>
  <si>
    <t>Invalid Line</t>
  </si>
  <si>
    <t>Does the title bar (screen title/screen ID placement, font size, color) follow requirement?</t>
  </si>
  <si>
    <t>title bar (screen title/screen ID placement, font size, color) follow spec design</t>
  </si>
  <si>
    <t>Does field name or button name follow requirement?</t>
  </si>
  <si>
    <t>field name or button name follow spec design</t>
  </si>
  <si>
    <t>Does the font size in display field, the width of display box, the field's sequence position, character alignment (number's right align, word's align or center align), indention follow requirement?</t>
  </si>
  <si>
    <t>Does the font size in input field, the width of input box, appearance, start position follow requirement?</t>
  </si>
  <si>
    <t>font size in input field, the width of input box, appearance, start position follow spec design</t>
  </si>
  <si>
    <t>Does the button's size and position follow requirement?</t>
  </si>
  <si>
    <t>According to the spec document</t>
  </si>
  <si>
    <t>Normal/Irregular</t>
  </si>
  <si>
    <t>Does the menu bar (function name placement) follow requirement?</t>
  </si>
  <si>
    <t>menu bar (function name placement) follow spec design</t>
  </si>
  <si>
    <t>Does the type of input and output control (text box) follow requirement?</t>
  </si>
  <si>
    <t>Passed</t>
  </si>
  <si>
    <t>Process!D3:D3</t>
  </si>
  <si>
    <t>FSGS</t>
  </si>
  <si>
    <t>'Code Table'!C3:C20</t>
  </si>
  <si>
    <t>type of input and output control (text box) follow spec design</t>
  </si>
  <si>
    <t>the button's size and position follow spec design</t>
  </si>
  <si>
    <t>font size in display field, the width of display box, the field's sequence position, character alignment (number's right align, word's align or center align), indention follow spec design</t>
  </si>
  <si>
    <t>'Code Table'!G3</t>
  </si>
  <si>
    <t>'Code Table'!I3</t>
  </si>
  <si>
    <t>Screen size, layout and background color follow the spec design</t>
  </si>
  <si>
    <t>Layout - Common</t>
  </si>
  <si>
    <t>Layout - LOMOS</t>
  </si>
  <si>
    <t>1. Show required input field in screen.
2. On focus required input field
3. Input any value.
4. Off focus required input field.</t>
  </si>
  <si>
    <t>Background color of required input field remains as pink at all times.</t>
  </si>
  <si>
    <t>Background Color of Required Input Field.</t>
  </si>
  <si>
    <t>Background Color of Invalid Input Field.</t>
  </si>
  <si>
    <t>[Common]
1. Show input field.
2. Enter invalid value.
3. Click search/register button.
[Additioonal: Required Field]
1. Show input field. (keep it empty)
2. Click search/register button.</t>
  </si>
  <si>
    <t>Background color becomes red.</t>
  </si>
  <si>
    <t>1. Show invalid input field with red background.
2. Enter valid value.
3. Click search/register button.</t>
  </si>
  <si>
    <t xml:space="preserve">[Required Field]
Background color becomes pink.
[Non-required Field]
Background color becomes white.
</t>
  </si>
  <si>
    <t>Table Header Alignment.</t>
  </si>
  <si>
    <t>1. Show Table with 1 or more contents.</t>
  </si>
  <si>
    <t>Each header is aligned to center (horizontal).</t>
  </si>
  <si>
    <t>Table Pager</t>
  </si>
  <si>
    <t>On right top of table, there is pager for switching page.</t>
  </si>
  <si>
    <t>Table Content Background Color</t>
  </si>
  <si>
    <t>1. Show Table with more than 2 contents.</t>
  </si>
  <si>
    <t>1. 1st row after header is shown with white background.
2. 2nd row after header is shown with gray background.
3. 3rd row below, is repetition of these 2 colors.</t>
  </si>
  <si>
    <t>Table Content Alignment</t>
  </si>
  <si>
    <t>1. Texts are aligned to left.
2. Number are aligned to right.
*IF the field is aligned to center in OLD_LOMOS, keep it aligned center.</t>
  </si>
  <si>
    <t>Table Size</t>
  </si>
  <si>
    <t>Table width fills the default window size, shown via popup.</t>
  </si>
  <si>
    <t>Input Field Parse</t>
  </si>
  <si>
    <t>1. For numeric input fields, enter max valid value.
2. Off focus from input field.
3. On focus again to input field.</t>
  </si>
  <si>
    <t>1. On off focus, value will be parsed with commna, and decimals shown.
2. On on focus, "comma" will be removed.</t>
  </si>
  <si>
    <t>Irregular</t>
  </si>
  <si>
    <t>1. For numeric input fields, enter  invalid valid value.
2. Off focus from input field.
3. On focus again to input field.</t>
  </si>
  <si>
    <t>Either…
 - Invalid value cannot be entered due to field settings.
 - Invalid values does not get parsed.</t>
  </si>
  <si>
    <t>Trimmed Table Content</t>
  </si>
  <si>
    <t>1. Show Table with 1 or more contents, with each MAX length values set.</t>
  </si>
  <si>
    <t>1. Each fields are shown within screen without being trimmed.
 - The max length expected to be shown, for each field is clarified in UI spec.</t>
  </si>
  <si>
    <t>Calendar Icon for Date Input Field</t>
  </si>
  <si>
    <t>1. Show Input field for date.</t>
  </si>
  <si>
    <t>[For Seach Item Field]
Calendar is shown on right of input field.
[For Table Item]
Calendar is NOT shown on right of input field.</t>
  </si>
  <si>
    <t>Date Validation</t>
  </si>
  <si>
    <t>1. Show date input field.
2. Enter non-date value such as "1".
3. Click search/register button.</t>
  </si>
  <si>
    <t>Date input field is validated as error, and is shown with red background color.</t>
  </si>
  <si>
    <t>1. Show page
2. Press tab multiple times, until the focus is returned to initial place.</t>
  </si>
  <si>
    <t>Compare with OLD_LOMOS, and initial focus / focus move order is same with OLD_LOMOS.</t>
  </si>
  <si>
    <t>Focus Order</t>
  </si>
  <si>
    <t>Combo Box Text</t>
  </si>
  <si>
    <t>1. Show combo box.</t>
  </si>
  <si>
    <t>In NEW_LOMOS, each combo box is shown as "Code : Name".
BUT in case where code is same value as name, it needs to be shown as just "Name".</t>
  </si>
  <si>
    <t>Button Enable/Disable Status</t>
  </si>
  <si>
    <t>1. Show page
2. For buttons that has enable/disable feature, comare enable/disable status with OLD_LOMOS.</t>
  </si>
  <si>
    <t>For each action, enable/disable status is same with OLD_LOMOS.</t>
  </si>
  <si>
    <t>Graph Data Output</t>
  </si>
  <si>
    <t>1. Show Graph/Progress bar.</t>
  </si>
  <si>
    <t>Compare with OLD_LOMOS, and following informations are same.
 - Graph type
 - Values for each unit.
 - Color, lines, background.</t>
  </si>
  <si>
    <t>Tool Tip</t>
  </si>
  <si>
    <t>1. In OLD_LOMOS Show Tool Tips in screen.
2. Check same item in NEW_LOMOS, to see Tool Tips.
(This Tool Tip info is NOT clarified in UI spec)</t>
  </si>
  <si>
    <t>For each Tool Tips in OLD_LOMOS, same Tool Tips are shown in NEW_LOMOS.</t>
  </si>
  <si>
    <t>1. Show screen.</t>
  </si>
  <si>
    <t>LOMOS</t>
  </si>
  <si>
    <t>KR002</t>
  </si>
  <si>
    <t>MS023</t>
  </si>
  <si>
    <t>MS005</t>
  </si>
  <si>
    <t>MS025</t>
  </si>
  <si>
    <t>MS007</t>
  </si>
  <si>
    <t>MS061</t>
  </si>
  <si>
    <t>MS022</t>
  </si>
  <si>
    <t>MS004</t>
  </si>
  <si>
    <t>MS006</t>
  </si>
  <si>
    <t>MS060</t>
  </si>
  <si>
    <t>MS015</t>
  </si>
  <si>
    <t>NK005</t>
  </si>
  <si>
    <t>NK013</t>
  </si>
  <si>
    <t>NK014</t>
  </si>
  <si>
    <t>NK012</t>
  </si>
  <si>
    <t>SK007</t>
  </si>
  <si>
    <t>SK008</t>
  </si>
  <si>
    <t>SK006</t>
  </si>
  <si>
    <t>SK010</t>
  </si>
  <si>
    <t>SK013</t>
  </si>
  <si>
    <t>SK014</t>
  </si>
  <si>
    <t>SK015</t>
  </si>
  <si>
    <t>TN001</t>
  </si>
  <si>
    <t>TN002</t>
  </si>
  <si>
    <t>TN003</t>
  </si>
  <si>
    <t>TR002</t>
  </si>
  <si>
    <t>TR003</t>
  </si>
  <si>
    <t>TR004</t>
  </si>
  <si>
    <t>TR007</t>
  </si>
  <si>
    <t>ZK006</t>
  </si>
  <si>
    <t>ZK007</t>
  </si>
  <si>
    <t>ZN005</t>
  </si>
  <si>
    <t>ZN006</t>
  </si>
  <si>
    <t>ZN007</t>
  </si>
  <si>
    <t>Host_IF_Status_Reference</t>
  </si>
  <si>
    <t>Zone_Master_Settings</t>
  </si>
  <si>
    <t>Deliver_Destination_Settings</t>
  </si>
  <si>
    <t>Route_Master_Settings</t>
  </si>
  <si>
    <t>Supplier_Master_Settings</t>
  </si>
  <si>
    <t>Location_Attribute_Master_Settings</t>
  </si>
  <si>
    <t>Search_Zone_Master</t>
  </si>
  <si>
    <t>Search_Deliver_Destination</t>
  </si>
  <si>
    <t>Search_Route_Master</t>
  </si>
  <si>
    <t>Search_Supplier_Master</t>
  </si>
  <si>
    <t>Search_Location_Attribute_Master</t>
  </si>
  <si>
    <t>Refer_Operation_Log</t>
  </si>
  <si>
    <t>Export_Receiving_Instruction_List</t>
  </si>
  <si>
    <t>Receiving_Progress</t>
  </si>
  <si>
    <t>Receiving_Progress_Detail</t>
  </si>
  <si>
    <t>Receiving_Progress_Inquiry</t>
  </si>
  <si>
    <t>Shipping_Progress_Inquiry</t>
  </si>
  <si>
    <t>Shipping_Progress_Inquiry_Detail</t>
  </si>
  <si>
    <t>Confirm_Shipping_Result</t>
  </si>
  <si>
    <t>Shipping_Result_Inquiry</t>
  </si>
  <si>
    <t>Shipping_Result_Progress</t>
  </si>
  <si>
    <t>Shipping_Result_Progress_Detail</t>
  </si>
  <si>
    <t>Inventory_Management</t>
  </si>
  <si>
    <t>Start_Inventory</t>
  </si>
  <si>
    <t>Input_Inventory</t>
  </si>
  <si>
    <t>Shipping_Result_History_Inquiry</t>
  </si>
  <si>
    <t>Shipping_Result_History_Slip_Detail_Inquiry</t>
  </si>
  <si>
    <t>Shipping_Result_History_Inquiry_By_Item</t>
  </si>
  <si>
    <t>Shipping_Result_History_Inquiry_All</t>
  </si>
  <si>
    <t>Export_Stock_List</t>
  </si>
  <si>
    <t>Stock_Status_Management</t>
  </si>
  <si>
    <t>Search_Shipper_Master</t>
  </si>
  <si>
    <t>Shipper_Master_Settings</t>
  </si>
  <si>
    <t>Daily_Closing</t>
  </si>
  <si>
    <t>LOMOSKR002</t>
  </si>
  <si>
    <t>Process!K4:K4</t>
  </si>
  <si>
    <t>Process!K5:K5</t>
  </si>
  <si>
    <t>Process!K6:K7</t>
  </si>
  <si>
    <t>Process!K8:K8</t>
  </si>
  <si>
    <t>Process!K9:K9</t>
  </si>
  <si>
    <t>Process!K10:K10</t>
  </si>
  <si>
    <t>Process!K11:K11</t>
  </si>
  <si>
    <t>Process!K12:K12</t>
  </si>
  <si>
    <t>Process!K13:K13</t>
  </si>
  <si>
    <t>Process!K14:K14</t>
  </si>
  <si>
    <t>Process!K15:K15</t>
  </si>
  <si>
    <t>Process!K16:K16</t>
  </si>
  <si>
    <t>Process!K17:K17</t>
  </si>
  <si>
    <t>Process!K18:K18</t>
  </si>
  <si>
    <t>Process!K19:K19</t>
  </si>
  <si>
    <t>Process!K20:K20</t>
  </si>
  <si>
    <t>Process!K21:K21</t>
  </si>
  <si>
    <t>Process!K22:K22</t>
  </si>
  <si>
    <t>Process!K23:K23</t>
  </si>
  <si>
    <t>Process!K24:K24</t>
  </si>
  <si>
    <t>Process!K25:K25</t>
  </si>
  <si>
    <t>Process!K26:K26</t>
  </si>
  <si>
    <t>Process!K27:K27</t>
  </si>
  <si>
    <t>Process!K28:K28</t>
  </si>
  <si>
    <t>Process!K29:K29</t>
  </si>
  <si>
    <t>Process!K30:K30</t>
  </si>
  <si>
    <t>Process!K31:K31</t>
  </si>
  <si>
    <t>Process!K32:K32</t>
  </si>
  <si>
    <t>Process!K33:K33</t>
  </si>
  <si>
    <t>Process!K34:K34</t>
  </si>
  <si>
    <t>Process!K35:K35</t>
  </si>
  <si>
    <t>Process!K36:K36</t>
  </si>
  <si>
    <t>Process!K37:K37</t>
  </si>
  <si>
    <t>LOMOSMS004</t>
  </si>
  <si>
    <t>LOMOSMS005</t>
  </si>
  <si>
    <t>LOMOSMS006</t>
  </si>
  <si>
    <t>LOMOSMS007</t>
  </si>
  <si>
    <t>LOMOSMS015</t>
  </si>
  <si>
    <t>LOMOSMS022</t>
  </si>
  <si>
    <t>LOMOSMS023</t>
  </si>
  <si>
    <t>LOMOSMS025</t>
  </si>
  <si>
    <t>LOMOSMS060</t>
  </si>
  <si>
    <t>LOMOSMS061</t>
  </si>
  <si>
    <t>LOMOSNK005</t>
  </si>
  <si>
    <t>LOMOSNK012</t>
  </si>
  <si>
    <t>LOMOSNK013</t>
  </si>
  <si>
    <t>LOMOSNK014</t>
  </si>
  <si>
    <t>LOMOSSK006</t>
  </si>
  <si>
    <t>LOMOSSK007</t>
  </si>
  <si>
    <t>LOMOSSK008</t>
  </si>
  <si>
    <t>LOMOSSK010</t>
  </si>
  <si>
    <t>LOMOSSK013</t>
  </si>
  <si>
    <t>LOMOSSK014</t>
  </si>
  <si>
    <t>LOMOSSK015</t>
  </si>
  <si>
    <t>LOMOSTN001</t>
  </si>
  <si>
    <t>LOMOSTN002</t>
  </si>
  <si>
    <t>LOMOSTN003</t>
  </si>
  <si>
    <t>LOMOSTR002</t>
  </si>
  <si>
    <t>LOMOSTR003</t>
  </si>
  <si>
    <t>LOMOSTR004</t>
  </si>
  <si>
    <t>LOMOSTR007</t>
  </si>
  <si>
    <t>LOMOSZK006</t>
  </si>
  <si>
    <t>LOMOSZK007</t>
  </si>
  <si>
    <t>LOMOSZN005</t>
  </si>
  <si>
    <t>LOMOSZN006</t>
  </si>
  <si>
    <t>LOMOSZN007</t>
  </si>
  <si>
    <t>Process!G3:G36</t>
  </si>
  <si>
    <t>1. Show table with 1 or more data.
2. Set cursor over text.</t>
  </si>
  <si>
    <t>1. Tool tip is shown.</t>
  </si>
  <si>
    <t>File Name</t>
  </si>
  <si>
    <t>Error Info</t>
  </si>
  <si>
    <t>Dropdown</t>
  </si>
  <si>
    <t>Shipper Dropdown</t>
  </si>
  <si>
    <t>1. Click dropdown.</t>
  </si>
  <si>
    <t>Checkbox</t>
  </si>
  <si>
    <t>Show error only checkbox.</t>
  </si>
  <si>
    <t>1. Check checkbox.
2. Click search.</t>
  </si>
  <si>
    <t>1. Items with ONLY error is shown.</t>
  </si>
  <si>
    <t>1. Uncheck checkbox.
2. Click search.</t>
  </si>
  <si>
    <t>1. Items with NO error is shown.</t>
  </si>
  <si>
    <t>Table max content</t>
  </si>
  <si>
    <t>Table</t>
  </si>
  <si>
    <t>1. Search with any criteria.</t>
  </si>
  <si>
    <t>1. Each page has max 200 items.</t>
  </si>
  <si>
    <t>1. Switch Page multiple times</t>
  </si>
  <si>
    <t>1. Each page is showing items related to page index.</t>
  </si>
  <si>
    <t>Search result message : with result</t>
  </si>
  <si>
    <t>Message</t>
  </si>
  <si>
    <t>1. Search with 1 or more result.</t>
  </si>
  <si>
    <t>1. Message "x item found" is shown.</t>
  </si>
  <si>
    <t>Search result message : no result</t>
  </si>
  <si>
    <t>1. Search with no result.</t>
  </si>
  <si>
    <t>1. Message "No item matches search criteria is found" is shown.</t>
  </si>
  <si>
    <t>1. Default selecton is empty.
2. In dropdown, first item is empty.
3. In dropdown, each Shipper info is shown.</t>
    <phoneticPr fontId="3"/>
  </si>
  <si>
    <t>Ev.1</t>
    <phoneticPr fontId="3"/>
  </si>
  <si>
    <t>Ev.2</t>
    <phoneticPr fontId="3"/>
  </si>
  <si>
    <t>Iskandar</t>
    <phoneticPr fontId="3"/>
  </si>
  <si>
    <t>Ev.3</t>
    <phoneticPr fontId="3"/>
  </si>
  <si>
    <t>Failed</t>
  </si>
  <si>
    <t>Ev.4</t>
    <phoneticPr fontId="3"/>
  </si>
  <si>
    <t>Ev.5</t>
    <phoneticPr fontId="3"/>
  </si>
  <si>
    <t>Ev.6</t>
  </si>
  <si>
    <t>Ev,5</t>
    <phoneticPr fontId="3"/>
  </si>
  <si>
    <t>Ev.7</t>
    <phoneticPr fontId="3"/>
  </si>
  <si>
    <t>x</t>
  </si>
  <si>
    <t>Layout - Common</t>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</si>
</sst>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Red]&quot;¥&quot;\-#,##0"/>
    <numFmt numFmtId="176" formatCode="_(&quot;$&quot;* #,##0_);_(&quot;$&quot;* \(#,##0\);_(&quot;$&quot;* &quot;-&quot;_);_(@_)"/>
    <numFmt numFmtId="177" formatCode="_(* #,##0_);_(* \(#,##0\);_(* &quot;-&quot;_);_(@_)"/>
    <numFmt numFmtId="178" formatCode="_(&quot;$&quot;* #,##0.00_);_(&quot;$&quot;* \(#,##0.00\);_(&quot;$&quot;* &quot;-&quot;??_);_(@_)"/>
    <numFmt numFmtId="179" formatCode="_(* #,##0.00_);_(* \(#,##0.00\);_(* &quot;-&quot;??_);_(@_)"/>
    <numFmt numFmtId="180" formatCode="0.0_ "/>
    <numFmt numFmtId="181" formatCode="0_ "/>
    <numFmt numFmtId="182" formatCode="0_);[Red]\(0\)"/>
    <numFmt numFmtId="183" formatCode="#,##0;\-#,##0;&quot;-&quot;"/>
    <numFmt numFmtId="184" formatCode="0.000_ "/>
    <numFmt numFmtId="185" formatCode="0_ ;[Red]\-0\ "/>
    <numFmt numFmtId="186" formatCode="0.00_);[Red]\(0.00\)"/>
    <numFmt numFmtId="187" formatCode="0.00_ "/>
  </numFmts>
  <fonts count="50" x14ac:knownFonts="1">
    <font>
      <sz val="11"/>
      <name val="ＭＳ Ｐゴシック"/>
      <family val="3"/>
      <charset val="128"/>
    </font>
    <font>
      <sz val="11"/>
      <color indexed="8"/>
      <name val="ＭＳ Ｐゴシック"/>
      <family val="3"/>
      <charset val="128"/>
    </font>
    <font>
      <sz val="11"/>
      <name val="ＭＳ Ｐゴシック"/>
      <family val="3"/>
      <charset val="128"/>
    </font>
    <font>
      <sz val="6"/>
      <name val="ＭＳ Ｐゴシック"/>
      <family val="3"/>
      <charset val="128"/>
    </font>
    <font>
      <sz val="10"/>
      <name val="ＭＳ Ｐゴシック"/>
      <family val="3"/>
      <charset val="128"/>
    </font>
    <font>
      <sz val="11"/>
      <name val="Arial"/>
      <family val="2"/>
    </font>
    <font>
      <sz val="10"/>
      <name val="ＭＳ ゴシック"/>
      <family val="3"/>
      <charset val="128"/>
    </font>
    <font>
      <sz val="6"/>
      <name val="ＭＳ ゴシック"/>
      <family val="3"/>
      <charset val="128"/>
    </font>
    <font>
      <sz val="11"/>
      <name val="ＭＳ ゴシック"/>
      <family val="3"/>
      <charset val="128"/>
    </font>
    <font>
      <sz val="10"/>
      <color indexed="8"/>
      <name val="Arial"/>
      <family val="2"/>
    </font>
    <font>
      <b/>
      <sz val="12"/>
      <name val="Arial"/>
      <family val="2"/>
    </font>
    <font>
      <sz val="10"/>
      <name val="Arial"/>
      <family val="2"/>
    </font>
    <font>
      <sz val="11"/>
      <color theme="1"/>
      <name val="ＭＳ Ｐゴシック"/>
      <family val="3"/>
      <charset val="128"/>
      <scheme val="minor"/>
    </font>
    <font>
      <sz val="6"/>
      <name val="ＭＳ Ｐゴシック"/>
      <family val="2"/>
      <charset val="128"/>
      <scheme val="minor"/>
    </font>
    <font>
      <u/>
      <sz val="11"/>
      <color theme="10"/>
      <name val="ＭＳ Ｐゴシック"/>
      <family val="3"/>
      <charset val="128"/>
    </font>
    <font>
      <sz val="10"/>
      <color theme="1"/>
      <name val="ＭＳ ゴシック"/>
      <family val="2"/>
      <charset val="128"/>
    </font>
    <font>
      <b/>
      <sz val="14"/>
      <color indexed="9"/>
      <name val="Arial"/>
      <family val="2"/>
    </font>
    <font>
      <b/>
      <sz val="14"/>
      <name val="Arial"/>
      <family val="2"/>
    </font>
    <font>
      <b/>
      <sz val="10"/>
      <name val="Arial"/>
      <family val="2"/>
    </font>
    <font>
      <sz val="8"/>
      <name val="Arial"/>
      <family val="2"/>
    </font>
    <font>
      <b/>
      <i/>
      <sz val="10"/>
      <name val="Arial"/>
      <family val="2"/>
    </font>
    <font>
      <sz val="14"/>
      <name val="Arial"/>
      <family val="2"/>
    </font>
    <font>
      <sz val="11"/>
      <color indexed="81"/>
      <name val="Arial"/>
      <family val="2"/>
    </font>
    <font>
      <sz val="11"/>
      <color theme="1"/>
      <name val="Arial"/>
      <family val="2"/>
    </font>
    <font>
      <b/>
      <sz val="14"/>
      <color theme="0"/>
      <name val="Arial"/>
      <family val="2"/>
    </font>
    <font>
      <sz val="12"/>
      <name val="Arial"/>
      <family val="2"/>
    </font>
    <font>
      <b/>
      <sz val="11"/>
      <color rgb="FFFF0000"/>
      <name val="Arial"/>
      <family val="2"/>
    </font>
    <font>
      <b/>
      <sz val="8"/>
      <name val="Arial"/>
      <family val="2"/>
    </font>
    <font>
      <b/>
      <sz val="11"/>
      <name val="Arial"/>
      <family val="2"/>
    </font>
    <font>
      <sz val="11"/>
      <color rgb="FFFF0000"/>
      <name val="Arial"/>
      <family val="2"/>
    </font>
    <font>
      <b/>
      <i/>
      <u/>
      <sz val="11"/>
      <name val="Arial"/>
      <family val="2"/>
    </font>
    <font>
      <b/>
      <i/>
      <u/>
      <sz val="11"/>
      <color rgb="FFFF0000"/>
      <name val="Arial"/>
      <family val="2"/>
    </font>
    <font>
      <b/>
      <i/>
      <u/>
      <sz val="11"/>
      <color indexed="10"/>
      <name val="Arial"/>
      <family val="2"/>
    </font>
    <font>
      <b/>
      <sz val="14"/>
      <color rgb="FF000000"/>
      <name val="Arial"/>
      <family val="2"/>
    </font>
    <font>
      <sz val="11"/>
      <color rgb="FF0070C0"/>
      <name val="Arial"/>
      <family val="2"/>
    </font>
    <font>
      <b/>
      <sz val="12"/>
      <color rgb="FFFF0000"/>
      <name val="Arial"/>
      <family val="2"/>
    </font>
    <font>
      <u/>
      <sz val="11"/>
      <color theme="10"/>
      <name val="Arial"/>
      <family val="2"/>
    </font>
    <font>
      <sz val="10"/>
      <name val="Meiryo UI"/>
      <family val="3"/>
      <charset val="128"/>
    </font>
    <font>
      <b/>
      <sz val="11"/>
      <color theme="0" tint="-0.499984740745262"/>
      <name val="Arial"/>
      <family val="2"/>
    </font>
    <font>
      <sz val="6"/>
      <name val="ＭＳ ゴシック"/>
      <family val="2"/>
      <charset val="128"/>
    </font>
    <font>
      <sz val="11"/>
      <color theme="0" tint="-0.499984740745262"/>
      <name val="Arial"/>
      <family val="2"/>
    </font>
    <font>
      <sz val="12"/>
      <name val="Meiryo UI"/>
      <family val="3"/>
      <charset val="128"/>
    </font>
    <font>
      <sz val="12"/>
      <color indexed="10"/>
      <name val="Arial"/>
      <family val="2"/>
    </font>
    <font>
      <b/>
      <sz val="11"/>
      <color theme="0"/>
      <name val="Arial"/>
      <family val="2"/>
    </font>
    <font>
      <b/>
      <sz val="11"/>
      <color theme="1"/>
      <name val="Arial"/>
      <family val="2"/>
    </font>
    <font>
      <b/>
      <sz val="16"/>
      <name val="Arial"/>
      <family val="2"/>
    </font>
    <font>
      <b/>
      <sz val="11"/>
      <name val="Meiryo UI"/>
      <family val="3"/>
      <charset val="128"/>
    </font>
    <font>
      <sz val="11"/>
      <name val="Meiryo UI"/>
      <family val="3"/>
      <charset val="128"/>
    </font>
    <font>
      <sz val="12"/>
      <color rgb="FFFF0000"/>
      <name val="Arial"/>
      <family val="2"/>
    </font>
    <font>
      <sz val="11"/>
      <color theme="1"/>
      <name val="ＭＳ Ｐゴシック"/>
      <family val="3"/>
      <charset val="128"/>
    </font>
  </fonts>
  <fills count="17">
    <fill>
      <patternFill patternType="none"/>
    </fill>
    <fill>
      <patternFill patternType="gray125"/>
    </fill>
    <fill>
      <patternFill patternType="solid">
        <fgColor indexed="43"/>
        <bgColor indexed="64"/>
      </patternFill>
    </fill>
    <fill>
      <patternFill patternType="solid">
        <fgColor indexed="9"/>
        <bgColor indexed="64"/>
      </patternFill>
    </fill>
    <fill>
      <patternFill patternType="solid">
        <fgColor theme="0"/>
        <bgColor indexed="64"/>
      </patternFill>
    </fill>
    <fill>
      <patternFill patternType="solid">
        <fgColor rgb="FFCCCCFF"/>
        <bgColor indexed="64"/>
      </patternFill>
    </fill>
    <fill>
      <patternFill patternType="solid">
        <fgColor rgb="FFF0FFFF"/>
        <bgColor indexed="64"/>
      </patternFill>
    </fill>
    <fill>
      <patternFill patternType="solid">
        <fgColor rgb="FFE0E0FF"/>
        <bgColor indexed="64"/>
      </patternFill>
    </fill>
    <fill>
      <patternFill patternType="solid">
        <fgColor rgb="FF000099"/>
        <bgColor indexed="64"/>
      </patternFill>
    </fill>
    <fill>
      <patternFill patternType="solid">
        <fgColor rgb="FFFFFF99"/>
        <bgColor indexed="64"/>
      </patternFill>
    </fill>
    <fill>
      <patternFill patternType="solid">
        <fgColor rgb="FFCCFFE0"/>
        <bgColor indexed="64"/>
      </patternFill>
    </fill>
    <fill>
      <patternFill patternType="solid">
        <fgColor rgb="FFF2DCDB"/>
        <bgColor indexed="64"/>
      </patternFill>
    </fill>
    <fill>
      <patternFill patternType="solid">
        <fgColor theme="0" tint="-0.14999847407452621"/>
        <bgColor indexed="64"/>
      </patternFill>
    </fill>
    <fill>
      <patternFill patternType="solid">
        <fgColor rgb="FFCCFFFF"/>
        <bgColor indexed="64"/>
      </patternFill>
    </fill>
    <fill>
      <patternFill patternType="solid">
        <fgColor rgb="FFFF0000"/>
        <bgColor indexed="64"/>
      </patternFill>
    </fill>
    <fill>
      <patternFill patternType="solid">
        <fgColor theme="6" tint="0.59999389629810485"/>
        <bgColor indexed="64"/>
      </patternFill>
    </fill>
    <fill>
      <patternFill patternType="solid">
        <fgColor theme="8" tint="0.79998168889431442"/>
        <bgColor indexed="64"/>
      </patternFill>
    </fill>
  </fills>
  <borders count="76">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hair">
        <color indexed="64"/>
      </right>
      <top style="thin">
        <color indexed="64"/>
      </top>
      <bottom/>
      <diagonal/>
    </border>
    <border>
      <left style="thin">
        <color indexed="64"/>
      </left>
      <right/>
      <top style="hair">
        <color indexed="64"/>
      </top>
      <bottom style="hair">
        <color indexed="64"/>
      </bottom>
      <diagonal/>
    </border>
    <border>
      <left/>
      <right style="hair">
        <color indexed="64"/>
      </right>
      <top style="hair">
        <color indexed="64"/>
      </top>
      <bottom style="hair">
        <color indexed="64"/>
      </bottom>
      <diagonal/>
    </border>
    <border>
      <left/>
      <right style="hair">
        <color indexed="64"/>
      </right>
      <top/>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right style="hair">
        <color indexed="64"/>
      </right>
      <top/>
      <bottom style="thin">
        <color indexed="64"/>
      </bottom>
      <diagonal/>
    </border>
    <border>
      <left style="hair">
        <color indexed="64"/>
      </left>
      <right/>
      <top/>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thin">
        <color indexed="64"/>
      </top>
      <bottom style="thin">
        <color indexed="64"/>
      </bottom>
      <diagonal/>
    </border>
    <border>
      <left style="thin">
        <color indexed="64"/>
      </left>
      <right style="hair">
        <color indexed="64"/>
      </right>
      <top/>
      <bottom style="hair">
        <color indexed="64"/>
      </bottom>
      <diagonal/>
    </border>
    <border>
      <left/>
      <right style="hair">
        <color indexed="64"/>
      </right>
      <top style="hair">
        <color indexed="64"/>
      </top>
      <bottom style="thin">
        <color indexed="64"/>
      </bottom>
      <diagonal/>
    </border>
    <border>
      <left/>
      <right/>
      <top style="thin">
        <color indexed="64"/>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style="thin">
        <color indexed="64"/>
      </right>
      <top/>
      <bottom style="hair">
        <color indexed="64"/>
      </bottom>
      <diagonal/>
    </border>
    <border>
      <left/>
      <right/>
      <top/>
      <bottom style="thin">
        <color auto="1"/>
      </bottom>
      <diagonal/>
    </border>
    <border>
      <left/>
      <right style="thin">
        <color auto="1"/>
      </right>
      <top/>
      <bottom style="thin">
        <color auto="1"/>
      </bottom>
      <diagonal/>
    </border>
    <border>
      <left style="thin">
        <color rgb="FF000099"/>
      </left>
      <right/>
      <top style="thin">
        <color rgb="FF000099"/>
      </top>
      <bottom/>
      <diagonal/>
    </border>
    <border>
      <left/>
      <right/>
      <top style="thin">
        <color rgb="FF000099"/>
      </top>
      <bottom/>
      <diagonal/>
    </border>
    <border>
      <left/>
      <right style="thin">
        <color rgb="FF000099"/>
      </right>
      <top style="thin">
        <color rgb="FF000099"/>
      </top>
      <bottom/>
      <diagonal/>
    </border>
    <border>
      <left style="thin">
        <color rgb="FF000099"/>
      </left>
      <right/>
      <top/>
      <bottom style="thin">
        <color rgb="FF000099"/>
      </bottom>
      <diagonal/>
    </border>
    <border>
      <left/>
      <right/>
      <top/>
      <bottom style="thin">
        <color rgb="FF000099"/>
      </bottom>
      <diagonal/>
    </border>
    <border>
      <left/>
      <right style="thin">
        <color rgb="FF000099"/>
      </right>
      <top/>
      <bottom style="thin">
        <color rgb="FF000099"/>
      </bottom>
      <diagonal/>
    </border>
    <border>
      <left style="hair">
        <color indexed="64"/>
      </left>
      <right style="hair">
        <color indexed="64"/>
      </right>
      <top/>
      <bottom style="thin">
        <color indexed="64"/>
      </bottom>
      <diagonal/>
    </border>
    <border>
      <left style="hair">
        <color indexed="64"/>
      </left>
      <right/>
      <top style="thin">
        <color indexed="64"/>
      </top>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right style="hair">
        <color indexed="64"/>
      </right>
      <top style="thin">
        <color indexed="64"/>
      </top>
      <bottom style="thin">
        <color indexed="64"/>
      </bottom>
      <diagonal/>
    </border>
    <border>
      <left/>
      <right/>
      <top style="thin">
        <color auto="1"/>
      </top>
      <bottom/>
      <diagonal/>
    </border>
    <border>
      <left/>
      <right style="thin">
        <color indexed="64"/>
      </right>
      <top style="thin">
        <color indexed="64"/>
      </top>
      <bottom style="thin">
        <color rgb="FF000000"/>
      </bottom>
      <diagonal/>
    </border>
    <border>
      <left style="thin">
        <color indexed="64"/>
      </left>
      <right/>
      <top style="thin">
        <color indexed="64"/>
      </top>
      <bottom style="thin">
        <color rgb="FF000000"/>
      </bottom>
      <diagonal/>
    </border>
    <border>
      <left/>
      <right/>
      <top style="thin">
        <color rgb="FF000099"/>
      </top>
      <bottom style="thin">
        <color auto="1"/>
      </bottom>
      <diagonal/>
    </border>
  </borders>
  <cellStyleXfs count="22">
    <xf numFmtId="0" fontId="0" fillId="0" borderId="0"/>
    <xf numFmtId="183" fontId="9" fillId="0" borderId="0" applyFill="0" applyBorder="0" applyAlignment="0"/>
    <xf numFmtId="0" fontId="10" fillId="0" borderId="1" applyNumberFormat="0" applyAlignment="0" applyProtection="0">
      <alignment horizontal="left" vertical="center"/>
    </xf>
    <xf numFmtId="0" fontId="10" fillId="0" borderId="2">
      <alignment horizontal="left" vertical="center"/>
    </xf>
    <xf numFmtId="0" fontId="8" fillId="2" borderId="3" applyNumberFormat="0" applyFill="0" applyBorder="0">
      <alignment vertical="center" wrapText="1"/>
    </xf>
    <xf numFmtId="179" fontId="1" fillId="0" borderId="0" applyFont="0" applyFill="0" applyBorder="0" applyAlignment="0" applyProtection="0"/>
    <xf numFmtId="177" fontId="1" fillId="0" borderId="0" applyFont="0" applyFill="0" applyBorder="0" applyAlignment="0" applyProtection="0"/>
    <xf numFmtId="38" fontId="8" fillId="0" borderId="0" applyFont="0" applyFill="0" applyBorder="0" applyAlignment="0" applyProtection="0"/>
    <xf numFmtId="178" fontId="1" fillId="0" borderId="0" applyFont="0" applyFill="0" applyBorder="0" applyAlignment="0" applyProtection="0"/>
    <xf numFmtId="176" fontId="1" fillId="0" borderId="0" applyFont="0" applyFill="0" applyBorder="0" applyAlignment="0" applyProtection="0"/>
    <xf numFmtId="6" fontId="2" fillId="0" borderId="0" applyFont="0" applyFill="0" applyBorder="0" applyAlignment="0" applyProtection="0"/>
    <xf numFmtId="0" fontId="6" fillId="0" borderId="0"/>
    <xf numFmtId="0" fontId="6" fillId="0" borderId="0"/>
    <xf numFmtId="0" fontId="12" fillId="0" borderId="0">
      <alignment vertical="center"/>
    </xf>
    <xf numFmtId="0" fontId="2" fillId="0" borderId="0">
      <alignment vertical="center"/>
    </xf>
    <xf numFmtId="0" fontId="2" fillId="0" borderId="0"/>
    <xf numFmtId="0" fontId="4" fillId="0" borderId="0">
      <alignment vertical="center"/>
    </xf>
    <xf numFmtId="0" fontId="14" fillId="0" borderId="0" applyNumberFormat="0" applyFill="0" applyBorder="0" applyAlignment="0" applyProtection="0"/>
    <xf numFmtId="0" fontId="2" fillId="0" borderId="0">
      <alignment vertical="center"/>
    </xf>
    <xf numFmtId="0" fontId="15" fillId="0" borderId="0">
      <alignment vertical="center"/>
    </xf>
    <xf numFmtId="0" fontId="2" fillId="0" borderId="0">
      <alignment vertical="center"/>
    </xf>
    <xf numFmtId="0" fontId="2" fillId="0" borderId="0">
      <alignment vertical="center"/>
    </xf>
  </cellStyleXfs>
  <cellXfs count="655">
    <xf numFmtId="0" fontId="0" fillId="0" borderId="0" xfId="0"/>
    <xf numFmtId="49" fontId="11" fillId="3" borderId="12" xfId="0" applyNumberFormat="1" applyFont="1" applyFill="1" applyBorder="1" applyAlignment="1">
      <alignment horizontal="center" vertical="center"/>
    </xf>
    <xf numFmtId="49" fontId="11" fillId="3" borderId="13" xfId="0" applyNumberFormat="1" applyFont="1" applyFill="1" applyBorder="1" applyAlignment="1">
      <alignment vertical="center"/>
    </xf>
    <xf numFmtId="49" fontId="11" fillId="0" borderId="13" xfId="0" applyNumberFormat="1" applyFont="1" applyBorder="1" applyAlignment="1">
      <alignment vertical="center"/>
    </xf>
    <xf numFmtId="49" fontId="11" fillId="0" borderId="14" xfId="0" applyNumberFormat="1" applyFont="1" applyBorder="1" applyAlignment="1">
      <alignment vertical="center"/>
    </xf>
    <xf numFmtId="49" fontId="11" fillId="0" borderId="0" xfId="0" applyNumberFormat="1" applyFont="1" applyAlignment="1">
      <alignment vertical="center"/>
    </xf>
    <xf numFmtId="49" fontId="11" fillId="3" borderId="15" xfId="0" applyNumberFormat="1" applyFont="1" applyFill="1" applyBorder="1" applyAlignment="1">
      <alignment horizontal="center" vertical="center"/>
    </xf>
    <xf numFmtId="49" fontId="11" fillId="3" borderId="0" xfId="0" applyNumberFormat="1" applyFont="1" applyFill="1" applyBorder="1" applyAlignment="1">
      <alignment vertical="center"/>
    </xf>
    <xf numFmtId="49" fontId="11" fillId="3" borderId="16" xfId="0" applyNumberFormat="1" applyFont="1" applyFill="1" applyBorder="1" applyAlignment="1">
      <alignment vertical="center"/>
    </xf>
    <xf numFmtId="49" fontId="11" fillId="0" borderId="0" xfId="0" applyNumberFormat="1" applyFont="1" applyAlignment="1">
      <alignment horizontal="left" vertical="center"/>
    </xf>
    <xf numFmtId="49" fontId="11" fillId="3" borderId="15" xfId="0" applyNumberFormat="1" applyFont="1" applyFill="1" applyBorder="1" applyAlignment="1">
      <alignment vertical="center"/>
    </xf>
    <xf numFmtId="49" fontId="18" fillId="4" borderId="59" xfId="0" applyNumberFormat="1" applyFont="1" applyFill="1" applyBorder="1" applyAlignment="1">
      <alignment horizontal="left" vertical="center"/>
    </xf>
    <xf numFmtId="49" fontId="11" fillId="4" borderId="59" xfId="0" applyNumberFormat="1" applyFont="1" applyFill="1" applyBorder="1" applyAlignment="1">
      <alignment vertical="center"/>
    </xf>
    <xf numFmtId="49" fontId="18" fillId="3" borderId="0" xfId="0" applyNumberFormat="1" applyFont="1" applyFill="1" applyBorder="1" applyAlignment="1">
      <alignment horizontal="left" vertical="center"/>
    </xf>
    <xf numFmtId="49" fontId="18" fillId="4" borderId="0" xfId="0" applyNumberFormat="1" applyFont="1" applyFill="1" applyBorder="1" applyAlignment="1">
      <alignment horizontal="center" vertical="center"/>
    </xf>
    <xf numFmtId="49" fontId="11" fillId="3" borderId="0" xfId="0" applyNumberFormat="1" applyFont="1" applyFill="1" applyBorder="1" applyAlignment="1">
      <alignment horizontal="center" vertical="center"/>
    </xf>
    <xf numFmtId="49" fontId="11" fillId="3" borderId="16" xfId="0" applyNumberFormat="1" applyFont="1" applyFill="1" applyBorder="1" applyAlignment="1">
      <alignment horizontal="center" vertical="center"/>
    </xf>
    <xf numFmtId="49" fontId="11" fillId="0" borderId="0" xfId="0" applyNumberFormat="1" applyFont="1" applyAlignment="1">
      <alignment horizontal="center" vertical="center"/>
    </xf>
    <xf numFmtId="49" fontId="11" fillId="3" borderId="15" xfId="0" applyNumberFormat="1" applyFont="1" applyFill="1" applyBorder="1" applyAlignment="1" applyProtection="1">
      <alignment vertical="center"/>
    </xf>
    <xf numFmtId="0" fontId="11" fillId="3" borderId="0" xfId="0" applyFont="1" applyFill="1" applyBorder="1" applyAlignment="1" applyProtection="1">
      <alignment vertical="center"/>
    </xf>
    <xf numFmtId="49" fontId="18" fillId="3" borderId="0" xfId="0" applyNumberFormat="1" applyFont="1" applyFill="1" applyBorder="1" applyAlignment="1" applyProtection="1">
      <alignment horizontal="left" vertical="center"/>
    </xf>
    <xf numFmtId="49" fontId="11" fillId="4" borderId="0" xfId="0" applyNumberFormat="1" applyFont="1" applyFill="1" applyBorder="1" applyAlignment="1">
      <alignment horizontal="left" vertical="center"/>
    </xf>
    <xf numFmtId="0" fontId="11" fillId="3" borderId="0" xfId="0" applyFont="1" applyFill="1" applyBorder="1" applyAlignment="1" applyProtection="1">
      <alignment horizontal="left" vertical="center"/>
    </xf>
    <xf numFmtId="49" fontId="18" fillId="3" borderId="0" xfId="0" applyNumberFormat="1" applyFont="1" applyFill="1" applyBorder="1" applyAlignment="1" applyProtection="1">
      <alignment horizontal="center" vertical="center"/>
    </xf>
    <xf numFmtId="49" fontId="11" fillId="3" borderId="0" xfId="0" applyNumberFormat="1" applyFont="1" applyFill="1" applyBorder="1" applyAlignment="1" applyProtection="1">
      <alignment horizontal="center" vertical="center"/>
    </xf>
    <xf numFmtId="49" fontId="11" fillId="3" borderId="0" xfId="0" applyNumberFormat="1" applyFont="1" applyFill="1" applyBorder="1" applyAlignment="1" applyProtection="1">
      <alignment horizontal="left" vertical="center"/>
    </xf>
    <xf numFmtId="49" fontId="11" fillId="3" borderId="16" xfId="0" applyNumberFormat="1" applyFont="1" applyFill="1" applyBorder="1" applyAlignment="1" applyProtection="1">
      <alignment horizontal="center" vertical="center"/>
    </xf>
    <xf numFmtId="49" fontId="11" fillId="0" borderId="0" xfId="0" applyNumberFormat="1" applyFont="1" applyAlignment="1" applyProtection="1">
      <alignment horizontal="center" vertical="center"/>
    </xf>
    <xf numFmtId="49" fontId="11" fillId="3" borderId="0" xfId="0" applyNumberFormat="1" applyFont="1" applyFill="1" applyBorder="1" applyAlignment="1" applyProtection="1">
      <alignment vertical="center"/>
    </xf>
    <xf numFmtId="49" fontId="18" fillId="3" borderId="0" xfId="0" applyNumberFormat="1" applyFont="1" applyFill="1" applyBorder="1" applyAlignment="1" applyProtection="1">
      <alignment vertical="center"/>
    </xf>
    <xf numFmtId="49" fontId="11" fillId="0" borderId="0" xfId="0" applyNumberFormat="1" applyFont="1" applyAlignment="1" applyProtection="1">
      <alignment vertical="center"/>
    </xf>
    <xf numFmtId="49" fontId="18" fillId="0" borderId="12" xfId="0" applyNumberFormat="1" applyFont="1" applyFill="1" applyBorder="1" applyAlignment="1" applyProtection="1">
      <alignment vertical="center"/>
    </xf>
    <xf numFmtId="14" fontId="11" fillId="0" borderId="14" xfId="0" applyNumberFormat="1" applyFont="1" applyFill="1" applyBorder="1" applyAlignment="1" applyProtection="1">
      <alignment vertical="center"/>
    </xf>
    <xf numFmtId="14" fontId="11" fillId="0" borderId="0" xfId="0" applyNumberFormat="1" applyFont="1" applyFill="1" applyBorder="1" applyAlignment="1" applyProtection="1">
      <alignment vertical="center"/>
    </xf>
    <xf numFmtId="49" fontId="18" fillId="3" borderId="12" xfId="0" applyNumberFormat="1" applyFont="1" applyFill="1" applyBorder="1" applyAlignment="1" applyProtection="1">
      <alignment vertical="center"/>
    </xf>
    <xf numFmtId="14" fontId="11" fillId="3" borderId="14" xfId="0" applyNumberFormat="1" applyFont="1" applyFill="1" applyBorder="1" applyAlignment="1" applyProtection="1">
      <alignment vertical="center"/>
    </xf>
    <xf numFmtId="49" fontId="11" fillId="3" borderId="16" xfId="0" applyNumberFormat="1" applyFont="1" applyFill="1" applyBorder="1" applyAlignment="1" applyProtection="1">
      <alignment vertical="center"/>
    </xf>
    <xf numFmtId="14" fontId="11" fillId="0" borderId="16" xfId="0" applyNumberFormat="1" applyFont="1" applyFill="1" applyBorder="1" applyAlignment="1" applyProtection="1">
      <alignment vertical="center"/>
    </xf>
    <xf numFmtId="49" fontId="18" fillId="3" borderId="15" xfId="0" applyNumberFormat="1" applyFont="1" applyFill="1" applyBorder="1" applyAlignment="1" applyProtection="1">
      <alignment vertical="center"/>
    </xf>
    <xf numFmtId="14" fontId="11" fillId="3" borderId="0" xfId="0" applyNumberFormat="1" applyFont="1" applyFill="1" applyBorder="1" applyAlignment="1" applyProtection="1">
      <alignment vertical="center"/>
    </xf>
    <xf numFmtId="14" fontId="11" fillId="3" borderId="16" xfId="0" applyNumberFormat="1" applyFont="1" applyFill="1" applyBorder="1" applyAlignment="1" applyProtection="1">
      <alignment vertical="center"/>
    </xf>
    <xf numFmtId="49" fontId="11" fillId="4" borderId="0" xfId="0" applyNumberFormat="1" applyFont="1" applyFill="1" applyBorder="1" applyAlignment="1" applyProtection="1">
      <alignment vertical="center"/>
    </xf>
    <xf numFmtId="49" fontId="11" fillId="0" borderId="15" xfId="0" applyNumberFormat="1" applyFont="1" applyFill="1" applyBorder="1" applyAlignment="1" applyProtection="1">
      <alignment vertical="center"/>
    </xf>
    <xf numFmtId="49" fontId="11" fillId="0" borderId="0" xfId="0" applyNumberFormat="1" applyFont="1" applyFill="1" applyBorder="1" applyAlignment="1" applyProtection="1">
      <alignment vertical="center"/>
    </xf>
    <xf numFmtId="49" fontId="11" fillId="0" borderId="16" xfId="0" applyNumberFormat="1" applyFont="1" applyFill="1" applyBorder="1" applyAlignment="1" applyProtection="1">
      <alignment vertical="center"/>
    </xf>
    <xf numFmtId="49" fontId="11" fillId="0" borderId="0" xfId="0" applyNumberFormat="1" applyFont="1" applyFill="1" applyAlignment="1" applyProtection="1">
      <alignment vertical="center"/>
    </xf>
    <xf numFmtId="49" fontId="11" fillId="0" borderId="15" xfId="0" applyNumberFormat="1" applyFont="1" applyBorder="1" applyAlignment="1" applyProtection="1">
      <alignment vertical="center"/>
    </xf>
    <xf numFmtId="49" fontId="11" fillId="0" borderId="0" xfId="0" applyNumberFormat="1" applyFont="1" applyBorder="1" applyAlignment="1" applyProtection="1">
      <alignment vertical="center"/>
    </xf>
    <xf numFmtId="49" fontId="11" fillId="0" borderId="16" xfId="0" applyNumberFormat="1" applyFont="1" applyBorder="1" applyAlignment="1" applyProtection="1">
      <alignment vertical="center"/>
    </xf>
    <xf numFmtId="0" fontId="11" fillId="0" borderId="15" xfId="0" applyFont="1" applyFill="1" applyBorder="1" applyAlignment="1" applyProtection="1">
      <alignment vertical="center"/>
    </xf>
    <xf numFmtId="0" fontId="11" fillId="0" borderId="0" xfId="0" applyFont="1" applyFill="1" applyBorder="1" applyAlignment="1" applyProtection="1">
      <alignment vertical="center"/>
    </xf>
    <xf numFmtId="0" fontId="11" fillId="3" borderId="15" xfId="0" applyFont="1" applyFill="1" applyBorder="1" applyAlignment="1" applyProtection="1">
      <alignment vertical="center"/>
    </xf>
    <xf numFmtId="0" fontId="11" fillId="4" borderId="0" xfId="0" applyFont="1" applyFill="1" applyBorder="1" applyAlignment="1" applyProtection="1">
      <alignment vertical="center"/>
    </xf>
    <xf numFmtId="49" fontId="18" fillId="0" borderId="0" xfId="0" applyNumberFormat="1" applyFont="1" applyFill="1" applyBorder="1" applyAlignment="1" applyProtection="1">
      <alignment horizontal="center" vertical="center"/>
    </xf>
    <xf numFmtId="0" fontId="11" fillId="3" borderId="0" xfId="0" applyFont="1" applyFill="1" applyBorder="1" applyAlignment="1" applyProtection="1">
      <alignment horizontal="right" vertical="center"/>
    </xf>
    <xf numFmtId="0" fontId="11" fillId="3" borderId="15" xfId="0" applyFont="1" applyFill="1" applyBorder="1" applyAlignment="1" applyProtection="1">
      <alignment horizontal="right" vertical="center"/>
    </xf>
    <xf numFmtId="14" fontId="18" fillId="0" borderId="16" xfId="0" applyNumberFormat="1" applyFont="1" applyFill="1" applyBorder="1" applyAlignment="1" applyProtection="1">
      <alignment vertical="center"/>
    </xf>
    <xf numFmtId="14" fontId="18" fillId="0" borderId="0" xfId="0" applyNumberFormat="1" applyFont="1" applyFill="1" applyBorder="1" applyAlignment="1" applyProtection="1">
      <alignment vertical="center"/>
    </xf>
    <xf numFmtId="14" fontId="18" fillId="3" borderId="16" xfId="0" applyNumberFormat="1" applyFont="1" applyFill="1" applyBorder="1" applyAlignment="1" applyProtection="1">
      <alignment vertical="center"/>
    </xf>
    <xf numFmtId="14" fontId="19" fillId="0" borderId="16" xfId="0" applyNumberFormat="1" applyFont="1" applyFill="1" applyBorder="1" applyAlignment="1" applyProtection="1">
      <alignment vertical="center"/>
    </xf>
    <xf numFmtId="14" fontId="19" fillId="0" borderId="0" xfId="0" applyNumberFormat="1" applyFont="1" applyFill="1" applyBorder="1" applyAlignment="1" applyProtection="1">
      <alignment vertical="center"/>
    </xf>
    <xf numFmtId="14" fontId="19" fillId="3" borderId="16" xfId="0" applyNumberFormat="1" applyFont="1" applyFill="1" applyBorder="1" applyAlignment="1" applyProtection="1">
      <alignment vertical="center"/>
    </xf>
    <xf numFmtId="49" fontId="20" fillId="3" borderId="0" xfId="0" applyNumberFormat="1" applyFont="1" applyFill="1" applyBorder="1" applyAlignment="1" applyProtection="1">
      <alignment vertical="center"/>
    </xf>
    <xf numFmtId="0" fontId="11" fillId="0" borderId="16" xfId="0" applyFont="1" applyFill="1" applyBorder="1" applyAlignment="1" applyProtection="1">
      <alignment vertical="center"/>
    </xf>
    <xf numFmtId="0" fontId="11" fillId="3" borderId="16" xfId="0" applyFont="1" applyFill="1" applyBorder="1" applyAlignment="1" applyProtection="1">
      <alignment vertical="center"/>
    </xf>
    <xf numFmtId="0" fontId="9" fillId="3" borderId="0" xfId="0" applyFont="1" applyFill="1" applyBorder="1" applyAlignment="1" applyProtection="1">
      <alignment vertical="center"/>
    </xf>
    <xf numFmtId="0" fontId="11" fillId="3" borderId="0" xfId="0" quotePrefix="1" applyFont="1" applyFill="1" applyBorder="1" applyAlignment="1" applyProtection="1">
      <alignment vertical="center"/>
    </xf>
    <xf numFmtId="0" fontId="11" fillId="0" borderId="17" xfId="0" applyFont="1" applyFill="1" applyBorder="1" applyAlignment="1" applyProtection="1">
      <alignment vertical="center"/>
    </xf>
    <xf numFmtId="0" fontId="11" fillId="0" borderId="59" xfId="0" applyFont="1" applyFill="1" applyBorder="1" applyAlignment="1" applyProtection="1">
      <alignment vertical="center"/>
    </xf>
    <xf numFmtId="0" fontId="11" fillId="0" borderId="60" xfId="0" applyFont="1" applyFill="1" applyBorder="1" applyAlignment="1" applyProtection="1">
      <alignment vertical="center"/>
    </xf>
    <xf numFmtId="0" fontId="11" fillId="3" borderId="17" xfId="0" applyFont="1" applyFill="1" applyBorder="1" applyAlignment="1" applyProtection="1">
      <alignment vertical="center"/>
    </xf>
    <xf numFmtId="0" fontId="11" fillId="3" borderId="59" xfId="0" applyFont="1" applyFill="1" applyBorder="1" applyAlignment="1" applyProtection="1">
      <alignment vertical="center"/>
    </xf>
    <xf numFmtId="0" fontId="11" fillId="3" borderId="60" xfId="0" applyFont="1" applyFill="1" applyBorder="1" applyAlignment="1" applyProtection="1">
      <alignment vertical="center"/>
    </xf>
    <xf numFmtId="49" fontId="11" fillId="3" borderId="15" xfId="0" applyNumberFormat="1" applyFont="1" applyFill="1" applyBorder="1" applyAlignment="1" applyProtection="1">
      <alignment horizontal="center" vertical="center"/>
    </xf>
    <xf numFmtId="0" fontId="11" fillId="3" borderId="23" xfId="0" applyFont="1" applyFill="1" applyBorder="1" applyAlignment="1" applyProtection="1">
      <alignment horizontal="center" vertical="center"/>
    </xf>
    <xf numFmtId="0" fontId="11" fillId="3" borderId="24" xfId="0" applyFont="1" applyFill="1" applyBorder="1" applyAlignment="1" applyProtection="1">
      <alignment horizontal="center" vertical="center"/>
    </xf>
    <xf numFmtId="0" fontId="11" fillId="3" borderId="25" xfId="0" applyFont="1" applyFill="1" applyBorder="1" applyAlignment="1" applyProtection="1">
      <alignment horizontal="center" vertical="center"/>
    </xf>
    <xf numFmtId="49" fontId="11" fillId="3" borderId="20" xfId="0" applyNumberFormat="1" applyFont="1" applyFill="1" applyBorder="1" applyAlignment="1" applyProtection="1">
      <alignment horizontal="left" vertical="center"/>
    </xf>
    <xf numFmtId="0" fontId="11" fillId="3" borderId="20" xfId="0" applyFont="1" applyFill="1" applyBorder="1" applyAlignment="1" applyProtection="1">
      <alignment vertical="center"/>
    </xf>
    <xf numFmtId="0" fontId="11" fillId="3" borderId="20" xfId="0" applyFont="1" applyFill="1" applyBorder="1" applyAlignment="1" applyProtection="1">
      <alignment horizontal="right" vertical="center"/>
    </xf>
    <xf numFmtId="49" fontId="11" fillId="3" borderId="21" xfId="0" applyNumberFormat="1" applyFont="1" applyFill="1" applyBorder="1" applyAlignment="1" applyProtection="1">
      <alignment horizontal="left" vertical="center"/>
    </xf>
    <xf numFmtId="0" fontId="11" fillId="3" borderId="21" xfId="0" applyFont="1" applyFill="1" applyBorder="1" applyAlignment="1" applyProtection="1">
      <alignment vertical="center"/>
    </xf>
    <xf numFmtId="0" fontId="11" fillId="3" borderId="21" xfId="0" applyFont="1" applyFill="1" applyBorder="1" applyAlignment="1" applyProtection="1">
      <alignment horizontal="right" vertical="center"/>
    </xf>
    <xf numFmtId="0" fontId="11" fillId="0" borderId="0" xfId="0" applyFont="1" applyFill="1" applyBorder="1" applyAlignment="1" applyProtection="1">
      <alignment horizontal="right" vertical="center"/>
    </xf>
    <xf numFmtId="180" fontId="11" fillId="0" borderId="0" xfId="0" applyNumberFormat="1" applyFont="1" applyFill="1" applyBorder="1" applyAlignment="1" applyProtection="1">
      <alignment vertical="center"/>
    </xf>
    <xf numFmtId="0" fontId="5" fillId="0" borderId="0" xfId="16" applyFont="1">
      <alignment vertical="center"/>
    </xf>
    <xf numFmtId="0" fontId="5" fillId="0" borderId="0" xfId="0" applyFont="1"/>
    <xf numFmtId="0" fontId="17" fillId="4" borderId="0" xfId="0" applyNumberFormat="1" applyFont="1" applyFill="1" applyBorder="1" applyAlignment="1">
      <alignment horizontal="center" vertical="top"/>
    </xf>
    <xf numFmtId="49" fontId="11" fillId="4" borderId="0" xfId="0" applyNumberFormat="1" applyFont="1" applyFill="1" applyAlignment="1">
      <alignment vertical="top"/>
    </xf>
    <xf numFmtId="0" fontId="21" fillId="4" borderId="0" xfId="0" applyNumberFormat="1" applyFont="1" applyFill="1" applyBorder="1" applyAlignment="1">
      <alignment horizontal="center" vertical="center"/>
    </xf>
    <xf numFmtId="49" fontId="11" fillId="4" borderId="0" xfId="0" applyNumberFormat="1" applyFont="1" applyFill="1" applyAlignment="1">
      <alignment horizontal="center" vertical="top"/>
    </xf>
    <xf numFmtId="49" fontId="25" fillId="4" borderId="0" xfId="0" applyNumberFormat="1" applyFont="1" applyFill="1" applyAlignment="1">
      <alignment vertical="top"/>
    </xf>
    <xf numFmtId="49" fontId="11" fillId="4" borderId="0" xfId="0" applyNumberFormat="1" applyFont="1" applyFill="1" applyBorder="1" applyAlignment="1">
      <alignment vertical="top"/>
    </xf>
    <xf numFmtId="49" fontId="21" fillId="4" borderId="0" xfId="0" applyNumberFormat="1" applyFont="1" applyFill="1" applyAlignment="1">
      <alignment vertical="top"/>
    </xf>
    <xf numFmtId="49" fontId="18" fillId="4" borderId="0" xfId="0" applyNumberFormat="1" applyFont="1" applyFill="1" applyBorder="1" applyAlignment="1">
      <alignment horizontal="center" vertical="top"/>
    </xf>
    <xf numFmtId="0" fontId="11" fillId="4" borderId="0" xfId="0" applyNumberFormat="1" applyFont="1" applyFill="1" applyBorder="1" applyAlignment="1">
      <alignment horizontal="left" vertical="center"/>
    </xf>
    <xf numFmtId="49" fontId="10" fillId="4" borderId="53" xfId="0" applyNumberFormat="1" applyFont="1" applyFill="1" applyBorder="1" applyAlignment="1">
      <alignment vertical="center"/>
    </xf>
    <xf numFmtId="49" fontId="10" fillId="4" borderId="2" xfId="0" applyNumberFormat="1" applyFont="1" applyFill="1" applyBorder="1" applyAlignment="1">
      <alignment vertical="center"/>
    </xf>
    <xf numFmtId="0" fontId="18" fillId="4" borderId="2" xfId="0" applyNumberFormat="1" applyFont="1" applyFill="1" applyBorder="1" applyAlignment="1">
      <alignment vertical="center"/>
    </xf>
    <xf numFmtId="49" fontId="11" fillId="4" borderId="0" xfId="0" applyNumberFormat="1" applyFont="1" applyFill="1" applyBorder="1" applyAlignment="1">
      <alignment horizontal="right" vertical="top"/>
    </xf>
    <xf numFmtId="49" fontId="18" fillId="4" borderId="0" xfId="0" applyNumberFormat="1" applyFont="1" applyFill="1" applyBorder="1" applyAlignment="1">
      <alignment vertical="top"/>
    </xf>
    <xf numFmtId="49" fontId="27" fillId="4" borderId="0" xfId="0" applyNumberFormat="1" applyFont="1" applyFill="1" applyAlignment="1">
      <alignment horizontal="center" vertical="center"/>
    </xf>
    <xf numFmtId="0" fontId="25" fillId="4" borderId="5" xfId="0" applyFont="1" applyFill="1" applyBorder="1" applyAlignment="1">
      <alignment horizontal="center" vertical="center"/>
    </xf>
    <xf numFmtId="0" fontId="25" fillId="7" borderId="9" xfId="0" applyFont="1" applyFill="1" applyBorder="1" applyAlignment="1">
      <alignment horizontal="center" vertical="top"/>
    </xf>
    <xf numFmtId="0" fontId="25" fillId="6" borderId="20" xfId="0" applyFont="1" applyFill="1" applyBorder="1" applyAlignment="1">
      <alignment horizontal="center" vertical="center"/>
    </xf>
    <xf numFmtId="0" fontId="25" fillId="7" borderId="8" xfId="0" applyFont="1" applyFill="1" applyBorder="1" applyAlignment="1">
      <alignment horizontal="center" vertical="top"/>
    </xf>
    <xf numFmtId="0" fontId="25" fillId="6" borderId="21" xfId="0" applyFont="1" applyFill="1" applyBorder="1" applyAlignment="1">
      <alignment horizontal="center" vertical="center"/>
    </xf>
    <xf numFmtId="0" fontId="25" fillId="4" borderId="11" xfId="0" applyFont="1" applyFill="1" applyBorder="1" applyAlignment="1">
      <alignment horizontal="center" vertical="center"/>
    </xf>
    <xf numFmtId="0" fontId="25" fillId="7" borderId="7" xfId="0" applyFont="1" applyFill="1" applyBorder="1" applyAlignment="1">
      <alignment horizontal="center" vertical="top"/>
    </xf>
    <xf numFmtId="0" fontId="25" fillId="6" borderId="22" xfId="0" applyFont="1" applyFill="1" applyBorder="1" applyAlignment="1">
      <alignment horizontal="center" vertical="center"/>
    </xf>
    <xf numFmtId="0" fontId="25" fillId="6" borderId="52" xfId="0" applyFont="1" applyFill="1" applyBorder="1" applyAlignment="1">
      <alignment horizontal="center" vertical="center"/>
    </xf>
    <xf numFmtId="0" fontId="25" fillId="6" borderId="39" xfId="0" applyFont="1" applyFill="1" applyBorder="1" applyAlignment="1">
      <alignment horizontal="center" vertical="center"/>
    </xf>
    <xf numFmtId="0" fontId="25" fillId="7" borderId="10" xfId="0" applyFont="1" applyFill="1" applyBorder="1" applyAlignment="1">
      <alignment horizontal="center" vertical="top"/>
    </xf>
    <xf numFmtId="49" fontId="11" fillId="4" borderId="0" xfId="0" applyNumberFormat="1" applyFont="1" applyFill="1" applyBorder="1" applyAlignment="1">
      <alignment horizontal="center" vertical="top"/>
    </xf>
    <xf numFmtId="0" fontId="28" fillId="0" borderId="0" xfId="16" applyFont="1">
      <alignment vertical="center"/>
    </xf>
    <xf numFmtId="0" fontId="29" fillId="0" borderId="0" xfId="16" applyFont="1">
      <alignment vertical="center"/>
    </xf>
    <xf numFmtId="0" fontId="30" fillId="0" borderId="0" xfId="16" applyFont="1">
      <alignment vertical="center"/>
    </xf>
    <xf numFmtId="0" fontId="31" fillId="0" borderId="0" xfId="16" applyFont="1">
      <alignment vertical="center"/>
    </xf>
    <xf numFmtId="0" fontId="32" fillId="0" borderId="0" xfId="16" applyFont="1">
      <alignment vertical="center"/>
    </xf>
    <xf numFmtId="0" fontId="5" fillId="0" borderId="0" xfId="16" applyFont="1" applyBorder="1">
      <alignment vertical="center"/>
    </xf>
    <xf numFmtId="0" fontId="26" fillId="0" borderId="0" xfId="16" applyFont="1">
      <alignment vertical="center"/>
    </xf>
    <xf numFmtId="49" fontId="34" fillId="0" borderId="0" xfId="19" applyNumberFormat="1" applyFont="1" applyFill="1" applyBorder="1">
      <alignment vertical="center"/>
    </xf>
    <xf numFmtId="49" fontId="5" fillId="0" borderId="0" xfId="19" applyNumberFormat="1" applyFont="1" applyFill="1" applyBorder="1">
      <alignment vertical="center"/>
    </xf>
    <xf numFmtId="0" fontId="17" fillId="4" borderId="0" xfId="12" applyFont="1" applyFill="1" applyAlignment="1">
      <alignment vertical="center"/>
    </xf>
    <xf numFmtId="0" fontId="5" fillId="4" borderId="0" xfId="12" applyFont="1" applyFill="1" applyAlignment="1">
      <alignment vertical="center"/>
    </xf>
    <xf numFmtId="0" fontId="5" fillId="5" borderId="3" xfId="12" applyFont="1" applyFill="1" applyBorder="1" applyAlignment="1">
      <alignment vertical="center"/>
    </xf>
    <xf numFmtId="0" fontId="5" fillId="4" borderId="3" xfId="12" applyFont="1" applyFill="1" applyBorder="1" applyAlignment="1">
      <alignment vertical="center"/>
    </xf>
    <xf numFmtId="0" fontId="5" fillId="4" borderId="3" xfId="12" applyFont="1" applyFill="1" applyBorder="1" applyAlignment="1">
      <alignment horizontal="left" vertical="center"/>
    </xf>
    <xf numFmtId="0" fontId="10" fillId="0" borderId="0" xfId="0" applyFont="1" applyAlignment="1">
      <alignment vertical="center"/>
    </xf>
    <xf numFmtId="0" fontId="25" fillId="0" borderId="0" xfId="0" applyFont="1" applyAlignment="1">
      <alignment vertical="center"/>
    </xf>
    <xf numFmtId="0" fontId="25" fillId="0" borderId="0" xfId="0" applyFont="1"/>
    <xf numFmtId="49" fontId="10" fillId="10" borderId="11" xfId="18" applyNumberFormat="1" applyFont="1" applyFill="1" applyBorder="1" applyAlignment="1">
      <alignment horizontal="center" vertical="center"/>
    </xf>
    <xf numFmtId="49" fontId="10" fillId="10" borderId="17" xfId="18" applyNumberFormat="1" applyFont="1" applyFill="1" applyBorder="1" applyAlignment="1">
      <alignment horizontal="center" vertical="center"/>
    </xf>
    <xf numFmtId="49" fontId="10" fillId="10" borderId="46" xfId="18" applyNumberFormat="1" applyFont="1" applyFill="1" applyBorder="1" applyAlignment="1">
      <alignment horizontal="center" vertical="center"/>
    </xf>
    <xf numFmtId="49" fontId="10" fillId="10" borderId="33" xfId="18" applyNumberFormat="1" applyFont="1" applyFill="1" applyBorder="1" applyAlignment="1">
      <alignment horizontal="center" vertical="center"/>
    </xf>
    <xf numFmtId="49" fontId="10" fillId="10" borderId="19" xfId="18" applyNumberFormat="1" applyFont="1" applyFill="1" applyBorder="1" applyAlignment="1">
      <alignment horizontal="center" vertical="center"/>
    </xf>
    <xf numFmtId="49" fontId="25" fillId="6" borderId="9" xfId="18" applyNumberFormat="1" applyFont="1" applyFill="1" applyBorder="1" applyAlignment="1">
      <alignment horizontal="left" vertical="center" wrapText="1"/>
    </xf>
    <xf numFmtId="49" fontId="25" fillId="6" borderId="42" xfId="18" applyNumberFormat="1" applyFont="1" applyFill="1" applyBorder="1" applyAlignment="1">
      <alignment vertical="center" wrapText="1"/>
    </xf>
    <xf numFmtId="49" fontId="25" fillId="6" borderId="69" xfId="18" applyNumberFormat="1" applyFont="1" applyFill="1" applyBorder="1" applyAlignment="1">
      <alignment vertical="center" wrapText="1"/>
    </xf>
    <xf numFmtId="49" fontId="25" fillId="6" borderId="70" xfId="18" applyNumberFormat="1" applyFont="1" applyFill="1" applyBorder="1" applyAlignment="1">
      <alignment vertical="center" wrapText="1"/>
    </xf>
    <xf numFmtId="49" fontId="25" fillId="6" borderId="43" xfId="18" applyNumberFormat="1" applyFont="1" applyFill="1" applyBorder="1" applyAlignment="1">
      <alignment vertical="center" wrapText="1"/>
    </xf>
    <xf numFmtId="49" fontId="25" fillId="6" borderId="6" xfId="18" applyNumberFormat="1" applyFont="1" applyFill="1" applyBorder="1" applyAlignment="1">
      <alignment horizontal="left" vertical="center" wrapText="1"/>
    </xf>
    <xf numFmtId="49" fontId="25" fillId="6" borderId="57" xfId="18" applyNumberFormat="1" applyFont="1" applyFill="1" applyBorder="1" applyAlignment="1">
      <alignment vertical="center" wrapText="1"/>
    </xf>
    <xf numFmtId="49" fontId="25" fillId="6" borderId="45" xfId="18" applyNumberFormat="1" applyFont="1" applyFill="1" applyBorder="1" applyAlignment="1">
      <alignment vertical="center" wrapText="1"/>
    </xf>
    <xf numFmtId="49" fontId="25" fillId="6" borderId="50" xfId="18" applyNumberFormat="1" applyFont="1" applyFill="1" applyBorder="1" applyAlignment="1">
      <alignment vertical="center" wrapText="1"/>
    </xf>
    <xf numFmtId="49" fontId="25" fillId="6" borderId="58" xfId="18" applyNumberFormat="1" applyFont="1" applyFill="1" applyBorder="1" applyAlignment="1">
      <alignment vertical="center" wrapText="1"/>
    </xf>
    <xf numFmtId="49" fontId="25" fillId="6" borderId="8" xfId="18" applyNumberFormat="1" applyFont="1" applyFill="1" applyBorder="1" applyAlignment="1">
      <alignment vertical="center"/>
    </xf>
    <xf numFmtId="49" fontId="25" fillId="6" borderId="29" xfId="18" applyNumberFormat="1" applyFont="1" applyFill="1" applyBorder="1" applyAlignment="1">
      <alignment vertical="center" wrapText="1"/>
    </xf>
    <xf numFmtId="49" fontId="25" fillId="6" borderId="32" xfId="18" applyNumberFormat="1" applyFont="1" applyFill="1" applyBorder="1" applyAlignment="1">
      <alignment vertical="center" wrapText="1"/>
    </xf>
    <xf numFmtId="49" fontId="25" fillId="6" borderId="48" xfId="18" applyNumberFormat="1" applyFont="1" applyFill="1" applyBorder="1" applyAlignment="1">
      <alignment vertical="center" wrapText="1"/>
    </xf>
    <xf numFmtId="49" fontId="25" fillId="6" borderId="27" xfId="18" applyNumberFormat="1" applyFont="1" applyFill="1" applyBorder="1" applyAlignment="1">
      <alignment vertical="center" wrapText="1"/>
    </xf>
    <xf numFmtId="49" fontId="25" fillId="6" borderId="8" xfId="18" applyNumberFormat="1" applyFont="1" applyFill="1" applyBorder="1" applyAlignment="1">
      <alignment vertical="center" wrapText="1"/>
    </xf>
    <xf numFmtId="0" fontId="23" fillId="0" borderId="0" xfId="13" applyFont="1">
      <alignment vertical="center"/>
    </xf>
    <xf numFmtId="0" fontId="10" fillId="10" borderId="9" xfId="0" applyFont="1" applyFill="1" applyBorder="1" applyAlignment="1">
      <alignment horizontal="center" vertical="center"/>
    </xf>
    <xf numFmtId="49" fontId="11" fillId="3" borderId="0" xfId="0" applyNumberFormat="1" applyFont="1" applyFill="1" applyBorder="1" applyAlignment="1" applyProtection="1">
      <alignment horizontal="right" vertical="center"/>
    </xf>
    <xf numFmtId="0" fontId="26" fillId="0" borderId="0" xfId="0" applyFont="1" applyAlignment="1">
      <alignment vertical="center"/>
    </xf>
    <xf numFmtId="49" fontId="11" fillId="3" borderId="0" xfId="0" applyNumberFormat="1" applyFont="1" applyFill="1" applyBorder="1" applyAlignment="1">
      <alignment horizontal="left" vertical="center"/>
    </xf>
    <xf numFmtId="49" fontId="18" fillId="4" borderId="0" xfId="0" applyNumberFormat="1" applyFont="1" applyFill="1" applyBorder="1" applyAlignment="1">
      <alignment horizontal="center" vertical="center"/>
    </xf>
    <xf numFmtId="0" fontId="36" fillId="3" borderId="0" xfId="17" quotePrefix="1" applyFont="1" applyFill="1" applyBorder="1" applyAlignment="1" applyProtection="1">
      <alignment vertical="center"/>
    </xf>
    <xf numFmtId="0" fontId="11" fillId="4" borderId="0" xfId="0" applyNumberFormat="1" applyFont="1" applyFill="1" applyBorder="1" applyAlignment="1">
      <alignment horizontal="left" vertical="center"/>
    </xf>
    <xf numFmtId="49" fontId="18" fillId="4" borderId="0" xfId="0" applyNumberFormat="1" applyFont="1" applyFill="1" applyBorder="1" applyAlignment="1">
      <alignment horizontal="center" vertical="top"/>
    </xf>
    <xf numFmtId="49" fontId="18" fillId="4" borderId="0" xfId="0" applyNumberFormat="1" applyFont="1" applyFill="1" applyBorder="1" applyAlignment="1">
      <alignment horizontal="center" vertical="center"/>
    </xf>
    <xf numFmtId="0" fontId="11" fillId="0" borderId="12" xfId="0" applyFont="1" applyFill="1" applyBorder="1" applyAlignment="1" applyProtection="1">
      <alignment vertical="center"/>
    </xf>
    <xf numFmtId="181" fontId="11" fillId="0" borderId="72" xfId="0" applyNumberFormat="1" applyFont="1" applyFill="1" applyBorder="1" applyAlignment="1" applyProtection="1">
      <alignment vertical="center"/>
    </xf>
    <xf numFmtId="49" fontId="18" fillId="0" borderId="72" xfId="0" applyNumberFormat="1" applyFont="1" applyFill="1" applyBorder="1" applyAlignment="1" applyProtection="1">
      <alignment horizontal="center" vertical="center"/>
    </xf>
    <xf numFmtId="49" fontId="18" fillId="0" borderId="14" xfId="0" applyNumberFormat="1" applyFont="1" applyFill="1" applyBorder="1" applyAlignment="1" applyProtection="1">
      <alignment horizontal="center" vertical="center"/>
    </xf>
    <xf numFmtId="0" fontId="11" fillId="3" borderId="12" xfId="0" applyFont="1" applyFill="1" applyBorder="1" applyAlignment="1" applyProtection="1">
      <alignment vertical="center"/>
    </xf>
    <xf numFmtId="181" fontId="11" fillId="3" borderId="72" xfId="0" applyNumberFormat="1" applyFont="1" applyFill="1" applyBorder="1" applyAlignment="1" applyProtection="1">
      <alignment horizontal="center" vertical="center"/>
    </xf>
    <xf numFmtId="49" fontId="18" fillId="3" borderId="14" xfId="0" applyNumberFormat="1" applyFont="1" applyFill="1" applyBorder="1" applyAlignment="1" applyProtection="1">
      <alignment horizontal="center" vertical="center"/>
    </xf>
    <xf numFmtId="49" fontId="11" fillId="0" borderId="18" xfId="0" applyNumberFormat="1" applyFont="1" applyBorder="1" applyAlignment="1" applyProtection="1">
      <alignment horizontal="center" vertical="center"/>
    </xf>
    <xf numFmtId="49" fontId="11" fillId="0" borderId="18" xfId="0" applyNumberFormat="1" applyFont="1" applyBorder="1" applyAlignment="1" applyProtection="1">
      <alignment vertical="center"/>
    </xf>
    <xf numFmtId="49" fontId="18" fillId="0" borderId="72" xfId="0" applyNumberFormat="1" applyFont="1" applyFill="1" applyBorder="1" applyAlignment="1" applyProtection="1">
      <alignment vertical="center"/>
    </xf>
    <xf numFmtId="14" fontId="11" fillId="0" borderId="72" xfId="0" applyNumberFormat="1" applyFont="1" applyFill="1" applyBorder="1" applyAlignment="1" applyProtection="1">
      <alignment vertical="center"/>
    </xf>
    <xf numFmtId="181" fontId="11" fillId="0" borderId="59" xfId="0" applyNumberFormat="1" applyFont="1" applyFill="1" applyBorder="1" applyAlignment="1" applyProtection="1">
      <alignment vertical="center"/>
    </xf>
    <xf numFmtId="49" fontId="18" fillId="0" borderId="59" xfId="0" applyNumberFormat="1" applyFont="1" applyFill="1" applyBorder="1" applyAlignment="1" applyProtection="1">
      <alignment horizontal="center" vertical="center"/>
    </xf>
    <xf numFmtId="49" fontId="18" fillId="0" borderId="60" xfId="0" applyNumberFormat="1" applyFont="1" applyFill="1" applyBorder="1" applyAlignment="1" applyProtection="1">
      <alignment horizontal="center" vertical="center"/>
    </xf>
    <xf numFmtId="49" fontId="18" fillId="3" borderId="72" xfId="0" applyNumberFormat="1" applyFont="1" applyFill="1" applyBorder="1" applyAlignment="1" applyProtection="1">
      <alignment vertical="center"/>
    </xf>
    <xf numFmtId="14" fontId="11" fillId="3" borderId="72" xfId="0" applyNumberFormat="1" applyFont="1" applyFill="1" applyBorder="1" applyAlignment="1" applyProtection="1">
      <alignment vertical="center"/>
    </xf>
    <xf numFmtId="181" fontId="11" fillId="3" borderId="59" xfId="0" applyNumberFormat="1" applyFont="1" applyFill="1" applyBorder="1" applyAlignment="1" applyProtection="1">
      <alignment horizontal="center" vertical="center"/>
    </xf>
    <xf numFmtId="49" fontId="18" fillId="3" borderId="60" xfId="0" applyNumberFormat="1" applyFont="1" applyFill="1" applyBorder="1" applyAlignment="1" applyProtection="1">
      <alignment horizontal="center" vertical="center"/>
    </xf>
    <xf numFmtId="49" fontId="11" fillId="0" borderId="0" xfId="0" applyNumberFormat="1" applyFont="1" applyFill="1" applyBorder="1" applyAlignment="1" applyProtection="1">
      <alignment horizontal="center" vertical="center"/>
    </xf>
    <xf numFmtId="0" fontId="28" fillId="0" borderId="0" xfId="20" applyFont="1" applyFill="1" applyAlignment="1">
      <alignment horizontal="left" vertical="top" wrapText="1"/>
    </xf>
    <xf numFmtId="0" fontId="28" fillId="0" borderId="59" xfId="20" applyFont="1" applyFill="1" applyBorder="1" applyAlignment="1" applyProtection="1">
      <alignment horizontal="left" wrapText="1"/>
    </xf>
    <xf numFmtId="0" fontId="28" fillId="0" borderId="0" xfId="20" applyFont="1" applyFill="1" applyBorder="1" applyAlignment="1" applyProtection="1">
      <alignment horizontal="left" wrapText="1"/>
    </xf>
    <xf numFmtId="0" fontId="38" fillId="0" borderId="59" xfId="20" applyFont="1" applyFill="1" applyBorder="1" applyAlignment="1" applyProtection="1">
      <alignment horizontal="left" wrapText="1"/>
    </xf>
    <xf numFmtId="14" fontId="5" fillId="0" borderId="0" xfId="20" applyNumberFormat="1" applyFont="1" applyFill="1" applyAlignment="1">
      <alignment horizontal="left" vertical="top" wrapText="1"/>
    </xf>
    <xf numFmtId="0" fontId="5" fillId="0" borderId="0" xfId="20" applyFont="1" applyFill="1" applyAlignment="1">
      <alignment horizontal="left" vertical="top" wrapText="1"/>
    </xf>
    <xf numFmtId="0" fontId="5" fillId="10" borderId="5" xfId="20" quotePrefix="1" applyFont="1" applyFill="1" applyBorder="1" applyAlignment="1" applyProtection="1">
      <alignment horizontal="left" vertical="top" wrapText="1"/>
      <protection locked="0"/>
    </xf>
    <xf numFmtId="0" fontId="40" fillId="12" borderId="5" xfId="20" quotePrefix="1" applyFont="1" applyFill="1" applyBorder="1" applyAlignment="1" applyProtection="1">
      <alignment horizontal="left" vertical="top" wrapText="1"/>
      <protection locked="0"/>
    </xf>
    <xf numFmtId="0" fontId="5" fillId="10" borderId="3" xfId="20" quotePrefix="1" applyFont="1" applyFill="1" applyBorder="1" applyAlignment="1" applyProtection="1">
      <alignment horizontal="left" vertical="top" wrapText="1"/>
      <protection locked="0"/>
    </xf>
    <xf numFmtId="0" fontId="5" fillId="6" borderId="8" xfId="20" applyNumberFormat="1" applyFont="1" applyFill="1" applyBorder="1" applyAlignment="1" applyProtection="1">
      <alignment vertical="top" wrapText="1"/>
      <protection locked="0"/>
    </xf>
    <xf numFmtId="0" fontId="5" fillId="0" borderId="0" xfId="20" applyNumberFormat="1" applyFont="1" applyFill="1" applyAlignment="1">
      <alignment vertical="top" wrapText="1"/>
    </xf>
    <xf numFmtId="0" fontId="40" fillId="12" borderId="8" xfId="20" applyNumberFormat="1" applyFont="1" applyFill="1" applyBorder="1" applyAlignment="1" applyProtection="1">
      <alignment vertical="top" wrapText="1"/>
      <protection locked="0"/>
    </xf>
    <xf numFmtId="0" fontId="5" fillId="6" borderId="6" xfId="20" applyNumberFormat="1" applyFont="1" applyFill="1" applyBorder="1" applyAlignment="1" applyProtection="1">
      <alignment vertical="top" wrapText="1"/>
      <protection locked="0"/>
    </xf>
    <xf numFmtId="0" fontId="5" fillId="0" borderId="0" xfId="20" applyFont="1" applyFill="1" applyAlignment="1">
      <alignment vertical="top" wrapText="1"/>
    </xf>
    <xf numFmtId="0" fontId="5" fillId="6" borderId="8" xfId="19" applyNumberFormat="1" applyFont="1" applyFill="1" applyBorder="1" applyAlignment="1" applyProtection="1">
      <alignment vertical="top" wrapText="1"/>
      <protection locked="0"/>
    </xf>
    <xf numFmtId="0" fontId="40" fillId="12" borderId="6" xfId="20" applyNumberFormat="1" applyFont="1" applyFill="1" applyBorder="1" applyAlignment="1" applyProtection="1">
      <alignment vertical="top" wrapText="1"/>
      <protection locked="0"/>
    </xf>
    <xf numFmtId="49" fontId="5" fillId="6" borderId="8" xfId="19" applyNumberFormat="1" applyFont="1" applyFill="1" applyBorder="1" applyAlignment="1" applyProtection="1">
      <alignment vertical="top" wrapText="1"/>
      <protection locked="0"/>
    </xf>
    <xf numFmtId="0" fontId="5" fillId="6" borderId="10" xfId="20" applyNumberFormat="1" applyFont="1" applyFill="1" applyBorder="1" applyAlignment="1" applyProtection="1">
      <alignment vertical="top" wrapText="1"/>
      <protection locked="0"/>
    </xf>
    <xf numFmtId="0" fontId="40" fillId="12" borderId="10" xfId="20" applyNumberFormat="1" applyFont="1" applyFill="1" applyBorder="1" applyAlignment="1" applyProtection="1">
      <alignment vertical="top" wrapText="1"/>
      <protection locked="0"/>
    </xf>
    <xf numFmtId="0" fontId="26" fillId="0" borderId="0" xfId="20" applyFont="1" applyFill="1" applyAlignment="1">
      <alignment vertical="top"/>
    </xf>
    <xf numFmtId="0" fontId="26" fillId="0" borderId="0" xfId="20" applyFont="1" applyFill="1" applyAlignment="1">
      <alignment vertical="top" wrapText="1"/>
    </xf>
    <xf numFmtId="0" fontId="11" fillId="0" borderId="0" xfId="0" applyNumberFormat="1" applyFont="1" applyAlignment="1" applyProtection="1">
      <alignment vertical="center"/>
    </xf>
    <xf numFmtId="0" fontId="41" fillId="13" borderId="3" xfId="0" applyNumberFormat="1" applyFont="1" applyFill="1" applyBorder="1" applyAlignment="1">
      <alignment vertical="top" wrapText="1"/>
    </xf>
    <xf numFmtId="185" fontId="41" fillId="4" borderId="3" xfId="0" applyNumberFormat="1" applyFont="1" applyFill="1" applyBorder="1" applyAlignment="1">
      <alignment vertical="center"/>
    </xf>
    <xf numFmtId="0" fontId="5" fillId="13" borderId="3" xfId="0" applyNumberFormat="1" applyFont="1" applyFill="1" applyBorder="1" applyAlignment="1">
      <alignment vertical="top" wrapText="1"/>
    </xf>
    <xf numFmtId="0" fontId="5" fillId="13" borderId="73" xfId="0" applyNumberFormat="1" applyFont="1" applyFill="1" applyBorder="1" applyAlignment="1">
      <alignment vertical="top" wrapText="1"/>
    </xf>
    <xf numFmtId="185" fontId="5" fillId="4" borderId="3" xfId="0" applyNumberFormat="1" applyFont="1" applyFill="1" applyBorder="1" applyAlignment="1">
      <alignment vertical="center"/>
    </xf>
    <xf numFmtId="0" fontId="41" fillId="13" borderId="74" xfId="0" applyNumberFormat="1" applyFont="1" applyFill="1" applyBorder="1" applyAlignment="1">
      <alignment vertical="top" wrapText="1"/>
    </xf>
    <xf numFmtId="49" fontId="11" fillId="0" borderId="72" xfId="0" applyNumberFormat="1" applyFont="1" applyBorder="1" applyAlignment="1" applyProtection="1">
      <alignment horizontal="center" vertical="center"/>
    </xf>
    <xf numFmtId="0" fontId="11" fillId="0" borderId="72" xfId="0" applyFont="1" applyFill="1" applyBorder="1" applyAlignment="1" applyProtection="1">
      <alignment horizontal="right" vertical="center"/>
    </xf>
    <xf numFmtId="0" fontId="11" fillId="0" borderId="72" xfId="0" applyFont="1" applyFill="1" applyBorder="1" applyAlignment="1" applyProtection="1">
      <alignment vertical="center"/>
    </xf>
    <xf numFmtId="180" fontId="11" fillId="0" borderId="72" xfId="0" applyNumberFormat="1" applyFont="1" applyFill="1" applyBorder="1" applyAlignment="1" applyProtection="1">
      <alignment vertical="center"/>
    </xf>
    <xf numFmtId="49" fontId="11" fillId="0" borderId="72" xfId="0" applyNumberFormat="1" applyFont="1" applyBorder="1" applyAlignment="1" applyProtection="1">
      <alignment vertical="center"/>
    </xf>
    <xf numFmtId="49" fontId="11" fillId="0" borderId="72" xfId="0" applyNumberFormat="1" applyFont="1" applyFill="1" applyBorder="1" applyAlignment="1" applyProtection="1">
      <alignment vertical="center"/>
    </xf>
    <xf numFmtId="49" fontId="11" fillId="0" borderId="0" xfId="0" applyNumberFormat="1" applyFont="1" applyBorder="1" applyAlignment="1" applyProtection="1">
      <alignment horizontal="center" vertical="center"/>
    </xf>
    <xf numFmtId="0" fontId="41" fillId="9" borderId="9" xfId="0" applyFont="1" applyFill="1" applyBorder="1" applyAlignment="1">
      <alignment horizontal="center" vertical="center"/>
    </xf>
    <xf numFmtId="0" fontId="41" fillId="9" borderId="4" xfId="0" applyFont="1" applyFill="1" applyBorder="1" applyAlignment="1">
      <alignment horizontal="center" vertical="center"/>
    </xf>
    <xf numFmtId="0" fontId="41" fillId="9" borderId="6" xfId="0" applyFont="1" applyFill="1" applyBorder="1" applyAlignment="1">
      <alignment horizontal="center" vertical="center"/>
    </xf>
    <xf numFmtId="0" fontId="41" fillId="9" borderId="10" xfId="0" applyFont="1" applyFill="1" applyBorder="1" applyAlignment="1">
      <alignment horizontal="center" vertical="center"/>
    </xf>
    <xf numFmtId="0" fontId="41" fillId="9" borderId="7" xfId="0" applyFont="1" applyFill="1" applyBorder="1" applyAlignment="1">
      <alignment horizontal="center" vertical="center"/>
    </xf>
    <xf numFmtId="0" fontId="41" fillId="9" borderId="8" xfId="0" applyFont="1" applyFill="1" applyBorder="1" applyAlignment="1">
      <alignment horizontal="center" vertical="center"/>
    </xf>
    <xf numFmtId="0" fontId="41" fillId="9" borderId="5" xfId="0" applyFont="1" applyFill="1" applyBorder="1" applyAlignment="1">
      <alignment horizontal="center" vertical="center"/>
    </xf>
    <xf numFmtId="49" fontId="25" fillId="6" borderId="20" xfId="0" applyNumberFormat="1" applyFont="1" applyFill="1" applyBorder="1" applyAlignment="1">
      <alignment horizontal="center" vertical="center"/>
    </xf>
    <xf numFmtId="49" fontId="25" fillId="6" borderId="21" xfId="0" applyNumberFormat="1" applyFont="1" applyFill="1" applyBorder="1" applyAlignment="1">
      <alignment horizontal="center" vertical="center"/>
    </xf>
    <xf numFmtId="49" fontId="25" fillId="6" borderId="22" xfId="0" applyNumberFormat="1" applyFont="1" applyFill="1" applyBorder="1" applyAlignment="1">
      <alignment horizontal="center" vertical="center"/>
    </xf>
    <xf numFmtId="49" fontId="25" fillId="6" borderId="52" xfId="0" applyNumberFormat="1" applyFont="1" applyFill="1" applyBorder="1" applyAlignment="1">
      <alignment horizontal="center" vertical="center"/>
    </xf>
    <xf numFmtId="49" fontId="25" fillId="6" borderId="39" xfId="0" applyNumberFormat="1" applyFont="1" applyFill="1" applyBorder="1" applyAlignment="1">
      <alignment horizontal="center" vertical="center"/>
    </xf>
    <xf numFmtId="49" fontId="11" fillId="4" borderId="75" xfId="0" applyNumberFormat="1" applyFont="1" applyFill="1" applyBorder="1" applyAlignment="1" applyProtection="1">
      <alignment vertical="center"/>
    </xf>
    <xf numFmtId="49" fontId="28" fillId="10" borderId="3" xfId="14" applyNumberFormat="1" applyFont="1" applyFill="1" applyBorder="1" applyAlignment="1">
      <alignment horizontal="center" vertical="center"/>
    </xf>
    <xf numFmtId="0" fontId="42" fillId="4" borderId="2" xfId="0" applyNumberFormat="1" applyFont="1" applyFill="1" applyBorder="1" applyAlignment="1">
      <alignment vertical="center"/>
    </xf>
    <xf numFmtId="49" fontId="23" fillId="0" borderId="0" xfId="19" applyNumberFormat="1" applyFont="1">
      <alignment vertical="center"/>
    </xf>
    <xf numFmtId="49" fontId="23" fillId="0" borderId="0" xfId="19" applyNumberFormat="1" applyFont="1" applyFill="1" applyBorder="1">
      <alignment vertical="center"/>
    </xf>
    <xf numFmtId="49" fontId="23" fillId="0" borderId="0" xfId="19" applyNumberFormat="1" applyFont="1" applyFill="1">
      <alignment vertical="center"/>
    </xf>
    <xf numFmtId="49" fontId="5" fillId="0" borderId="0" xfId="19" applyNumberFormat="1" applyFont="1">
      <alignment vertical="center"/>
    </xf>
    <xf numFmtId="49" fontId="23" fillId="7" borderId="3" xfId="0" quotePrefix="1" applyNumberFormat="1" applyFont="1" applyFill="1" applyBorder="1" applyAlignment="1">
      <alignment horizontal="center" vertical="center"/>
    </xf>
    <xf numFmtId="49" fontId="23" fillId="0" borderId="0" xfId="0" applyNumberFormat="1" applyFont="1" applyFill="1" applyBorder="1" applyAlignment="1">
      <alignment horizontal="center" vertical="center" wrapText="1"/>
    </xf>
    <xf numFmtId="49" fontId="23" fillId="7" borderId="3" xfId="0" applyNumberFormat="1" applyFont="1" applyFill="1" applyBorder="1" applyAlignment="1">
      <alignment horizontal="center" vertical="center"/>
    </xf>
    <xf numFmtId="49" fontId="23" fillId="7" borderId="3" xfId="0" applyNumberFormat="1" applyFont="1" applyFill="1" applyBorder="1" applyAlignment="1">
      <alignment horizontal="center" vertical="center" wrapText="1"/>
    </xf>
    <xf numFmtId="49" fontId="23" fillId="0" borderId="0" xfId="0" applyNumberFormat="1" applyFont="1" applyFill="1" applyBorder="1" applyAlignment="1">
      <alignment horizontal="center" vertical="center"/>
    </xf>
    <xf numFmtId="49" fontId="5" fillId="7" borderId="3" xfId="0" applyNumberFormat="1" applyFont="1" applyFill="1" applyBorder="1" applyAlignment="1">
      <alignment horizontal="center" vertical="center" wrapText="1"/>
    </xf>
    <xf numFmtId="49" fontId="23" fillId="0" borderId="0" xfId="19" applyNumberFormat="1" applyFont="1" applyBorder="1" applyAlignment="1">
      <alignment vertical="center" wrapText="1"/>
    </xf>
    <xf numFmtId="49" fontId="23" fillId="0" borderId="0" xfId="19" applyNumberFormat="1" applyFont="1" applyBorder="1">
      <alignment vertical="center"/>
    </xf>
    <xf numFmtId="49" fontId="5" fillId="0" borderId="0" xfId="19" applyNumberFormat="1" applyFont="1" applyFill="1" applyBorder="1" applyAlignment="1">
      <alignment vertical="center" wrapText="1"/>
    </xf>
    <xf numFmtId="0" fontId="43" fillId="14" borderId="15" xfId="16" applyFont="1" applyFill="1" applyBorder="1" applyAlignment="1">
      <alignment vertical="center"/>
    </xf>
    <xf numFmtId="49" fontId="11" fillId="14" borderId="0" xfId="0" applyNumberFormat="1" applyFont="1" applyFill="1" applyAlignment="1">
      <alignment horizontal="center" vertical="top"/>
    </xf>
    <xf numFmtId="49" fontId="11" fillId="14" borderId="0" xfId="0" applyNumberFormat="1" applyFont="1" applyFill="1" applyAlignment="1">
      <alignment vertical="top"/>
    </xf>
    <xf numFmtId="0" fontId="25" fillId="14" borderId="3" xfId="16" applyFont="1" applyFill="1" applyBorder="1">
      <alignment vertical="center"/>
    </xf>
    <xf numFmtId="0" fontId="43" fillId="14" borderId="3" xfId="16" applyFont="1" applyFill="1" applyBorder="1">
      <alignment vertical="center"/>
    </xf>
    <xf numFmtId="0" fontId="23" fillId="0" borderId="0" xfId="16" applyFont="1">
      <alignment vertical="center"/>
    </xf>
    <xf numFmtId="0" fontId="44" fillId="4" borderId="0" xfId="0" applyFont="1" applyFill="1" applyAlignment="1">
      <alignment vertical="center"/>
    </xf>
    <xf numFmtId="0" fontId="23" fillId="4" borderId="0" xfId="0" applyFont="1" applyFill="1" applyAlignment="1">
      <alignment vertical="center"/>
    </xf>
    <xf numFmtId="0" fontId="26" fillId="4" borderId="0" xfId="0" applyFont="1" applyFill="1" applyAlignment="1">
      <alignment vertical="center"/>
    </xf>
    <xf numFmtId="0" fontId="29" fillId="4" borderId="0" xfId="0" applyFont="1" applyFill="1" applyAlignment="1">
      <alignment vertical="center"/>
    </xf>
    <xf numFmtId="0" fontId="45" fillId="4" borderId="0" xfId="0" applyFont="1" applyFill="1" applyAlignment="1">
      <alignment horizontal="left" vertical="center"/>
    </xf>
    <xf numFmtId="0" fontId="5" fillId="4" borderId="0" xfId="0" applyFont="1" applyFill="1"/>
    <xf numFmtId="0" fontId="5" fillId="4" borderId="0" xfId="0" applyFont="1" applyFill="1" applyAlignment="1">
      <alignment horizontal="left" vertical="center"/>
    </xf>
    <xf numFmtId="0" fontId="10" fillId="4" borderId="0" xfId="0" applyFont="1" applyFill="1" applyAlignment="1">
      <alignment horizontal="left" vertical="center"/>
    </xf>
    <xf numFmtId="0" fontId="46" fillId="15" borderId="3" xfId="0" applyFont="1" applyFill="1" applyBorder="1" applyAlignment="1">
      <alignment horizontal="center" vertical="center"/>
    </xf>
    <xf numFmtId="0" fontId="5" fillId="16" borderId="3" xfId="0" applyFont="1" applyFill="1" applyBorder="1" applyAlignment="1">
      <alignment horizontal="left" vertical="center"/>
    </xf>
    <xf numFmtId="0" fontId="5" fillId="16" borderId="3" xfId="0" applyFont="1" applyFill="1" applyBorder="1" applyAlignment="1">
      <alignment horizontal="left" vertical="center" wrapText="1"/>
    </xf>
    <xf numFmtId="0" fontId="5" fillId="4" borderId="3" xfId="0" applyFont="1" applyFill="1" applyBorder="1" applyAlignment="1">
      <alignment horizontal="left" vertical="center"/>
    </xf>
    <xf numFmtId="0" fontId="5" fillId="4" borderId="3" xfId="0" applyFont="1" applyFill="1" applyBorder="1" applyAlignment="1">
      <alignment horizontal="left" vertical="center" wrapText="1"/>
    </xf>
    <xf numFmtId="0" fontId="5" fillId="4" borderId="0" xfId="0" applyFont="1" applyFill="1" applyAlignment="1"/>
    <xf numFmtId="0" fontId="47" fillId="4" borderId="0" xfId="0" applyFont="1" applyFill="1" applyAlignment="1">
      <alignment horizontal="left" vertical="center"/>
    </xf>
    <xf numFmtId="49" fontId="23" fillId="0" borderId="3" xfId="14" applyNumberFormat="1" applyFont="1" applyFill="1" applyBorder="1" applyAlignment="1">
      <alignment vertical="center" wrapText="1"/>
    </xf>
    <xf numFmtId="49" fontId="23" fillId="0" borderId="3" xfId="0" applyNumberFormat="1" applyFont="1" applyBorder="1" applyAlignment="1">
      <alignment wrapText="1"/>
    </xf>
    <xf numFmtId="0" fontId="48" fillId="0" borderId="0" xfId="0" applyFont="1"/>
    <xf numFmtId="49" fontId="25" fillId="12" borderId="48" xfId="18" applyNumberFormat="1" applyFont="1" applyFill="1" applyBorder="1" applyAlignment="1">
      <alignment vertical="center" wrapText="1"/>
    </xf>
    <xf numFmtId="49" fontId="25" fillId="12" borderId="27" xfId="18" applyNumberFormat="1" applyFont="1" applyFill="1" applyBorder="1" applyAlignment="1">
      <alignment vertical="center" wrapText="1"/>
    </xf>
    <xf numFmtId="0" fontId="25" fillId="12" borderId="0" xfId="0" applyFont="1" applyFill="1"/>
    <xf numFmtId="0" fontId="25" fillId="6" borderId="9" xfId="0" applyFont="1" applyFill="1" applyBorder="1" applyAlignment="1">
      <alignment horizontal="center" vertical="center"/>
    </xf>
    <xf numFmtId="0" fontId="25" fillId="6" borderId="10" xfId="0" applyFont="1" applyFill="1" applyBorder="1" applyAlignment="1">
      <alignment horizontal="center" vertical="center"/>
    </xf>
    <xf numFmtId="0" fontId="49" fillId="0" borderId="0" xfId="0" applyFont="1" applyFill="1" applyBorder="1" applyAlignment="1">
      <alignment horizontal="center" vertical="center"/>
    </xf>
    <xf numFmtId="0" fontId="49" fillId="0" borderId="0" xfId="0" applyFont="1" applyFill="1" applyBorder="1" applyAlignment="1">
      <alignment vertical="center"/>
    </xf>
    <xf numFmtId="0" fontId="49" fillId="0" borderId="0" xfId="0" applyFont="1" applyFill="1" applyBorder="1" applyAlignment="1">
      <alignment horizontal="right" vertical="center"/>
    </xf>
    <xf numFmtId="14" fontId="25" fillId="4" borderId="29" xfId="0" applyNumberFormat="1" applyFont="1" applyFill="1" applyBorder="1" applyAlignment="1">
      <alignment horizontal="center" vertical="top"/>
    </xf>
    <xf numFmtId="14" fontId="25" fillId="4" borderId="21" xfId="0" applyNumberFormat="1" applyFont="1" applyFill="1" applyBorder="1" applyAlignment="1">
      <alignment horizontal="center" vertical="top"/>
    </xf>
    <xf numFmtId="14" fontId="25" fillId="4" borderId="27" xfId="0" applyNumberFormat="1" applyFont="1" applyFill="1" applyBorder="1" applyAlignment="1">
      <alignment horizontal="center" vertical="top"/>
    </xf>
    <xf numFmtId="0" fontId="10" fillId="6" borderId="29" xfId="0" applyFont="1" applyFill="1" applyBorder="1" applyAlignment="1">
      <alignment horizontal="center" vertical="center"/>
    </xf>
    <xf numFmtId="0" fontId="10" fillId="6" borderId="27" xfId="0" applyFont="1" applyFill="1" applyBorder="1" applyAlignment="1">
      <alignment horizontal="center" vertical="center"/>
    </xf>
    <xf numFmtId="0" fontId="25" fillId="11" borderId="29" xfId="0" applyFont="1" applyFill="1" applyBorder="1" applyAlignment="1">
      <alignment horizontal="left" vertical="top"/>
    </xf>
    <xf numFmtId="0" fontId="25" fillId="11" borderId="21" xfId="0" applyFont="1" applyFill="1" applyBorder="1" applyAlignment="1">
      <alignment horizontal="left" vertical="top"/>
    </xf>
    <xf numFmtId="0" fontId="25" fillId="11" borderId="27" xfId="0" applyFont="1" applyFill="1" applyBorder="1" applyAlignment="1">
      <alignment horizontal="left" vertical="top"/>
    </xf>
    <xf numFmtId="14" fontId="25" fillId="4" borderId="55" xfId="0" applyNumberFormat="1" applyFont="1" applyFill="1" applyBorder="1" applyAlignment="1">
      <alignment horizontal="center" vertical="top"/>
    </xf>
    <xf numFmtId="14" fontId="25" fillId="4" borderId="22" xfId="0" applyNumberFormat="1" applyFont="1" applyFill="1" applyBorder="1" applyAlignment="1">
      <alignment horizontal="center" vertical="top"/>
    </xf>
    <xf numFmtId="14" fontId="25" fillId="4" borderId="56" xfId="0" applyNumberFormat="1" applyFont="1" applyFill="1" applyBorder="1" applyAlignment="1">
      <alignment horizontal="center" vertical="top"/>
    </xf>
    <xf numFmtId="0" fontId="10" fillId="6" borderId="55" xfId="0" applyFont="1" applyFill="1" applyBorder="1" applyAlignment="1">
      <alignment horizontal="center" vertical="center"/>
    </xf>
    <xf numFmtId="0" fontId="10" fillId="6" borderId="56" xfId="0" applyFont="1" applyFill="1" applyBorder="1" applyAlignment="1">
      <alignment horizontal="center" vertical="center"/>
    </xf>
    <xf numFmtId="0" fontId="25" fillId="11" borderId="57" xfId="0" applyFont="1" applyFill="1" applyBorder="1" applyAlignment="1">
      <alignment horizontal="left" vertical="top"/>
    </xf>
    <xf numFmtId="0" fontId="25" fillId="11" borderId="20" xfId="0" applyFont="1" applyFill="1" applyBorder="1" applyAlignment="1">
      <alignment horizontal="left" vertical="top"/>
    </xf>
    <xf numFmtId="0" fontId="25" fillId="11" borderId="58" xfId="0" applyFont="1" applyFill="1" applyBorder="1" applyAlignment="1">
      <alignment horizontal="left" vertical="top"/>
    </xf>
    <xf numFmtId="181" fontId="11" fillId="2" borderId="44" xfId="0" applyNumberFormat="1" applyFont="1" applyFill="1" applyBorder="1" applyAlignment="1" applyProtection="1">
      <alignment horizontal="center" vertical="center"/>
    </xf>
    <xf numFmtId="181" fontId="11" fillId="2" borderId="38" xfId="0" applyNumberFormat="1" applyFont="1" applyFill="1" applyBorder="1" applyAlignment="1" applyProtection="1">
      <alignment horizontal="center" vertical="center"/>
    </xf>
    <xf numFmtId="181" fontId="11" fillId="2" borderId="42" xfId="0" applyNumberFormat="1" applyFont="1" applyFill="1" applyBorder="1" applyAlignment="1" applyProtection="1">
      <alignment horizontal="center" vertical="center"/>
    </xf>
    <xf numFmtId="181" fontId="11" fillId="0" borderId="43" xfId="0" applyNumberFormat="1" applyFont="1" applyFill="1" applyBorder="1" applyAlignment="1" applyProtection="1">
      <alignment horizontal="center" vertical="center"/>
    </xf>
    <xf numFmtId="0" fontId="11" fillId="2" borderId="42" xfId="0" applyNumberFormat="1" applyFont="1" applyFill="1" applyBorder="1" applyAlignment="1" applyProtection="1">
      <alignment horizontal="center" vertical="center"/>
    </xf>
    <xf numFmtId="0" fontId="11" fillId="2" borderId="43" xfId="0" applyNumberFormat="1" applyFont="1" applyFill="1" applyBorder="1" applyAlignment="1" applyProtection="1">
      <alignment horizontal="center" vertical="center"/>
    </xf>
    <xf numFmtId="187" fontId="11" fillId="2" borderId="44" xfId="0" applyNumberFormat="1" applyFont="1" applyFill="1" applyBorder="1" applyAlignment="1" applyProtection="1">
      <alignment horizontal="center" vertical="center"/>
    </xf>
    <xf numFmtId="187" fontId="11" fillId="0" borderId="38" xfId="0" applyNumberFormat="1" applyFont="1" applyFill="1" applyBorder="1" applyAlignment="1" applyProtection="1">
      <alignment horizontal="center" vertical="center"/>
    </xf>
    <xf numFmtId="187" fontId="11" fillId="2" borderId="38" xfId="0" applyNumberFormat="1" applyFont="1" applyFill="1" applyBorder="1" applyAlignment="1" applyProtection="1">
      <alignment horizontal="center" vertical="center"/>
    </xf>
    <xf numFmtId="0" fontId="37" fillId="2" borderId="55" xfId="0" applyNumberFormat="1" applyFont="1" applyFill="1" applyBorder="1" applyAlignment="1" applyProtection="1">
      <alignment horizontal="center" vertical="center"/>
    </xf>
    <xf numFmtId="0" fontId="37" fillId="2" borderId="56" xfId="0" applyNumberFormat="1" applyFont="1" applyFill="1" applyBorder="1" applyAlignment="1" applyProtection="1">
      <alignment horizontal="center" vertical="center"/>
    </xf>
    <xf numFmtId="0" fontId="37" fillId="2" borderId="44" xfId="0" applyNumberFormat="1" applyFont="1" applyFill="1" applyBorder="1" applyAlignment="1" applyProtection="1">
      <alignment horizontal="center" vertical="center"/>
    </xf>
    <xf numFmtId="0" fontId="37" fillId="2" borderId="38" xfId="0" applyNumberFormat="1" applyFont="1" applyFill="1" applyBorder="1" applyAlignment="1" applyProtection="1">
      <alignment horizontal="center" vertical="center"/>
    </xf>
    <xf numFmtId="181" fontId="11" fillId="2" borderId="29" xfId="0" applyNumberFormat="1" applyFont="1" applyFill="1" applyBorder="1" applyAlignment="1" applyProtection="1">
      <alignment horizontal="center" vertical="center"/>
    </xf>
    <xf numFmtId="181" fontId="11" fillId="2" borderId="27" xfId="0" applyNumberFormat="1" applyFont="1" applyFill="1" applyBorder="1" applyAlignment="1" applyProtection="1">
      <alignment horizontal="center" vertical="center"/>
    </xf>
    <xf numFmtId="0" fontId="37" fillId="2" borderId="29" xfId="0" applyNumberFormat="1" applyFont="1" applyFill="1" applyBorder="1" applyAlignment="1" applyProtection="1">
      <alignment horizontal="center" vertical="center"/>
    </xf>
    <xf numFmtId="0" fontId="37" fillId="2" borderId="27" xfId="0" applyNumberFormat="1" applyFont="1" applyFill="1" applyBorder="1" applyAlignment="1" applyProtection="1">
      <alignment horizontal="center" vertical="center"/>
    </xf>
    <xf numFmtId="181" fontId="11" fillId="2" borderId="43" xfId="0" applyNumberFormat="1" applyFont="1" applyFill="1" applyBorder="1" applyAlignment="1" applyProtection="1">
      <alignment horizontal="center" vertical="center"/>
    </xf>
    <xf numFmtId="181" fontId="11" fillId="0" borderId="38" xfId="0" applyNumberFormat="1" applyFont="1" applyFill="1" applyBorder="1" applyAlignment="1" applyProtection="1">
      <alignment horizontal="center" vertical="center"/>
    </xf>
    <xf numFmtId="182" fontId="11" fillId="0" borderId="49" xfId="0" applyNumberFormat="1" applyFont="1" applyFill="1" applyBorder="1" applyAlignment="1" applyProtection="1">
      <alignment horizontal="center" vertical="center"/>
    </xf>
    <xf numFmtId="182" fontId="11" fillId="0" borderId="40" xfId="0" applyNumberFormat="1" applyFont="1" applyFill="1" applyBorder="1" applyAlignment="1" applyProtection="1">
      <alignment horizontal="center" vertical="center"/>
    </xf>
    <xf numFmtId="14" fontId="11" fillId="0" borderId="40" xfId="0" applyNumberFormat="1" applyFont="1" applyFill="1" applyBorder="1" applyAlignment="1" applyProtection="1">
      <alignment horizontal="center" vertical="center"/>
    </xf>
    <xf numFmtId="49" fontId="11" fillId="0" borderId="68" xfId="0" applyNumberFormat="1" applyFont="1" applyFill="1" applyBorder="1" applyAlignment="1" applyProtection="1">
      <alignment horizontal="center" vertical="center"/>
    </xf>
    <xf numFmtId="49" fontId="11" fillId="0" borderId="28" xfId="0" applyNumberFormat="1" applyFont="1" applyFill="1" applyBorder="1" applyAlignment="1" applyProtection="1">
      <alignment horizontal="center" vertical="center"/>
    </xf>
    <xf numFmtId="49" fontId="11" fillId="0" borderId="35" xfId="0" applyNumberFormat="1" applyFont="1" applyFill="1" applyBorder="1" applyAlignment="1" applyProtection="1">
      <alignment horizontal="center" vertical="center"/>
    </xf>
    <xf numFmtId="49" fontId="11" fillId="0" borderId="31" xfId="0" applyNumberFormat="1" applyFont="1" applyFill="1" applyBorder="1" applyAlignment="1" applyProtection="1">
      <alignment horizontal="center" vertical="center"/>
    </xf>
    <xf numFmtId="49" fontId="11" fillId="0" borderId="36" xfId="0" applyNumberFormat="1" applyFont="1" applyFill="1" applyBorder="1" applyAlignment="1" applyProtection="1">
      <alignment horizontal="center" vertical="center"/>
    </xf>
    <xf numFmtId="49" fontId="11" fillId="0" borderId="34" xfId="0" applyNumberFormat="1" applyFont="1" applyFill="1" applyBorder="1" applyAlignment="1" applyProtection="1">
      <alignment horizontal="center" vertical="center"/>
    </xf>
    <xf numFmtId="49" fontId="21" fillId="6" borderId="68" xfId="0" applyNumberFormat="1" applyFont="1" applyFill="1" applyBorder="1" applyAlignment="1" applyProtection="1">
      <alignment horizontal="center" vertical="center"/>
    </xf>
    <xf numFmtId="49" fontId="21" fillId="6" borderId="14" xfId="0" applyNumberFormat="1" applyFont="1" applyFill="1" applyBorder="1" applyAlignment="1" applyProtection="1">
      <alignment horizontal="center" vertical="center"/>
    </xf>
    <xf numFmtId="49" fontId="21" fillId="6" borderId="35" xfId="0" applyNumberFormat="1" applyFont="1" applyFill="1" applyBorder="1" applyAlignment="1" applyProtection="1">
      <alignment horizontal="center" vertical="center"/>
    </xf>
    <xf numFmtId="49" fontId="21" fillId="6" borderId="16" xfId="0" applyNumberFormat="1" applyFont="1" applyFill="1" applyBorder="1" applyAlignment="1" applyProtection="1">
      <alignment horizontal="center" vertical="center"/>
    </xf>
    <xf numFmtId="49" fontId="21" fillId="6" borderId="36" xfId="0" applyNumberFormat="1" applyFont="1" applyFill="1" applyBorder="1" applyAlignment="1" applyProtection="1">
      <alignment horizontal="center" vertical="center"/>
    </xf>
    <xf numFmtId="49" fontId="21" fillId="6" borderId="60" xfId="0" applyNumberFormat="1" applyFont="1" applyFill="1" applyBorder="1" applyAlignment="1" applyProtection="1">
      <alignment horizontal="center" vertical="center"/>
    </xf>
    <xf numFmtId="49" fontId="11" fillId="0" borderId="40" xfId="0" applyNumberFormat="1" applyFont="1" applyFill="1" applyBorder="1" applyAlignment="1" applyProtection="1">
      <alignment horizontal="center" vertical="center"/>
    </xf>
    <xf numFmtId="49" fontId="21" fillId="6" borderId="40" xfId="0" applyNumberFormat="1" applyFont="1" applyFill="1" applyBorder="1" applyAlignment="1" applyProtection="1">
      <alignment horizontal="center" vertical="center"/>
    </xf>
    <xf numFmtId="49" fontId="21" fillId="6" borderId="41" xfId="0" applyNumberFormat="1" applyFont="1" applyFill="1" applyBorder="1" applyAlignment="1" applyProtection="1">
      <alignment horizontal="center" vertical="center"/>
    </xf>
    <xf numFmtId="49" fontId="11" fillId="3" borderId="12" xfId="0" applyNumberFormat="1" applyFont="1" applyFill="1" applyBorder="1" applyAlignment="1" applyProtection="1">
      <alignment horizontal="left" vertical="center" wrapText="1"/>
    </xf>
    <xf numFmtId="49" fontId="11" fillId="3" borderId="13" xfId="0" applyNumberFormat="1" applyFont="1" applyFill="1" applyBorder="1" applyAlignment="1" applyProtection="1">
      <alignment horizontal="left" vertical="center" wrapText="1"/>
    </xf>
    <xf numFmtId="49" fontId="11" fillId="3" borderId="14" xfId="0" applyNumberFormat="1" applyFont="1" applyFill="1" applyBorder="1" applyAlignment="1" applyProtection="1">
      <alignment horizontal="left" vertical="center" wrapText="1"/>
    </xf>
    <xf numFmtId="49" fontId="11" fillId="3" borderId="15" xfId="0" applyNumberFormat="1" applyFont="1" applyFill="1" applyBorder="1" applyAlignment="1" applyProtection="1">
      <alignment horizontal="left" vertical="center" wrapText="1"/>
    </xf>
    <xf numFmtId="49" fontId="11" fillId="3" borderId="0" xfId="0" applyNumberFormat="1" applyFont="1" applyFill="1" applyBorder="1" applyAlignment="1" applyProtection="1">
      <alignment horizontal="left" vertical="center" wrapText="1"/>
    </xf>
    <xf numFmtId="49" fontId="11" fillId="3" borderId="16" xfId="0" applyNumberFormat="1" applyFont="1" applyFill="1" applyBorder="1" applyAlignment="1" applyProtection="1">
      <alignment horizontal="left" vertical="center" wrapText="1"/>
    </xf>
    <xf numFmtId="49" fontId="11" fillId="3" borderId="17" xfId="0" applyNumberFormat="1" applyFont="1" applyFill="1" applyBorder="1" applyAlignment="1" applyProtection="1">
      <alignment horizontal="left" vertical="center" wrapText="1"/>
    </xf>
    <xf numFmtId="49" fontId="11" fillId="3" borderId="59" xfId="0" applyNumberFormat="1" applyFont="1" applyFill="1" applyBorder="1" applyAlignment="1" applyProtection="1">
      <alignment horizontal="left" vertical="center" wrapText="1"/>
    </xf>
    <xf numFmtId="49" fontId="11" fillId="3" borderId="60" xfId="0" applyNumberFormat="1" applyFont="1" applyFill="1" applyBorder="1" applyAlignment="1" applyProtection="1">
      <alignment horizontal="left" vertical="center" wrapText="1"/>
    </xf>
    <xf numFmtId="49" fontId="18" fillId="7" borderId="42" xfId="0" applyNumberFormat="1" applyFont="1" applyFill="1" applyBorder="1" applyAlignment="1" applyProtection="1">
      <alignment horizontal="center" vertical="center"/>
    </xf>
    <xf numFmtId="49" fontId="18" fillId="7" borderId="52" xfId="0" applyNumberFormat="1" applyFont="1" applyFill="1" applyBorder="1" applyAlignment="1" applyProtection="1">
      <alignment horizontal="center" vertical="center"/>
    </xf>
    <xf numFmtId="0" fontId="16" fillId="8" borderId="61" xfId="0" applyNumberFormat="1" applyFont="1" applyFill="1" applyBorder="1" applyAlignment="1">
      <alignment horizontal="right" vertical="center"/>
    </xf>
    <xf numFmtId="0" fontId="16" fillId="8" borderId="62" xfId="0" applyNumberFormat="1" applyFont="1" applyFill="1" applyBorder="1" applyAlignment="1">
      <alignment horizontal="right" vertical="center"/>
    </xf>
    <xf numFmtId="0" fontId="16" fillId="8" borderId="64" xfId="0" applyNumberFormat="1" applyFont="1" applyFill="1" applyBorder="1" applyAlignment="1">
      <alignment horizontal="right" vertical="center"/>
    </xf>
    <xf numFmtId="0" fontId="16" fillId="8" borderId="65" xfId="0" applyNumberFormat="1" applyFont="1" applyFill="1" applyBorder="1" applyAlignment="1">
      <alignment horizontal="right" vertical="center"/>
    </xf>
    <xf numFmtId="49" fontId="16" fillId="8" borderId="62" xfId="0" applyNumberFormat="1" applyFont="1" applyFill="1" applyBorder="1" applyAlignment="1">
      <alignment horizontal="left" vertical="center"/>
    </xf>
    <xf numFmtId="49" fontId="16" fillId="8" borderId="63" xfId="0" applyNumberFormat="1" applyFont="1" applyFill="1" applyBorder="1" applyAlignment="1">
      <alignment horizontal="left" vertical="center"/>
    </xf>
    <xf numFmtId="49" fontId="16" fillId="8" borderId="65" xfId="0" applyNumberFormat="1" applyFont="1" applyFill="1" applyBorder="1" applyAlignment="1">
      <alignment horizontal="left" vertical="center"/>
    </xf>
    <xf numFmtId="49" fontId="16" fillId="8" borderId="66" xfId="0" applyNumberFormat="1" applyFont="1" applyFill="1" applyBorder="1" applyAlignment="1">
      <alignment horizontal="left" vertical="center"/>
    </xf>
    <xf numFmtId="0" fontId="11" fillId="3" borderId="26" xfId="0" applyFont="1" applyFill="1" applyBorder="1" applyAlignment="1" applyProtection="1">
      <alignment horizontal="center" vertical="center"/>
    </xf>
    <xf numFmtId="0" fontId="11" fillId="3" borderId="21" xfId="0" applyFont="1" applyFill="1" applyBorder="1" applyAlignment="1" applyProtection="1">
      <alignment horizontal="center" vertical="center"/>
    </xf>
    <xf numFmtId="49" fontId="11" fillId="7" borderId="33" xfId="0" applyNumberFormat="1" applyFont="1" applyFill="1" applyBorder="1" applyAlignment="1" applyProtection="1">
      <alignment horizontal="center" vertical="center"/>
    </xf>
    <xf numFmtId="49" fontId="11" fillId="7" borderId="25" xfId="0" applyNumberFormat="1" applyFont="1" applyFill="1" applyBorder="1" applyAlignment="1" applyProtection="1">
      <alignment horizontal="center" vertical="center"/>
    </xf>
    <xf numFmtId="0" fontId="11" fillId="3" borderId="37" xfId="0" applyFont="1" applyFill="1" applyBorder="1" applyAlignment="1" applyProtection="1">
      <alignment horizontal="center" vertical="center"/>
    </xf>
    <xf numFmtId="0" fontId="11" fillId="3" borderId="39" xfId="0" applyFont="1" applyFill="1" applyBorder="1" applyAlignment="1" applyProtection="1">
      <alignment horizontal="center" vertical="center"/>
    </xf>
    <xf numFmtId="49" fontId="18" fillId="7" borderId="49" xfId="0" applyNumberFormat="1" applyFont="1" applyFill="1" applyBorder="1" applyAlignment="1" applyProtection="1">
      <alignment horizontal="center" vertical="center"/>
    </xf>
    <xf numFmtId="49" fontId="18" fillId="7" borderId="40" xfId="0" applyNumberFormat="1" applyFont="1" applyFill="1" applyBorder="1" applyAlignment="1" applyProtection="1">
      <alignment horizontal="center" vertical="center"/>
    </xf>
    <xf numFmtId="49" fontId="18" fillId="7" borderId="41" xfId="0" applyNumberFormat="1" applyFont="1" applyFill="1" applyBorder="1" applyAlignment="1" applyProtection="1">
      <alignment horizontal="center" vertical="center"/>
    </xf>
    <xf numFmtId="49" fontId="11" fillId="7" borderId="50" xfId="0" applyNumberFormat="1" applyFont="1" applyFill="1" applyBorder="1" applyAlignment="1" applyProtection="1">
      <alignment horizontal="center" vertical="center"/>
    </xf>
    <xf numFmtId="49" fontId="11" fillId="7" borderId="23" xfId="0" applyNumberFormat="1" applyFont="1" applyFill="1" applyBorder="1" applyAlignment="1" applyProtection="1">
      <alignment horizontal="center" vertical="center"/>
    </xf>
    <xf numFmtId="0" fontId="11" fillId="3" borderId="47" xfId="0" applyFont="1" applyFill="1" applyBorder="1" applyAlignment="1" applyProtection="1">
      <alignment horizontal="center" vertical="center"/>
    </xf>
    <xf numFmtId="0" fontId="11" fillId="3" borderId="20" xfId="0" applyFont="1" applyFill="1" applyBorder="1" applyAlignment="1" applyProtection="1">
      <alignment horizontal="center" vertical="center"/>
    </xf>
    <xf numFmtId="49" fontId="11" fillId="3" borderId="35" xfId="0" applyNumberFormat="1" applyFont="1" applyFill="1" applyBorder="1" applyAlignment="1" applyProtection="1">
      <alignment horizontal="left" vertical="center" wrapText="1"/>
    </xf>
    <xf numFmtId="49" fontId="11" fillId="3" borderId="36" xfId="0" applyNumberFormat="1" applyFont="1" applyFill="1" applyBorder="1" applyAlignment="1" applyProtection="1">
      <alignment horizontal="left" vertical="center" wrapText="1"/>
    </xf>
    <xf numFmtId="49" fontId="11" fillId="7" borderId="48" xfId="0" applyNumberFormat="1" applyFont="1" applyFill="1" applyBorder="1" applyAlignment="1" applyProtection="1">
      <alignment horizontal="center" vertical="center"/>
    </xf>
    <xf numFmtId="49" fontId="11" fillId="7" borderId="24" xfId="0" applyNumberFormat="1" applyFont="1" applyFill="1" applyBorder="1" applyAlignment="1" applyProtection="1">
      <alignment horizontal="center" vertical="center"/>
    </xf>
    <xf numFmtId="49" fontId="18" fillId="7" borderId="4" xfId="0" applyNumberFormat="1" applyFont="1" applyFill="1" applyBorder="1" applyAlignment="1" applyProtection="1">
      <alignment horizontal="center" vertical="center"/>
    </xf>
    <xf numFmtId="49" fontId="11" fillId="7" borderId="17" xfId="0" applyNumberFormat="1" applyFont="1" applyFill="1" applyBorder="1" applyAlignment="1" applyProtection="1">
      <alignment horizontal="center" vertical="center"/>
    </xf>
    <xf numFmtId="49" fontId="11" fillId="7" borderId="34" xfId="0" applyNumberFormat="1" applyFont="1" applyFill="1" applyBorder="1" applyAlignment="1" applyProtection="1">
      <alignment horizontal="center" vertical="center"/>
    </xf>
    <xf numFmtId="49" fontId="11" fillId="7" borderId="67" xfId="0" applyNumberFormat="1" applyFont="1" applyFill="1" applyBorder="1" applyAlignment="1" applyProtection="1">
      <alignment horizontal="center" vertical="center"/>
    </xf>
    <xf numFmtId="49" fontId="11" fillId="7" borderId="37" xfId="0" applyNumberFormat="1" applyFont="1" applyFill="1" applyBorder="1" applyAlignment="1" applyProtection="1">
      <alignment horizontal="center" vertical="center"/>
    </xf>
    <xf numFmtId="49" fontId="11" fillId="7" borderId="39" xfId="0" applyNumberFormat="1" applyFont="1" applyFill="1" applyBorder="1" applyAlignment="1" applyProtection="1">
      <alignment horizontal="center" vertical="center"/>
    </xf>
    <xf numFmtId="49" fontId="11" fillId="7" borderId="37" xfId="0" applyNumberFormat="1" applyFont="1" applyFill="1" applyBorder="1" applyAlignment="1" applyProtection="1">
      <alignment horizontal="center" vertical="center" shrinkToFit="1"/>
    </xf>
    <xf numFmtId="49" fontId="11" fillId="7" borderId="38" xfId="0" applyNumberFormat="1" applyFont="1" applyFill="1" applyBorder="1" applyAlignment="1" applyProtection="1">
      <alignment horizontal="center" vertical="center" shrinkToFit="1"/>
    </xf>
    <xf numFmtId="9" fontId="11" fillId="3" borderId="15" xfId="0" applyNumberFormat="1" applyFont="1" applyFill="1" applyBorder="1" applyAlignment="1" applyProtection="1">
      <alignment horizontal="center" vertical="center"/>
    </xf>
    <xf numFmtId="9" fontId="11" fillId="3" borderId="0" xfId="0" applyNumberFormat="1" applyFont="1" applyFill="1" applyBorder="1" applyAlignment="1" applyProtection="1">
      <alignment horizontal="center" vertical="center"/>
    </xf>
    <xf numFmtId="9" fontId="11" fillId="3" borderId="31" xfId="0" applyNumberFormat="1" applyFont="1" applyFill="1" applyBorder="1" applyAlignment="1" applyProtection="1">
      <alignment horizontal="center" vertical="center"/>
    </xf>
    <xf numFmtId="9" fontId="11" fillId="3" borderId="17" xfId="0" applyNumberFormat="1" applyFont="1" applyFill="1" applyBorder="1" applyAlignment="1" applyProtection="1">
      <alignment horizontal="center" vertical="center"/>
    </xf>
    <xf numFmtId="9" fontId="11" fillId="3" borderId="59" xfId="0" applyNumberFormat="1" applyFont="1" applyFill="1" applyBorder="1" applyAlignment="1" applyProtection="1">
      <alignment horizontal="center" vertical="center"/>
    </xf>
    <xf numFmtId="9" fontId="11" fillId="3" borderId="34" xfId="0" applyNumberFormat="1" applyFont="1" applyFill="1" applyBorder="1" applyAlignment="1" applyProtection="1">
      <alignment horizontal="center" vertical="center"/>
    </xf>
    <xf numFmtId="49" fontId="11" fillId="7" borderId="25" xfId="0" applyNumberFormat="1" applyFont="1" applyFill="1" applyBorder="1" applyAlignment="1" applyProtection="1">
      <alignment horizontal="center" vertical="center" shrinkToFit="1"/>
    </xf>
    <xf numFmtId="49" fontId="11" fillId="7" borderId="46" xfId="0" applyNumberFormat="1" applyFont="1" applyFill="1" applyBorder="1" applyAlignment="1" applyProtection="1">
      <alignment horizontal="center" vertical="center" shrinkToFit="1"/>
    </xf>
    <xf numFmtId="14" fontId="11" fillId="0" borderId="12" xfId="0" applyNumberFormat="1" applyFont="1" applyFill="1" applyBorder="1" applyAlignment="1" applyProtection="1">
      <alignment horizontal="center" vertical="center"/>
    </xf>
    <xf numFmtId="14" fontId="11" fillId="0" borderId="72" xfId="0" applyNumberFormat="1" applyFont="1" applyFill="1" applyBorder="1" applyAlignment="1" applyProtection="1">
      <alignment horizontal="center" vertical="center"/>
    </xf>
    <xf numFmtId="14" fontId="11" fillId="0" borderId="14" xfId="0" applyNumberFormat="1" applyFont="1" applyFill="1" applyBorder="1" applyAlignment="1" applyProtection="1">
      <alignment horizontal="center" vertical="center"/>
    </xf>
    <xf numFmtId="14" fontId="11" fillId="0" borderId="15" xfId="0" applyNumberFormat="1" applyFont="1" applyFill="1" applyBorder="1" applyAlignment="1" applyProtection="1">
      <alignment horizontal="center" vertical="center"/>
    </xf>
    <xf numFmtId="14" fontId="11" fillId="0" borderId="0" xfId="0" applyNumberFormat="1" applyFont="1" applyFill="1" applyBorder="1" applyAlignment="1" applyProtection="1">
      <alignment horizontal="center" vertical="center"/>
    </xf>
    <xf numFmtId="14" fontId="11" fillId="0" borderId="16" xfId="0" applyNumberFormat="1" applyFont="1" applyFill="1" applyBorder="1" applyAlignment="1" applyProtection="1">
      <alignment horizontal="center" vertical="center"/>
    </xf>
    <xf numFmtId="14" fontId="11" fillId="0" borderId="17" xfId="0" applyNumberFormat="1" applyFont="1" applyFill="1" applyBorder="1" applyAlignment="1" applyProtection="1">
      <alignment horizontal="center" vertical="center"/>
    </xf>
    <xf numFmtId="14" fontId="11" fillId="0" borderId="59" xfId="0" applyNumberFormat="1" applyFont="1" applyFill="1" applyBorder="1" applyAlignment="1" applyProtection="1">
      <alignment horizontal="center" vertical="center"/>
    </xf>
    <xf numFmtId="14" fontId="11" fillId="0" borderId="60" xfId="0" applyNumberFormat="1" applyFont="1" applyFill="1" applyBorder="1" applyAlignment="1" applyProtection="1">
      <alignment horizontal="center" vertical="center"/>
    </xf>
    <xf numFmtId="49" fontId="11" fillId="0" borderId="23" xfId="0" applyNumberFormat="1" applyFont="1" applyFill="1" applyBorder="1" applyAlignment="1" applyProtection="1">
      <alignment horizontal="center" vertical="center"/>
    </xf>
    <xf numFmtId="49" fontId="11" fillId="3" borderId="23" xfId="0" applyNumberFormat="1" applyFont="1" applyFill="1" applyBorder="1" applyAlignment="1" applyProtection="1">
      <alignment horizontal="center" vertical="center"/>
    </xf>
    <xf numFmtId="49" fontId="11" fillId="3" borderId="24" xfId="0" applyNumberFormat="1" applyFont="1" applyFill="1" applyBorder="1" applyAlignment="1" applyProtection="1">
      <alignment horizontal="center" vertical="center"/>
    </xf>
    <xf numFmtId="49" fontId="11" fillId="3" borderId="25" xfId="0" applyNumberFormat="1" applyFont="1" applyFill="1" applyBorder="1" applyAlignment="1" applyProtection="1">
      <alignment horizontal="center" vertical="center"/>
    </xf>
    <xf numFmtId="14" fontId="11" fillId="3" borderId="23" xfId="0" applyNumberFormat="1" applyFont="1" applyFill="1" applyBorder="1" applyAlignment="1" applyProtection="1">
      <alignment horizontal="center" vertical="center"/>
    </xf>
    <xf numFmtId="14" fontId="11" fillId="3" borderId="24" xfId="0" applyNumberFormat="1" applyFont="1" applyFill="1" applyBorder="1" applyAlignment="1" applyProtection="1">
      <alignment horizontal="center" vertical="center"/>
    </xf>
    <xf numFmtId="14" fontId="11" fillId="3" borderId="25" xfId="0" applyNumberFormat="1" applyFont="1" applyFill="1" applyBorder="1" applyAlignment="1" applyProtection="1">
      <alignment horizontal="center" vertical="center"/>
    </xf>
    <xf numFmtId="49" fontId="11" fillId="3" borderId="45" xfId="0" applyNumberFormat="1" applyFont="1" applyFill="1" applyBorder="1" applyAlignment="1" applyProtection="1">
      <alignment horizontal="center" vertical="center"/>
    </xf>
    <xf numFmtId="49" fontId="11" fillId="3" borderId="32" xfId="0" applyNumberFormat="1" applyFont="1" applyFill="1" applyBorder="1" applyAlignment="1" applyProtection="1">
      <alignment horizontal="center" vertical="center"/>
    </xf>
    <xf numFmtId="49" fontId="11" fillId="3" borderId="46" xfId="0" applyNumberFormat="1" applyFont="1" applyFill="1" applyBorder="1" applyAlignment="1" applyProtection="1">
      <alignment horizontal="center" vertical="center"/>
    </xf>
    <xf numFmtId="14" fontId="11" fillId="0" borderId="23" xfId="0" applyNumberFormat="1" applyFont="1" applyFill="1" applyBorder="1" applyAlignment="1" applyProtection="1">
      <alignment horizontal="center" vertical="center"/>
    </xf>
    <xf numFmtId="49" fontId="18" fillId="7" borderId="53" xfId="0" applyNumberFormat="1" applyFont="1" applyFill="1" applyBorder="1" applyAlignment="1" applyProtection="1">
      <alignment horizontal="center" vertical="center"/>
    </xf>
    <xf numFmtId="49" fontId="18" fillId="7" borderId="2" xfId="0" applyNumberFormat="1" applyFont="1" applyFill="1" applyBorder="1" applyAlignment="1" applyProtection="1">
      <alignment horizontal="center" vertical="center"/>
    </xf>
    <xf numFmtId="49" fontId="18" fillId="7" borderId="71" xfId="0" applyNumberFormat="1" applyFont="1" applyFill="1" applyBorder="1" applyAlignment="1" applyProtection="1">
      <alignment horizontal="center" vertical="center"/>
    </xf>
    <xf numFmtId="182" fontId="11" fillId="3" borderId="50" xfId="0" applyNumberFormat="1" applyFont="1" applyFill="1" applyBorder="1" applyAlignment="1" applyProtection="1">
      <alignment horizontal="center" vertical="center"/>
    </xf>
    <xf numFmtId="182" fontId="11" fillId="3" borderId="23" xfId="0" applyNumberFormat="1" applyFont="1" applyFill="1" applyBorder="1" applyAlignment="1" applyProtection="1">
      <alignment horizontal="center" vertical="center"/>
    </xf>
    <xf numFmtId="182" fontId="11" fillId="3" borderId="48" xfId="0" applyNumberFormat="1" applyFont="1" applyFill="1" applyBorder="1" applyAlignment="1" applyProtection="1">
      <alignment horizontal="center" vertical="center"/>
    </xf>
    <xf numFmtId="182" fontId="11" fillId="3" borderId="24" xfId="0" applyNumberFormat="1" applyFont="1" applyFill="1" applyBorder="1" applyAlignment="1" applyProtection="1">
      <alignment horizontal="center" vertical="center"/>
    </xf>
    <xf numFmtId="182" fontId="11" fillId="3" borderId="33" xfId="0" applyNumberFormat="1" applyFont="1" applyFill="1" applyBorder="1" applyAlignment="1" applyProtection="1">
      <alignment horizontal="center" vertical="center"/>
    </xf>
    <xf numFmtId="182" fontId="11" fillId="3" borderId="25" xfId="0" applyNumberFormat="1" applyFont="1" applyFill="1" applyBorder="1" applyAlignment="1" applyProtection="1">
      <alignment horizontal="center" vertical="center"/>
    </xf>
    <xf numFmtId="186" fontId="11" fillId="2" borderId="23" xfId="0" applyNumberFormat="1" applyFont="1" applyFill="1" applyBorder="1" applyAlignment="1" applyProtection="1">
      <alignment horizontal="center" vertical="center"/>
    </xf>
    <xf numFmtId="186" fontId="11" fillId="2" borderId="24" xfId="0" applyNumberFormat="1" applyFont="1" applyFill="1" applyBorder="1" applyAlignment="1" applyProtection="1">
      <alignment horizontal="center" vertical="center"/>
    </xf>
    <xf numFmtId="186" fontId="11" fillId="2" borderId="25" xfId="0" applyNumberFormat="1" applyFont="1" applyFill="1" applyBorder="1" applyAlignment="1" applyProtection="1">
      <alignment horizontal="center" vertical="center"/>
    </xf>
    <xf numFmtId="14" fontId="11" fillId="0" borderId="23" xfId="0" applyNumberFormat="1" applyFont="1" applyBorder="1" applyAlignment="1" applyProtection="1">
      <alignment horizontal="center" vertical="center"/>
    </xf>
    <xf numFmtId="14" fontId="11" fillId="0" borderId="24" xfId="0" applyNumberFormat="1" applyFont="1" applyBorder="1" applyAlignment="1" applyProtection="1">
      <alignment horizontal="center" vertical="center"/>
    </xf>
    <xf numFmtId="14" fontId="11" fillId="0" borderId="25" xfId="0" applyNumberFormat="1" applyFont="1" applyBorder="1" applyAlignment="1" applyProtection="1">
      <alignment horizontal="center" vertical="center"/>
    </xf>
    <xf numFmtId="49" fontId="11" fillId="0" borderId="23" xfId="0" applyNumberFormat="1" applyFont="1" applyBorder="1" applyAlignment="1" applyProtection="1">
      <alignment horizontal="center" vertical="center"/>
    </xf>
    <xf numFmtId="49" fontId="11" fillId="0" borderId="24" xfId="0" applyNumberFormat="1" applyFont="1" applyBorder="1" applyAlignment="1" applyProtection="1">
      <alignment horizontal="center" vertical="center"/>
    </xf>
    <xf numFmtId="49" fontId="11" fillId="0" borderId="25" xfId="0" applyNumberFormat="1" applyFont="1" applyBorder="1" applyAlignment="1" applyProtection="1">
      <alignment horizontal="center" vertical="center"/>
    </xf>
    <xf numFmtId="49" fontId="11" fillId="0" borderId="45" xfId="0" applyNumberFormat="1" applyFont="1" applyBorder="1" applyAlignment="1" applyProtection="1">
      <alignment horizontal="center" vertical="center"/>
    </xf>
    <xf numFmtId="49" fontId="11" fillId="0" borderId="32" xfId="0" applyNumberFormat="1" applyFont="1" applyBorder="1" applyAlignment="1" applyProtection="1">
      <alignment horizontal="center" vertical="center"/>
    </xf>
    <xf numFmtId="49" fontId="11" fillId="0" borderId="46" xfId="0" applyNumberFormat="1" applyFont="1" applyBorder="1" applyAlignment="1" applyProtection="1">
      <alignment horizontal="center" vertical="center"/>
    </xf>
    <xf numFmtId="0" fontId="37" fillId="2" borderId="15" xfId="0" applyNumberFormat="1" applyFont="1" applyFill="1" applyBorder="1" applyAlignment="1" applyProtection="1">
      <alignment horizontal="center" vertical="center"/>
    </xf>
    <xf numFmtId="0" fontId="37" fillId="2" borderId="16" xfId="0" applyNumberFormat="1" applyFont="1" applyFill="1" applyBorder="1" applyAlignment="1" applyProtection="1">
      <alignment horizontal="center" vertical="center"/>
    </xf>
    <xf numFmtId="181" fontId="11" fillId="2" borderId="12" xfId="0" applyNumberFormat="1" applyFont="1" applyFill="1" applyBorder="1" applyAlignment="1" applyProtection="1">
      <alignment horizontal="center" vertical="center"/>
    </xf>
    <xf numFmtId="181" fontId="11" fillId="2" borderId="14" xfId="0" applyNumberFormat="1" applyFont="1" applyFill="1" applyBorder="1" applyAlignment="1" applyProtection="1">
      <alignment horizontal="center" vertical="center"/>
    </xf>
    <xf numFmtId="0" fontId="37" fillId="2" borderId="12" xfId="0" applyNumberFormat="1" applyFont="1" applyFill="1" applyBorder="1" applyAlignment="1" applyProtection="1">
      <alignment horizontal="center" vertical="center"/>
    </xf>
    <xf numFmtId="0" fontId="37" fillId="2" borderId="14" xfId="0" applyNumberFormat="1" applyFont="1" applyFill="1" applyBorder="1" applyAlignment="1" applyProtection="1">
      <alignment horizontal="center" vertical="center"/>
    </xf>
    <xf numFmtId="49" fontId="11" fillId="3" borderId="0" xfId="0" applyNumberFormat="1" applyFont="1" applyFill="1" applyBorder="1" applyAlignment="1">
      <alignment horizontal="left" vertical="center"/>
    </xf>
    <xf numFmtId="49" fontId="11" fillId="3" borderId="16" xfId="0" applyNumberFormat="1" applyFont="1" applyFill="1" applyBorder="1" applyAlignment="1">
      <alignment horizontal="left" vertical="center"/>
    </xf>
    <xf numFmtId="49" fontId="11" fillId="7" borderId="3" xfId="0" applyNumberFormat="1" applyFont="1" applyFill="1" applyBorder="1" applyAlignment="1">
      <alignment horizontal="center" vertical="center"/>
    </xf>
    <xf numFmtId="14" fontId="11" fillId="3" borderId="3" xfId="0" applyNumberFormat="1" applyFont="1" applyFill="1" applyBorder="1" applyAlignment="1">
      <alignment horizontal="center" vertical="center"/>
    </xf>
    <xf numFmtId="49" fontId="11" fillId="3" borderId="3" xfId="0" applyNumberFormat="1" applyFont="1" applyFill="1" applyBorder="1" applyAlignment="1">
      <alignment horizontal="center" vertical="center"/>
    </xf>
    <xf numFmtId="49" fontId="16" fillId="8" borderId="61" xfId="0" applyNumberFormat="1" applyFont="1" applyFill="1" applyBorder="1" applyAlignment="1">
      <alignment horizontal="right" vertical="center"/>
    </xf>
    <xf numFmtId="49" fontId="16" fillId="8" borderId="62" xfId="0" applyNumberFormat="1" applyFont="1" applyFill="1" applyBorder="1" applyAlignment="1">
      <alignment horizontal="right" vertical="center"/>
    </xf>
    <xf numFmtId="49" fontId="16" fillId="8" borderId="64" xfId="0" applyNumberFormat="1" applyFont="1" applyFill="1" applyBorder="1" applyAlignment="1">
      <alignment horizontal="right" vertical="center"/>
    </xf>
    <xf numFmtId="49" fontId="16" fillId="8" borderId="65" xfId="0" applyNumberFormat="1" applyFont="1" applyFill="1" applyBorder="1" applyAlignment="1">
      <alignment horizontal="right" vertical="center"/>
    </xf>
    <xf numFmtId="49" fontId="18" fillId="7" borderId="44" xfId="0" applyNumberFormat="1" applyFont="1" applyFill="1" applyBorder="1" applyAlignment="1" applyProtection="1">
      <alignment horizontal="left" vertical="center"/>
    </xf>
    <xf numFmtId="49" fontId="18" fillId="7" borderId="39" xfId="0" applyNumberFormat="1" applyFont="1" applyFill="1" applyBorder="1" applyAlignment="1" applyProtection="1">
      <alignment horizontal="left" vertical="center"/>
    </xf>
    <xf numFmtId="49" fontId="18" fillId="7" borderId="51" xfId="0" applyNumberFormat="1" applyFont="1" applyFill="1" applyBorder="1" applyAlignment="1" applyProtection="1">
      <alignment horizontal="left" vertical="center"/>
    </xf>
    <xf numFmtId="184" fontId="11" fillId="3" borderId="37" xfId="0" applyNumberFormat="1" applyFont="1" applyFill="1" applyBorder="1" applyAlignment="1" applyProtection="1">
      <alignment horizontal="center" vertical="center"/>
    </xf>
    <xf numFmtId="184" fontId="11" fillId="3" borderId="39" xfId="0" applyNumberFormat="1" applyFont="1" applyFill="1" applyBorder="1" applyAlignment="1" applyProtection="1">
      <alignment horizontal="center" vertical="center"/>
    </xf>
    <xf numFmtId="184" fontId="11" fillId="3" borderId="38" xfId="0" applyNumberFormat="1" applyFont="1" applyFill="1" applyBorder="1" applyAlignment="1" applyProtection="1">
      <alignment horizontal="center" vertical="center"/>
    </xf>
    <xf numFmtId="49" fontId="18" fillId="7" borderId="29" xfId="0" applyNumberFormat="1" applyFont="1" applyFill="1" applyBorder="1" applyAlignment="1" applyProtection="1">
      <alignment horizontal="left" vertical="center"/>
    </xf>
    <xf numFmtId="49" fontId="18" fillId="7" borderId="21" xfId="0" applyNumberFormat="1" applyFont="1" applyFill="1" applyBorder="1" applyAlignment="1" applyProtection="1">
      <alignment horizontal="left" vertical="center"/>
    </xf>
    <xf numFmtId="49" fontId="18" fillId="7" borderId="30" xfId="0" applyNumberFormat="1" applyFont="1" applyFill="1" applyBorder="1" applyAlignment="1" applyProtection="1">
      <alignment horizontal="left" vertical="center"/>
    </xf>
    <xf numFmtId="0" fontId="11" fillId="10" borderId="26" xfId="0" applyNumberFormat="1" applyFont="1" applyFill="1" applyBorder="1" applyAlignment="1" applyProtection="1">
      <alignment horizontal="center" vertical="center"/>
    </xf>
    <xf numFmtId="0" fontId="11" fillId="10" borderId="21" xfId="0" applyNumberFormat="1" applyFont="1" applyFill="1" applyBorder="1" applyAlignment="1" applyProtection="1">
      <alignment horizontal="center" vertical="center"/>
    </xf>
    <xf numFmtId="0" fontId="11" fillId="10" borderId="27" xfId="0" applyNumberFormat="1" applyFont="1" applyFill="1" applyBorder="1" applyAlignment="1" applyProtection="1">
      <alignment horizontal="center" vertical="center"/>
    </xf>
    <xf numFmtId="49" fontId="18" fillId="7" borderId="15" xfId="0" applyNumberFormat="1" applyFont="1" applyFill="1" applyBorder="1" applyAlignment="1" applyProtection="1">
      <alignment horizontal="left" vertical="center"/>
    </xf>
    <xf numFmtId="49" fontId="18" fillId="7" borderId="0" xfId="0" applyNumberFormat="1" applyFont="1" applyFill="1" applyBorder="1" applyAlignment="1" applyProtection="1">
      <alignment horizontal="left" vertical="center"/>
    </xf>
    <xf numFmtId="49" fontId="18" fillId="7" borderId="31" xfId="0" applyNumberFormat="1" applyFont="1" applyFill="1" applyBorder="1" applyAlignment="1" applyProtection="1">
      <alignment horizontal="left" vertical="center"/>
    </xf>
    <xf numFmtId="0" fontId="11" fillId="6" borderId="26" xfId="0" applyNumberFormat="1" applyFont="1" applyFill="1" applyBorder="1" applyAlignment="1" applyProtection="1">
      <alignment horizontal="center" vertical="center"/>
    </xf>
    <xf numFmtId="0" fontId="11" fillId="6" borderId="21" xfId="0" applyNumberFormat="1" applyFont="1" applyFill="1" applyBorder="1" applyAlignment="1" applyProtection="1">
      <alignment horizontal="center" vertical="center"/>
    </xf>
    <xf numFmtId="0" fontId="11" fillId="6" borderId="27" xfId="0" applyNumberFormat="1" applyFont="1" applyFill="1" applyBorder="1" applyAlignment="1" applyProtection="1">
      <alignment horizontal="center" vertical="center"/>
    </xf>
    <xf numFmtId="0" fontId="18" fillId="7" borderId="21" xfId="0" applyNumberFormat="1" applyFont="1" applyFill="1" applyBorder="1" applyAlignment="1" applyProtection="1">
      <alignment horizontal="left" vertical="center"/>
    </xf>
    <xf numFmtId="0" fontId="18" fillId="7" borderId="30" xfId="0" applyNumberFormat="1" applyFont="1" applyFill="1" applyBorder="1" applyAlignment="1" applyProtection="1">
      <alignment horizontal="left" vertical="center"/>
    </xf>
    <xf numFmtId="49" fontId="11" fillId="6" borderId="24" xfId="0" applyNumberFormat="1" applyFont="1" applyFill="1" applyBorder="1" applyAlignment="1" applyProtection="1">
      <alignment horizontal="center" vertical="center"/>
    </xf>
    <xf numFmtId="49" fontId="11" fillId="6" borderId="32" xfId="0" applyNumberFormat="1" applyFont="1" applyFill="1" applyBorder="1" applyAlignment="1" applyProtection="1">
      <alignment horizontal="center" vertical="center"/>
    </xf>
    <xf numFmtId="49" fontId="17" fillId="10" borderId="13" xfId="0" applyNumberFormat="1" applyFont="1" applyFill="1" applyBorder="1" applyAlignment="1">
      <alignment horizontal="center" vertical="center"/>
    </xf>
    <xf numFmtId="49" fontId="17" fillId="10" borderId="14" xfId="0" applyNumberFormat="1" applyFont="1" applyFill="1" applyBorder="1" applyAlignment="1">
      <alignment horizontal="center" vertical="center"/>
    </xf>
    <xf numFmtId="49" fontId="17" fillId="10" borderId="59" xfId="0" applyNumberFormat="1" applyFont="1" applyFill="1" applyBorder="1" applyAlignment="1">
      <alignment horizontal="center" vertical="center"/>
    </xf>
    <xf numFmtId="49" fontId="17" fillId="10" borderId="60" xfId="0" applyNumberFormat="1" applyFont="1" applyFill="1" applyBorder="1" applyAlignment="1">
      <alignment horizontal="center" vertical="center"/>
    </xf>
    <xf numFmtId="49" fontId="18" fillId="7" borderId="3" xfId="0" applyNumberFormat="1" applyFont="1" applyFill="1" applyBorder="1" applyAlignment="1">
      <alignment horizontal="center" vertical="center"/>
    </xf>
    <xf numFmtId="49" fontId="18" fillId="7" borderId="12" xfId="0" applyNumberFormat="1" applyFont="1" applyFill="1" applyBorder="1" applyAlignment="1" applyProtection="1">
      <alignment horizontal="left" vertical="center"/>
    </xf>
    <xf numFmtId="0" fontId="18" fillId="7" borderId="13" xfId="0" applyNumberFormat="1" applyFont="1" applyFill="1" applyBorder="1" applyAlignment="1" applyProtection="1">
      <alignment horizontal="left" vertical="center"/>
    </xf>
    <xf numFmtId="0" fontId="18" fillId="7" borderId="28" xfId="0" applyNumberFormat="1" applyFont="1" applyFill="1" applyBorder="1" applyAlignment="1" applyProtection="1">
      <alignment horizontal="left" vertical="center"/>
    </xf>
    <xf numFmtId="49" fontId="11" fillId="6" borderId="23" xfId="0" applyNumberFormat="1" applyFont="1" applyFill="1" applyBorder="1" applyAlignment="1" applyProtection="1">
      <alignment horizontal="center" vertical="center"/>
    </xf>
    <xf numFmtId="49" fontId="11" fillId="6" borderId="45" xfId="0" applyNumberFormat="1" applyFont="1" applyFill="1" applyBorder="1" applyAlignment="1" applyProtection="1">
      <alignment horizontal="center" vertical="center"/>
    </xf>
    <xf numFmtId="0" fontId="11" fillId="0" borderId="26" xfId="0" applyNumberFormat="1" applyFont="1" applyFill="1" applyBorder="1" applyAlignment="1" applyProtection="1">
      <alignment horizontal="center" vertical="center"/>
    </xf>
    <xf numFmtId="0" fontId="11" fillId="0" borderId="21" xfId="0" applyNumberFormat="1" applyFont="1" applyFill="1" applyBorder="1" applyAlignment="1" applyProtection="1">
      <alignment horizontal="center" vertical="center"/>
    </xf>
    <xf numFmtId="0" fontId="11" fillId="0" borderId="27" xfId="0" applyNumberFormat="1" applyFont="1" applyFill="1" applyBorder="1" applyAlignment="1" applyProtection="1">
      <alignment horizontal="center" vertical="center"/>
    </xf>
    <xf numFmtId="0" fontId="18" fillId="7" borderId="0" xfId="0" applyNumberFormat="1" applyFont="1" applyFill="1" applyBorder="1" applyAlignment="1" applyProtection="1">
      <alignment horizontal="left" vertical="center"/>
    </xf>
    <xf numFmtId="0" fontId="18" fillId="7" borderId="31" xfId="0" applyNumberFormat="1" applyFont="1" applyFill="1" applyBorder="1" applyAlignment="1" applyProtection="1">
      <alignment horizontal="left" vertical="center"/>
    </xf>
    <xf numFmtId="49" fontId="11" fillId="6" borderId="26" xfId="0" applyNumberFormat="1" applyFont="1" applyFill="1" applyBorder="1" applyAlignment="1" applyProtection="1">
      <alignment horizontal="center" vertical="center"/>
    </xf>
    <xf numFmtId="49" fontId="11" fillId="6" borderId="21" xfId="0" applyNumberFormat="1" applyFont="1" applyFill="1" applyBorder="1" applyAlignment="1" applyProtection="1">
      <alignment horizontal="center" vertical="center"/>
    </xf>
    <xf numFmtId="49" fontId="11" fillId="6" borderId="27" xfId="0" applyNumberFormat="1" applyFont="1" applyFill="1" applyBorder="1" applyAlignment="1" applyProtection="1">
      <alignment horizontal="center" vertical="center"/>
    </xf>
    <xf numFmtId="0" fontId="25" fillId="4" borderId="53" xfId="0" applyFont="1" applyFill="1" applyBorder="1" applyAlignment="1">
      <alignment horizontal="left" vertical="top" wrapText="1"/>
    </xf>
    <xf numFmtId="0" fontId="25" fillId="4" borderId="2" xfId="0" applyFont="1" applyFill="1" applyBorder="1" applyAlignment="1">
      <alignment horizontal="left" vertical="top" wrapText="1"/>
    </xf>
    <xf numFmtId="0" fontId="25" fillId="4" borderId="54" xfId="0" applyFont="1" applyFill="1" applyBorder="1" applyAlignment="1">
      <alignment horizontal="left" vertical="top" wrapText="1"/>
    </xf>
    <xf numFmtId="0" fontId="25" fillId="4" borderId="53" xfId="0" applyFont="1" applyFill="1" applyBorder="1" applyAlignment="1">
      <alignment horizontal="left" vertical="top"/>
    </xf>
    <xf numFmtId="0" fontId="25" fillId="4" borderId="2" xfId="0" applyFont="1" applyFill="1" applyBorder="1" applyAlignment="1">
      <alignment horizontal="left" vertical="top"/>
    </xf>
    <xf numFmtId="0" fontId="25" fillId="4" borderId="54" xfId="0" applyFont="1" applyFill="1" applyBorder="1" applyAlignment="1">
      <alignment horizontal="left" vertical="top"/>
    </xf>
    <xf numFmtId="14" fontId="25" fillId="4" borderId="29" xfId="0" applyNumberFormat="1" applyFont="1" applyFill="1" applyBorder="1" applyAlignment="1">
      <alignment horizontal="center" vertical="top"/>
    </xf>
    <xf numFmtId="14" fontId="25" fillId="4" borderId="21" xfId="0" applyNumberFormat="1" applyFont="1" applyFill="1" applyBorder="1" applyAlignment="1">
      <alignment horizontal="center" vertical="top"/>
    </xf>
    <xf numFmtId="14" fontId="25" fillId="4" borderId="27" xfId="0" applyNumberFormat="1" applyFont="1" applyFill="1" applyBorder="1" applyAlignment="1">
      <alignment horizontal="center" vertical="top"/>
    </xf>
    <xf numFmtId="0" fontId="10" fillId="6" borderId="29" xfId="0" applyFont="1" applyFill="1" applyBorder="1" applyAlignment="1">
      <alignment horizontal="center" vertical="center"/>
    </xf>
    <xf numFmtId="0" fontId="10" fillId="6" borderId="27" xfId="0" applyFont="1" applyFill="1" applyBorder="1" applyAlignment="1">
      <alignment horizontal="center" vertical="center"/>
    </xf>
    <xf numFmtId="0" fontId="25" fillId="11" borderId="29" xfId="0" applyFont="1" applyFill="1" applyBorder="1" applyAlignment="1">
      <alignment horizontal="left" vertical="top"/>
    </xf>
    <xf numFmtId="0" fontId="25" fillId="11" borderId="21" xfId="0" applyFont="1" applyFill="1" applyBorder="1" applyAlignment="1">
      <alignment horizontal="left" vertical="top"/>
    </xf>
    <xf numFmtId="0" fontId="25" fillId="11" borderId="27" xfId="0" applyFont="1" applyFill="1" applyBorder="1" applyAlignment="1">
      <alignment horizontal="left" vertical="top"/>
    </xf>
    <xf numFmtId="0" fontId="25" fillId="4" borderId="12" xfId="10" applyNumberFormat="1" applyFont="1" applyFill="1" applyBorder="1" applyAlignment="1">
      <alignment horizontal="center" vertical="top"/>
    </xf>
    <xf numFmtId="0" fontId="25" fillId="4" borderId="14" xfId="10" applyNumberFormat="1" applyFont="1" applyFill="1" applyBorder="1" applyAlignment="1">
      <alignment horizontal="center" vertical="top"/>
    </xf>
    <xf numFmtId="0" fontId="25" fillId="4" borderId="15" xfId="10" applyNumberFormat="1" applyFont="1" applyFill="1" applyBorder="1" applyAlignment="1">
      <alignment horizontal="center" vertical="top"/>
    </xf>
    <xf numFmtId="0" fontId="25" fillId="4" borderId="16" xfId="10" applyNumberFormat="1" applyFont="1" applyFill="1" applyBorder="1" applyAlignment="1">
      <alignment horizontal="center" vertical="top"/>
    </xf>
    <xf numFmtId="0" fontId="25" fillId="4" borderId="17" xfId="10" applyNumberFormat="1" applyFont="1" applyFill="1" applyBorder="1" applyAlignment="1">
      <alignment horizontal="center" vertical="top"/>
    </xf>
    <xf numFmtId="0" fontId="25" fillId="4" borderId="19" xfId="10" applyNumberFormat="1" applyFont="1" applyFill="1" applyBorder="1" applyAlignment="1">
      <alignment horizontal="center" vertical="top"/>
    </xf>
    <xf numFmtId="14" fontId="25" fillId="4" borderId="42" xfId="0" applyNumberFormat="1" applyFont="1" applyFill="1" applyBorder="1" applyAlignment="1">
      <alignment horizontal="center" vertical="top"/>
    </xf>
    <xf numFmtId="14" fontId="25" fillId="4" borderId="52" xfId="0" applyNumberFormat="1" applyFont="1" applyFill="1" applyBorder="1" applyAlignment="1">
      <alignment horizontal="center" vertical="top"/>
    </xf>
    <xf numFmtId="14" fontId="25" fillId="4" borderId="43" xfId="0" applyNumberFormat="1" applyFont="1" applyFill="1" applyBorder="1" applyAlignment="1">
      <alignment horizontal="center" vertical="top"/>
    </xf>
    <xf numFmtId="0" fontId="10" fillId="6" borderId="42" xfId="0" applyFont="1" applyFill="1" applyBorder="1" applyAlignment="1">
      <alignment horizontal="center" vertical="center"/>
    </xf>
    <xf numFmtId="0" fontId="10" fillId="6" borderId="43" xfId="0" applyFont="1" applyFill="1" applyBorder="1" applyAlignment="1">
      <alignment horizontal="center" vertical="center"/>
    </xf>
    <xf numFmtId="0" fontId="25" fillId="11" borderId="12" xfId="0" applyFont="1" applyFill="1" applyBorder="1" applyAlignment="1">
      <alignment horizontal="left" vertical="top"/>
    </xf>
    <xf numFmtId="0" fontId="25" fillId="11" borderId="13" xfId="0" applyFont="1" applyFill="1" applyBorder="1" applyAlignment="1">
      <alignment horizontal="left" vertical="top"/>
    </xf>
    <xf numFmtId="0" fontId="25" fillId="11" borderId="14" xfId="0" applyFont="1" applyFill="1" applyBorder="1" applyAlignment="1">
      <alignment horizontal="left" vertical="top"/>
    </xf>
    <xf numFmtId="14" fontId="25" fillId="4" borderId="55" xfId="0" applyNumberFormat="1" applyFont="1" applyFill="1" applyBorder="1" applyAlignment="1">
      <alignment horizontal="center" vertical="top"/>
    </xf>
    <xf numFmtId="14" fontId="25" fillId="4" borderId="22" xfId="0" applyNumberFormat="1" applyFont="1" applyFill="1" applyBorder="1" applyAlignment="1">
      <alignment horizontal="center" vertical="top"/>
    </xf>
    <xf numFmtId="14" fontId="25" fillId="4" borderId="56" xfId="0" applyNumberFormat="1" applyFont="1" applyFill="1" applyBorder="1" applyAlignment="1">
      <alignment horizontal="center" vertical="top"/>
    </xf>
    <xf numFmtId="0" fontId="10" fillId="6" borderId="55" xfId="0" applyFont="1" applyFill="1" applyBorder="1" applyAlignment="1">
      <alignment horizontal="center" vertical="center"/>
    </xf>
    <xf numFmtId="0" fontId="10" fillId="6" borderId="56" xfId="0" applyFont="1" applyFill="1" applyBorder="1" applyAlignment="1">
      <alignment horizontal="center" vertical="center"/>
    </xf>
    <xf numFmtId="0" fontId="25" fillId="11" borderId="57" xfId="0" applyFont="1" applyFill="1" applyBorder="1" applyAlignment="1">
      <alignment horizontal="left" vertical="top"/>
    </xf>
    <xf numFmtId="0" fontId="25" fillId="11" borderId="20" xfId="0" applyFont="1" applyFill="1" applyBorder="1" applyAlignment="1">
      <alignment horizontal="left" vertical="top"/>
    </xf>
    <xf numFmtId="0" fontId="25" fillId="11" borderId="58" xfId="0" applyFont="1" applyFill="1" applyBorder="1" applyAlignment="1">
      <alignment horizontal="left" vertical="top"/>
    </xf>
    <xf numFmtId="14" fontId="25" fillId="4" borderId="44" xfId="0" applyNumberFormat="1" applyFont="1" applyFill="1" applyBorder="1" applyAlignment="1">
      <alignment horizontal="center" vertical="top"/>
    </xf>
    <xf numFmtId="14" fontId="25" fillId="4" borderId="39" xfId="0" applyNumberFormat="1" applyFont="1" applyFill="1" applyBorder="1" applyAlignment="1">
      <alignment horizontal="center" vertical="top"/>
    </xf>
    <xf numFmtId="14" fontId="25" fillId="4" borderId="38" xfId="0" applyNumberFormat="1" applyFont="1" applyFill="1" applyBorder="1" applyAlignment="1">
      <alignment horizontal="center" vertical="top"/>
    </xf>
    <xf numFmtId="0" fontId="25" fillId="7" borderId="4" xfId="0" applyNumberFormat="1" applyFont="1" applyFill="1" applyBorder="1" applyAlignment="1">
      <alignment horizontal="center" vertical="center"/>
    </xf>
    <xf numFmtId="0" fontId="25" fillId="7" borderId="5" xfId="0" applyNumberFormat="1" applyFont="1" applyFill="1" applyBorder="1" applyAlignment="1">
      <alignment horizontal="center" vertical="center"/>
    </xf>
    <xf numFmtId="0" fontId="25" fillId="7" borderId="11" xfId="0" applyNumberFormat="1" applyFont="1" applyFill="1" applyBorder="1" applyAlignment="1">
      <alignment horizontal="center" vertical="center"/>
    </xf>
    <xf numFmtId="0" fontId="25" fillId="4" borderId="12" xfId="15" applyFont="1" applyFill="1" applyBorder="1" applyAlignment="1">
      <alignment horizontal="left" vertical="top" wrapText="1"/>
    </xf>
    <xf numFmtId="0" fontId="25" fillId="4" borderId="72" xfId="15" applyFont="1" applyFill="1" applyBorder="1" applyAlignment="1">
      <alignment horizontal="left" vertical="top" wrapText="1"/>
    </xf>
    <xf numFmtId="0" fontId="25" fillId="4" borderId="15" xfId="15" applyFont="1" applyFill="1" applyBorder="1" applyAlignment="1">
      <alignment horizontal="left" vertical="top" wrapText="1"/>
    </xf>
    <xf numFmtId="0" fontId="25" fillId="4" borderId="0" xfId="15" applyFont="1" applyFill="1" applyBorder="1" applyAlignment="1">
      <alignment horizontal="left" vertical="top" wrapText="1"/>
    </xf>
    <xf numFmtId="0" fontId="25" fillId="4" borderId="17" xfId="15" applyFont="1" applyFill="1" applyBorder="1" applyAlignment="1">
      <alignment horizontal="left" vertical="top" wrapText="1"/>
    </xf>
    <xf numFmtId="0" fontId="25" fillId="4" borderId="59" xfId="15" applyFont="1" applyFill="1" applyBorder="1" applyAlignment="1">
      <alignment horizontal="left" vertical="top" wrapText="1"/>
    </xf>
    <xf numFmtId="0" fontId="25" fillId="4" borderId="12" xfId="0" applyFont="1" applyFill="1" applyBorder="1" applyAlignment="1">
      <alignment horizontal="left" vertical="top" wrapText="1"/>
    </xf>
    <xf numFmtId="0" fontId="25" fillId="4" borderId="72" xfId="0" applyFont="1" applyFill="1" applyBorder="1" applyAlignment="1">
      <alignment horizontal="left" vertical="top" wrapText="1"/>
    </xf>
    <xf numFmtId="0" fontId="25" fillId="4" borderId="15" xfId="0" applyFont="1" applyFill="1" applyBorder="1" applyAlignment="1">
      <alignment horizontal="left" vertical="top" wrapText="1"/>
    </xf>
    <xf numFmtId="0" fontId="25" fillId="4" borderId="0" xfId="0" applyFont="1" applyFill="1" applyBorder="1" applyAlignment="1">
      <alignment horizontal="left" vertical="top" wrapText="1"/>
    </xf>
    <xf numFmtId="0" fontId="25" fillId="4" borderId="17" xfId="0" applyFont="1" applyFill="1" applyBorder="1" applyAlignment="1">
      <alignment horizontal="left" vertical="top" wrapText="1"/>
    </xf>
    <xf numFmtId="0" fontId="25" fillId="4" borderId="59" xfId="0" applyFont="1" applyFill="1" applyBorder="1" applyAlignment="1">
      <alignment horizontal="left" vertical="top" wrapText="1"/>
    </xf>
    <xf numFmtId="0" fontId="25" fillId="6" borderId="12" xfId="0" applyFont="1" applyFill="1" applyBorder="1" applyAlignment="1">
      <alignment horizontal="center" vertical="center"/>
    </xf>
    <xf numFmtId="0" fontId="25" fillId="6" borderId="14" xfId="0" applyFont="1" applyFill="1" applyBorder="1" applyAlignment="1">
      <alignment horizontal="center" vertical="center"/>
    </xf>
    <xf numFmtId="0" fontId="25" fillId="6" borderId="15" xfId="0" applyFont="1" applyFill="1" applyBorder="1" applyAlignment="1">
      <alignment horizontal="center" vertical="center"/>
    </xf>
    <xf numFmtId="0" fontId="25" fillId="6" borderId="16" xfId="0" applyFont="1" applyFill="1" applyBorder="1" applyAlignment="1">
      <alignment horizontal="center" vertical="center"/>
    </xf>
    <xf numFmtId="0" fontId="25" fillId="6" borderId="17" xfId="0" applyFont="1" applyFill="1" applyBorder="1" applyAlignment="1">
      <alignment horizontal="center" vertical="center"/>
    </xf>
    <xf numFmtId="0" fontId="25" fillId="6" borderId="60" xfId="0" applyFont="1" applyFill="1" applyBorder="1" applyAlignment="1">
      <alignment horizontal="center" vertical="center"/>
    </xf>
    <xf numFmtId="0" fontId="25" fillId="6" borderId="19" xfId="0" applyFont="1" applyFill="1" applyBorder="1" applyAlignment="1">
      <alignment horizontal="center" vertical="center"/>
    </xf>
    <xf numFmtId="0" fontId="25" fillId="4" borderId="13" xfId="0" applyFont="1" applyFill="1" applyBorder="1" applyAlignment="1">
      <alignment horizontal="left" vertical="top" wrapText="1"/>
    </xf>
    <xf numFmtId="0" fontId="25" fillId="4" borderId="18" xfId="0" applyFont="1" applyFill="1" applyBorder="1" applyAlignment="1">
      <alignment horizontal="left" vertical="top" wrapText="1"/>
    </xf>
    <xf numFmtId="0" fontId="25" fillId="4" borderId="14" xfId="0" applyFont="1" applyFill="1" applyBorder="1" applyAlignment="1">
      <alignment horizontal="left" vertical="top" wrapText="1"/>
    </xf>
    <xf numFmtId="0" fontId="25" fillId="4" borderId="16" xfId="0" applyFont="1" applyFill="1" applyBorder="1" applyAlignment="1">
      <alignment horizontal="left" vertical="top" wrapText="1"/>
    </xf>
    <xf numFmtId="0" fontId="25" fillId="4" borderId="19" xfId="0" applyFont="1" applyFill="1" applyBorder="1" applyAlignment="1">
      <alignment horizontal="left" vertical="top" wrapText="1"/>
    </xf>
    <xf numFmtId="0" fontId="25" fillId="4" borderId="12" xfId="0" applyFont="1" applyFill="1" applyBorder="1" applyAlignment="1">
      <alignment horizontal="left" vertical="top"/>
    </xf>
    <xf numFmtId="0" fontId="25" fillId="4" borderId="13" xfId="0" applyFont="1" applyFill="1" applyBorder="1" applyAlignment="1">
      <alignment horizontal="left" vertical="top"/>
    </xf>
    <xf numFmtId="0" fontId="25" fillId="4" borderId="14" xfId="0" applyFont="1" applyFill="1" applyBorder="1" applyAlignment="1">
      <alignment horizontal="left" vertical="top"/>
    </xf>
    <xf numFmtId="0" fontId="25" fillId="4" borderId="15" xfId="0" applyFont="1" applyFill="1" applyBorder="1" applyAlignment="1">
      <alignment horizontal="left" vertical="top"/>
    </xf>
    <xf numFmtId="0" fontId="25" fillId="4" borderId="0" xfId="0" applyFont="1" applyFill="1" applyBorder="1" applyAlignment="1">
      <alignment horizontal="left" vertical="top"/>
    </xf>
    <xf numFmtId="0" fontId="25" fillId="4" borderId="16" xfId="0" applyFont="1" applyFill="1" applyBorder="1" applyAlignment="1">
      <alignment horizontal="left" vertical="top"/>
    </xf>
    <xf numFmtId="0" fontId="25" fillId="4" borderId="17" xfId="0" applyFont="1" applyFill="1" applyBorder="1" applyAlignment="1">
      <alignment horizontal="left" vertical="top"/>
    </xf>
    <xf numFmtId="0" fontId="25" fillId="4" borderId="18" xfId="0" applyFont="1" applyFill="1" applyBorder="1" applyAlignment="1">
      <alignment horizontal="left" vertical="top"/>
    </xf>
    <xf numFmtId="0" fontId="25" fillId="4" borderId="19" xfId="0" applyFont="1" applyFill="1" applyBorder="1" applyAlignment="1">
      <alignment horizontal="left" vertical="top"/>
    </xf>
    <xf numFmtId="14" fontId="25" fillId="4" borderId="57" xfId="0" applyNumberFormat="1" applyFont="1" applyFill="1" applyBorder="1" applyAlignment="1">
      <alignment horizontal="center" vertical="top"/>
    </xf>
    <xf numFmtId="14" fontId="25" fillId="4" borderId="20" xfId="0" applyNumberFormat="1" applyFont="1" applyFill="1" applyBorder="1" applyAlignment="1">
      <alignment horizontal="center" vertical="top"/>
    </xf>
    <xf numFmtId="14" fontId="25" fillId="4" borderId="58" xfId="0" applyNumberFormat="1" applyFont="1" applyFill="1" applyBorder="1" applyAlignment="1">
      <alignment horizontal="center" vertical="top"/>
    </xf>
    <xf numFmtId="0" fontId="25" fillId="4" borderId="60" xfId="0" applyFont="1" applyFill="1" applyBorder="1" applyAlignment="1">
      <alignment horizontal="left" vertical="top" wrapText="1"/>
    </xf>
    <xf numFmtId="0" fontId="5" fillId="13" borderId="53" xfId="0" applyNumberFormat="1" applyFont="1" applyFill="1" applyBorder="1" applyAlignment="1">
      <alignment horizontal="center" vertical="top" wrapText="1"/>
    </xf>
    <xf numFmtId="0" fontId="5" fillId="13" borderId="2" xfId="0" applyNumberFormat="1" applyFont="1" applyFill="1" applyBorder="1" applyAlignment="1">
      <alignment horizontal="center" vertical="top" wrapText="1"/>
    </xf>
    <xf numFmtId="0" fontId="5" fillId="13" borderId="54" xfId="0" applyNumberFormat="1" applyFont="1" applyFill="1" applyBorder="1" applyAlignment="1">
      <alignment horizontal="center" vertical="top" wrapText="1"/>
    </xf>
    <xf numFmtId="49" fontId="41" fillId="13" borderId="53" xfId="0" applyNumberFormat="1" applyFont="1" applyFill="1" applyBorder="1" applyAlignment="1">
      <alignment horizontal="center" vertical="top" wrapText="1"/>
    </xf>
    <xf numFmtId="49" fontId="41" fillId="13" borderId="2" xfId="0" applyNumberFormat="1" applyFont="1" applyFill="1" applyBorder="1" applyAlignment="1">
      <alignment horizontal="center" vertical="top" wrapText="1"/>
    </xf>
    <xf numFmtId="49" fontId="41" fillId="13" borderId="54" xfId="0" applyNumberFormat="1" applyFont="1" applyFill="1" applyBorder="1" applyAlignment="1">
      <alignment horizontal="center" vertical="top" wrapText="1"/>
    </xf>
    <xf numFmtId="0" fontId="10" fillId="7" borderId="53" xfId="0" applyNumberFormat="1" applyFont="1" applyFill="1" applyBorder="1" applyAlignment="1">
      <alignment horizontal="center" vertical="center"/>
    </xf>
    <xf numFmtId="0" fontId="10" fillId="7" borderId="2" xfId="0" applyNumberFormat="1" applyFont="1" applyFill="1" applyBorder="1" applyAlignment="1">
      <alignment horizontal="center" vertical="center"/>
    </xf>
    <xf numFmtId="0" fontId="10" fillId="7" borderId="54" xfId="0" applyNumberFormat="1" applyFont="1" applyFill="1" applyBorder="1" applyAlignment="1">
      <alignment horizontal="center" vertical="center"/>
    </xf>
    <xf numFmtId="0" fontId="25" fillId="4" borderId="53" xfId="0" applyNumberFormat="1" applyFont="1" applyFill="1" applyBorder="1" applyAlignment="1">
      <alignment horizontal="center" vertical="center"/>
    </xf>
    <xf numFmtId="0" fontId="25" fillId="4" borderId="2" xfId="0" applyNumberFormat="1" applyFont="1" applyFill="1" applyBorder="1" applyAlignment="1">
      <alignment horizontal="center" vertical="center"/>
    </xf>
    <xf numFmtId="0" fontId="25" fillId="4" borderId="54" xfId="0" applyNumberFormat="1" applyFont="1" applyFill="1" applyBorder="1" applyAlignment="1">
      <alignment horizontal="center" vertical="center"/>
    </xf>
    <xf numFmtId="49" fontId="25" fillId="7" borderId="53" xfId="0" applyNumberFormat="1" applyFont="1" applyFill="1" applyBorder="1" applyAlignment="1">
      <alignment horizontal="center" vertical="top" shrinkToFit="1"/>
    </xf>
    <xf numFmtId="49" fontId="25" fillId="7" borderId="2" xfId="0" applyNumberFormat="1" applyFont="1" applyFill="1" applyBorder="1" applyAlignment="1">
      <alignment horizontal="center" vertical="top" shrinkToFit="1"/>
    </xf>
    <xf numFmtId="49" fontId="25" fillId="7" borderId="54" xfId="0" applyNumberFormat="1" applyFont="1" applyFill="1" applyBorder="1" applyAlignment="1">
      <alignment horizontal="center" vertical="top" shrinkToFit="1"/>
    </xf>
    <xf numFmtId="182" fontId="25" fillId="9" borderId="3" xfId="0" applyNumberFormat="1" applyFont="1" applyFill="1" applyBorder="1" applyAlignment="1">
      <alignment horizontal="center" vertical="top"/>
    </xf>
    <xf numFmtId="49" fontId="10" fillId="7" borderId="4" xfId="0" applyNumberFormat="1" applyFont="1" applyFill="1" applyBorder="1" applyAlignment="1">
      <alignment horizontal="center" vertical="center"/>
    </xf>
    <xf numFmtId="49" fontId="10" fillId="7" borderId="5" xfId="0" applyNumberFormat="1" applyFont="1" applyFill="1" applyBorder="1" applyAlignment="1">
      <alignment horizontal="center" vertical="center"/>
    </xf>
    <xf numFmtId="49" fontId="10" fillId="7" borderId="11" xfId="0" applyNumberFormat="1" applyFont="1" applyFill="1" applyBorder="1" applyAlignment="1">
      <alignment horizontal="center" vertical="center"/>
    </xf>
    <xf numFmtId="49" fontId="18" fillId="7" borderId="4" xfId="0" applyNumberFormat="1" applyFont="1" applyFill="1" applyBorder="1" applyAlignment="1">
      <alignment horizontal="center" vertical="top" textRotation="255"/>
    </xf>
    <xf numFmtId="49" fontId="18" fillId="7" borderId="5" xfId="0" applyNumberFormat="1" applyFont="1" applyFill="1" applyBorder="1" applyAlignment="1">
      <alignment horizontal="center" vertical="top" textRotation="255"/>
    </xf>
    <xf numFmtId="49" fontId="18" fillId="7" borderId="11" xfId="0" applyNumberFormat="1" applyFont="1" applyFill="1" applyBorder="1" applyAlignment="1">
      <alignment horizontal="center" vertical="top" textRotation="255"/>
    </xf>
    <xf numFmtId="49" fontId="10" fillId="7" borderId="12" xfId="0" applyNumberFormat="1" applyFont="1" applyFill="1" applyBorder="1" applyAlignment="1">
      <alignment horizontal="center" vertical="center"/>
    </xf>
    <xf numFmtId="49" fontId="10" fillId="7" borderId="13" xfId="0" applyNumberFormat="1" applyFont="1" applyFill="1" applyBorder="1" applyAlignment="1">
      <alignment horizontal="center" vertical="center"/>
    </xf>
    <xf numFmtId="49" fontId="10" fillId="7" borderId="15" xfId="0" applyNumberFormat="1" applyFont="1" applyFill="1" applyBorder="1" applyAlignment="1">
      <alignment horizontal="center" vertical="center"/>
    </xf>
    <xf numFmtId="49" fontId="10" fillId="7" borderId="0" xfId="0" applyNumberFormat="1" applyFont="1" applyFill="1" applyBorder="1" applyAlignment="1">
      <alignment horizontal="center" vertical="center"/>
    </xf>
    <xf numFmtId="49" fontId="10" fillId="7" borderId="17" xfId="0" applyNumberFormat="1" applyFont="1" applyFill="1" applyBorder="1" applyAlignment="1">
      <alignment horizontal="center" vertical="center"/>
    </xf>
    <xf numFmtId="49" fontId="10" fillId="7" borderId="18" xfId="0" applyNumberFormat="1" applyFont="1" applyFill="1" applyBorder="1" applyAlignment="1">
      <alignment horizontal="center" vertical="center"/>
    </xf>
    <xf numFmtId="49" fontId="10" fillId="7" borderId="12" xfId="0" applyNumberFormat="1" applyFont="1" applyFill="1" applyBorder="1" applyAlignment="1">
      <alignment horizontal="center" vertical="center" wrapText="1"/>
    </xf>
    <xf numFmtId="49" fontId="10" fillId="7" borderId="14" xfId="0" applyNumberFormat="1" applyFont="1" applyFill="1" applyBorder="1" applyAlignment="1">
      <alignment horizontal="center" vertical="center"/>
    </xf>
    <xf numFmtId="49" fontId="10" fillId="7" borderId="16" xfId="0" applyNumberFormat="1" applyFont="1" applyFill="1" applyBorder="1" applyAlignment="1">
      <alignment horizontal="center" vertical="center"/>
    </xf>
    <xf numFmtId="49" fontId="10" fillId="7" borderId="19" xfId="0" applyNumberFormat="1" applyFont="1" applyFill="1" applyBorder="1" applyAlignment="1">
      <alignment horizontal="center" vertical="center"/>
    </xf>
    <xf numFmtId="49" fontId="10" fillId="7" borderId="53" xfId="0" applyNumberFormat="1" applyFont="1" applyFill="1" applyBorder="1" applyAlignment="1">
      <alignment horizontal="center" vertical="center"/>
    </xf>
    <xf numFmtId="0" fontId="25" fillId="9" borderId="53" xfId="0" applyNumberFormat="1" applyFont="1" applyFill="1" applyBorder="1" applyAlignment="1">
      <alignment horizontal="center" vertical="center"/>
    </xf>
    <xf numFmtId="0" fontId="25" fillId="9" borderId="2" xfId="0" applyNumberFormat="1" applyFont="1" applyFill="1" applyBorder="1" applyAlignment="1">
      <alignment horizontal="center" vertical="center"/>
    </xf>
    <xf numFmtId="0" fontId="25" fillId="9" borderId="54" xfId="0" applyNumberFormat="1" applyFont="1" applyFill="1" applyBorder="1" applyAlignment="1">
      <alignment horizontal="center" vertical="center"/>
    </xf>
    <xf numFmtId="49" fontId="25" fillId="4" borderId="53" xfId="0" applyNumberFormat="1" applyFont="1" applyFill="1" applyBorder="1" applyAlignment="1">
      <alignment horizontal="center" vertical="center"/>
    </xf>
    <xf numFmtId="49" fontId="25" fillId="4" borderId="2" xfId="0" applyNumberFormat="1" applyFont="1" applyFill="1" applyBorder="1" applyAlignment="1">
      <alignment horizontal="center" vertical="center"/>
    </xf>
    <xf numFmtId="49" fontId="25" fillId="4" borderId="54" xfId="0" applyNumberFormat="1" applyFont="1" applyFill="1" applyBorder="1" applyAlignment="1">
      <alignment horizontal="center" vertical="center"/>
    </xf>
    <xf numFmtId="0" fontId="10" fillId="7" borderId="12" xfId="0" applyFont="1" applyFill="1" applyBorder="1" applyAlignment="1">
      <alignment horizontal="center" vertical="center" wrapText="1"/>
    </xf>
    <xf numFmtId="0" fontId="10" fillId="7" borderId="13" xfId="0" applyFont="1" applyFill="1" applyBorder="1" applyAlignment="1">
      <alignment horizontal="center" vertical="center" wrapText="1"/>
    </xf>
    <xf numFmtId="0" fontId="10" fillId="7" borderId="14" xfId="0" applyFont="1" applyFill="1" applyBorder="1" applyAlignment="1">
      <alignment horizontal="center" vertical="center" wrapText="1"/>
    </xf>
    <xf numFmtId="0" fontId="10" fillId="7" borderId="15"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7" borderId="16" xfId="0" applyFont="1" applyFill="1" applyBorder="1" applyAlignment="1">
      <alignment horizontal="center" vertical="center" wrapText="1"/>
    </xf>
    <xf numFmtId="0" fontId="10" fillId="7" borderId="17" xfId="0" applyFont="1" applyFill="1" applyBorder="1" applyAlignment="1">
      <alignment horizontal="center" vertical="center" wrapText="1"/>
    </xf>
    <xf numFmtId="0" fontId="10" fillId="7" borderId="59" xfId="0" applyFont="1" applyFill="1" applyBorder="1" applyAlignment="1">
      <alignment horizontal="center" vertical="center" wrapText="1"/>
    </xf>
    <xf numFmtId="0" fontId="10" fillId="7" borderId="19" xfId="0" applyFont="1" applyFill="1" applyBorder="1" applyAlignment="1">
      <alignment horizontal="center" vertical="center" wrapText="1"/>
    </xf>
    <xf numFmtId="14" fontId="10" fillId="7" borderId="12" xfId="0" applyNumberFormat="1" applyFont="1" applyFill="1" applyBorder="1" applyAlignment="1">
      <alignment horizontal="center" vertical="center" wrapText="1"/>
    </xf>
    <xf numFmtId="14" fontId="10" fillId="7" borderId="13" xfId="0" applyNumberFormat="1" applyFont="1" applyFill="1" applyBorder="1" applyAlignment="1">
      <alignment horizontal="center" vertical="center" wrapText="1"/>
    </xf>
    <xf numFmtId="14" fontId="10" fillId="7" borderId="14" xfId="0" applyNumberFormat="1" applyFont="1" applyFill="1" applyBorder="1" applyAlignment="1">
      <alignment horizontal="center" vertical="center" wrapText="1"/>
    </xf>
    <xf numFmtId="14" fontId="10" fillId="7" borderId="15" xfId="0" applyNumberFormat="1" applyFont="1" applyFill="1" applyBorder="1" applyAlignment="1">
      <alignment horizontal="center" vertical="center" wrapText="1"/>
    </xf>
    <xf numFmtId="14" fontId="10" fillId="7" borderId="0" xfId="0" applyNumberFormat="1" applyFont="1" applyFill="1" applyBorder="1" applyAlignment="1">
      <alignment horizontal="center" vertical="center" wrapText="1"/>
    </xf>
    <xf numFmtId="14" fontId="10" fillId="7" borderId="16" xfId="0" applyNumberFormat="1" applyFont="1" applyFill="1" applyBorder="1" applyAlignment="1">
      <alignment horizontal="center" vertical="center" wrapText="1"/>
    </xf>
    <xf numFmtId="14" fontId="10" fillId="7" borderId="17" xfId="0" applyNumberFormat="1" applyFont="1" applyFill="1" applyBorder="1" applyAlignment="1">
      <alignment horizontal="center" vertical="center" wrapText="1"/>
    </xf>
    <xf numFmtId="14" fontId="10" fillId="7" borderId="59" xfId="0" applyNumberFormat="1" applyFont="1" applyFill="1" applyBorder="1" applyAlignment="1">
      <alignment horizontal="center" vertical="center" wrapText="1"/>
    </xf>
    <xf numFmtId="14" fontId="10" fillId="7" borderId="60" xfId="0" applyNumberFormat="1" applyFont="1" applyFill="1" applyBorder="1" applyAlignment="1">
      <alignment horizontal="center" vertical="center" wrapText="1"/>
    </xf>
    <xf numFmtId="49" fontId="10" fillId="7" borderId="2" xfId="0" applyNumberFormat="1" applyFont="1" applyFill="1" applyBorder="1" applyAlignment="1">
      <alignment horizontal="center" vertical="center"/>
    </xf>
    <xf numFmtId="49" fontId="10" fillId="7" borderId="54" xfId="0" applyNumberFormat="1" applyFont="1" applyFill="1" applyBorder="1" applyAlignment="1">
      <alignment horizontal="center" vertical="center"/>
    </xf>
    <xf numFmtId="0" fontId="10" fillId="7" borderId="4" xfId="0" applyNumberFormat="1" applyFont="1" applyFill="1" applyBorder="1" applyAlignment="1">
      <alignment horizontal="center" vertical="center" wrapText="1"/>
    </xf>
    <xf numFmtId="0" fontId="10" fillId="7" borderId="5" xfId="0" applyNumberFormat="1" applyFont="1" applyFill="1" applyBorder="1" applyAlignment="1">
      <alignment horizontal="center" vertical="center" wrapText="1"/>
    </xf>
    <xf numFmtId="0" fontId="10" fillId="7" borderId="11" xfId="0" applyNumberFormat="1" applyFont="1" applyFill="1" applyBorder="1" applyAlignment="1">
      <alignment horizontal="center" vertical="center" wrapText="1"/>
    </xf>
    <xf numFmtId="182" fontId="21" fillId="9" borderId="3" xfId="0" applyNumberFormat="1" applyFont="1" applyFill="1" applyBorder="1" applyAlignment="1">
      <alignment horizontal="center" vertical="top"/>
    </xf>
    <xf numFmtId="49" fontId="5" fillId="7" borderId="53" xfId="0" applyNumberFormat="1" applyFont="1" applyFill="1" applyBorder="1" applyAlignment="1">
      <alignment horizontal="center" vertical="top" shrinkToFit="1"/>
    </xf>
    <xf numFmtId="49" fontId="5" fillId="7" borderId="2" xfId="0" applyNumberFormat="1" applyFont="1" applyFill="1" applyBorder="1" applyAlignment="1">
      <alignment horizontal="center" vertical="top" shrinkToFit="1"/>
    </xf>
    <xf numFmtId="49" fontId="5" fillId="7" borderId="54" xfId="0" applyNumberFormat="1" applyFont="1" applyFill="1" applyBorder="1" applyAlignment="1">
      <alignment horizontal="center" vertical="top" shrinkToFit="1"/>
    </xf>
    <xf numFmtId="49" fontId="18" fillId="4" borderId="0" xfId="0" applyNumberFormat="1" applyFont="1" applyFill="1" applyBorder="1" applyAlignment="1">
      <alignment horizontal="center" vertical="top"/>
    </xf>
    <xf numFmtId="49" fontId="18" fillId="4" borderId="0" xfId="0" applyNumberFormat="1" applyFont="1" applyFill="1" applyBorder="1" applyAlignment="1">
      <alignment horizontal="center" vertical="center"/>
    </xf>
    <xf numFmtId="0" fontId="11" fillId="4" borderId="0" xfId="0" applyNumberFormat="1" applyFont="1" applyFill="1" applyBorder="1" applyAlignment="1">
      <alignment horizontal="left" vertical="center"/>
    </xf>
    <xf numFmtId="49" fontId="24" fillId="8" borderId="3" xfId="0" applyNumberFormat="1" applyFont="1" applyFill="1" applyBorder="1" applyAlignment="1">
      <alignment horizontal="center" vertical="center"/>
    </xf>
    <xf numFmtId="49" fontId="17" fillId="7" borderId="3" xfId="0" applyNumberFormat="1" applyFont="1" applyFill="1" applyBorder="1" applyAlignment="1">
      <alignment horizontal="center" vertical="center"/>
    </xf>
    <xf numFmtId="49" fontId="21" fillId="7" borderId="3" xfId="0" applyNumberFormat="1" applyFont="1" applyFill="1" applyBorder="1" applyAlignment="1">
      <alignment horizontal="center" vertical="center"/>
    </xf>
    <xf numFmtId="49" fontId="17" fillId="7" borderId="3" xfId="0" applyNumberFormat="1" applyFont="1" applyFill="1" applyBorder="1" applyAlignment="1">
      <alignment horizontal="center" vertical="top"/>
    </xf>
    <xf numFmtId="0" fontId="17" fillId="7" borderId="3" xfId="0" applyNumberFormat="1" applyFont="1" applyFill="1" applyBorder="1" applyAlignment="1">
      <alignment horizontal="center" vertical="top"/>
    </xf>
    <xf numFmtId="0" fontId="17" fillId="7" borderId="54" xfId="0" applyNumberFormat="1" applyFont="1" applyFill="1" applyBorder="1" applyAlignment="1">
      <alignment horizontal="center" vertical="top"/>
    </xf>
    <xf numFmtId="0" fontId="21" fillId="9" borderId="3" xfId="0" applyNumberFormat="1" applyFont="1" applyFill="1" applyBorder="1" applyAlignment="1">
      <alignment horizontal="center" vertical="center"/>
    </xf>
    <xf numFmtId="0" fontId="10" fillId="7" borderId="12" xfId="0" applyNumberFormat="1" applyFont="1" applyFill="1" applyBorder="1" applyAlignment="1">
      <alignment horizontal="center" vertical="center" wrapText="1"/>
    </xf>
    <xf numFmtId="0" fontId="10" fillId="7" borderId="13" xfId="0" applyNumberFormat="1" applyFont="1" applyFill="1" applyBorder="1" applyAlignment="1">
      <alignment horizontal="center" vertical="center" wrapText="1"/>
    </xf>
    <xf numFmtId="0" fontId="10" fillId="7" borderId="14" xfId="0" applyNumberFormat="1" applyFont="1" applyFill="1" applyBorder="1" applyAlignment="1">
      <alignment horizontal="center" vertical="center" wrapText="1"/>
    </xf>
    <xf numFmtId="0" fontId="10" fillId="7" borderId="15" xfId="0" applyNumberFormat="1" applyFont="1" applyFill="1" applyBorder="1" applyAlignment="1">
      <alignment horizontal="center" vertical="center" wrapText="1"/>
    </xf>
    <xf numFmtId="0" fontId="10" fillId="7" borderId="0" xfId="0" applyNumberFormat="1" applyFont="1" applyFill="1" applyBorder="1" applyAlignment="1">
      <alignment horizontal="center" vertical="center" wrapText="1"/>
    </xf>
    <xf numFmtId="0" fontId="10" fillId="7" borderId="16" xfId="0" applyNumberFormat="1" applyFont="1" applyFill="1" applyBorder="1" applyAlignment="1">
      <alignment horizontal="center" vertical="center" wrapText="1"/>
    </xf>
    <xf numFmtId="0" fontId="10" fillId="7" borderId="17" xfId="0" applyNumberFormat="1" applyFont="1" applyFill="1" applyBorder="1" applyAlignment="1">
      <alignment horizontal="center" vertical="center" wrapText="1"/>
    </xf>
    <xf numFmtId="0" fontId="10" fillId="7" borderId="18" xfId="0" applyNumberFormat="1" applyFont="1" applyFill="1" applyBorder="1" applyAlignment="1">
      <alignment horizontal="center" vertical="center" wrapText="1"/>
    </xf>
    <xf numFmtId="0" fontId="10" fillId="7" borderId="19" xfId="0" applyNumberFormat="1" applyFont="1" applyFill="1" applyBorder="1" applyAlignment="1">
      <alignment horizontal="center" vertical="center" wrapText="1"/>
    </xf>
    <xf numFmtId="0" fontId="10" fillId="7" borderId="4" xfId="0" applyFont="1" applyFill="1" applyBorder="1" applyAlignment="1">
      <alignment horizontal="center" vertical="center"/>
    </xf>
    <xf numFmtId="0" fontId="10" fillId="7" borderId="5" xfId="0" applyFont="1" applyFill="1" applyBorder="1" applyAlignment="1">
      <alignment horizontal="center" vertical="center"/>
    </xf>
    <xf numFmtId="0" fontId="10" fillId="7" borderId="11" xfId="0" applyFont="1" applyFill="1" applyBorder="1" applyAlignment="1">
      <alignment horizontal="center" vertical="center"/>
    </xf>
    <xf numFmtId="0" fontId="10" fillId="6" borderId="44" xfId="0" applyFont="1" applyFill="1" applyBorder="1" applyAlignment="1">
      <alignment horizontal="center" vertical="center"/>
    </xf>
    <xf numFmtId="0" fontId="10" fillId="6" borderId="38" xfId="0" applyFont="1" applyFill="1" applyBorder="1" applyAlignment="1">
      <alignment horizontal="center" vertical="center"/>
    </xf>
    <xf numFmtId="0" fontId="25" fillId="11" borderId="17" xfId="0" applyFont="1" applyFill="1" applyBorder="1" applyAlignment="1">
      <alignment horizontal="left" vertical="top"/>
    </xf>
    <xf numFmtId="0" fontId="25" fillId="11" borderId="18" xfId="0" applyFont="1" applyFill="1" applyBorder="1" applyAlignment="1">
      <alignment horizontal="left" vertical="top"/>
    </xf>
    <xf numFmtId="0" fontId="25" fillId="11" borderId="19" xfId="0" applyFont="1" applyFill="1" applyBorder="1" applyAlignment="1">
      <alignment horizontal="left" vertical="top"/>
    </xf>
    <xf numFmtId="0" fontId="25" fillId="4" borderId="13" xfId="15" applyFont="1" applyFill="1" applyBorder="1" applyAlignment="1">
      <alignment horizontal="left" vertical="top" wrapText="1"/>
    </xf>
    <xf numFmtId="0" fontId="25" fillId="4" borderId="18" xfId="15" applyFont="1" applyFill="1" applyBorder="1" applyAlignment="1">
      <alignment horizontal="left" vertical="top" wrapText="1"/>
    </xf>
    <xf numFmtId="0" fontId="10" fillId="6" borderId="53" xfId="0" applyFont="1" applyFill="1" applyBorder="1" applyAlignment="1">
      <alignment horizontal="center" vertical="center"/>
    </xf>
    <xf numFmtId="0" fontId="10" fillId="6" borderId="54" xfId="0" applyFont="1" applyFill="1" applyBorder="1" applyAlignment="1">
      <alignment horizontal="center" vertical="center"/>
    </xf>
    <xf numFmtId="0" fontId="25" fillId="4" borderId="60" xfId="10" applyNumberFormat="1" applyFont="1" applyFill="1" applyBorder="1" applyAlignment="1">
      <alignment horizontal="center" vertical="top"/>
    </xf>
    <xf numFmtId="0" fontId="10" fillId="10" borderId="9" xfId="0" applyFont="1" applyFill="1" applyBorder="1" applyAlignment="1">
      <alignment horizontal="center" vertical="center"/>
    </xf>
  </cellXfs>
  <cellStyles count="22">
    <cellStyle name="Calc Currency (0)" xfId="1"/>
    <cellStyle name="Header1" xfId="2"/>
    <cellStyle name="Header2" xfId="3"/>
    <cellStyle name="ハイパーリンク" xfId="17" builtinId="8"/>
    <cellStyle name="パラメータ" xfId="4"/>
    <cellStyle name="桁蟻唇Ｆ [0.00]_Sheet2" xfId="5"/>
    <cellStyle name="桁蟻唇Ｆ_Sheet2" xfId="6"/>
    <cellStyle name="桁区切り 2" xfId="7"/>
    <cellStyle name="脱浦 [0.00]_Sheet2" xfId="8"/>
    <cellStyle name="脱浦_Sheet2" xfId="9"/>
    <cellStyle name="通貨" xfId="10" builtinId="7"/>
    <cellStyle name="標準" xfId="0" builtinId="0"/>
    <cellStyle name="標準 2" xfId="11"/>
    <cellStyle name="標準 2 2" xfId="12"/>
    <cellStyle name="標準 2 3" xfId="20"/>
    <cellStyle name="標準 3" xfId="13"/>
    <cellStyle name="標準 4" xfId="18"/>
    <cellStyle name="標準 5" xfId="19"/>
    <cellStyle name="標準 6" xfId="21"/>
    <cellStyle name="標準_010_レビュー票(MACRO付き）" xfId="14"/>
    <cellStyle name="標準_画面項目定義_単体テスト仕様書兼成績書標準版サンプル修正" xfId="15"/>
    <cellStyle name="標準_質問内容結果" xfId="16"/>
  </cellStyles>
  <dxfs count="24">
    <dxf>
      <fill>
        <patternFill>
          <fgColor indexed="64"/>
          <bgColor rgb="FFBFBFBF"/>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ont>
        <color theme="0"/>
      </font>
    </dxf>
    <dxf>
      <font>
        <color theme="0"/>
      </font>
    </dxf>
    <dxf>
      <font>
        <color theme="0"/>
      </font>
    </dxf>
  </dxfs>
  <tableStyles count="0" defaultTableStyle="TableStyleMedium9" defaultPivotStyle="PivotStyleLight16"/>
  <colors>
    <mruColors>
      <color rgb="FFFFFF99"/>
      <color rgb="FFFF3300"/>
      <color rgb="FFEBE600"/>
      <color rgb="FF000000"/>
      <color rgb="FFFF5050"/>
      <color rgb="FFCCFFE0"/>
      <color rgb="FFF0FFFF"/>
      <color rgb="FFE0E0FF"/>
      <color rgb="FFF2DCDB"/>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xdr:from>
      <xdr:col>0</xdr:col>
      <xdr:colOff>134472</xdr:colOff>
      <xdr:row>12</xdr:row>
      <xdr:rowOff>63826</xdr:rowOff>
    </xdr:from>
    <xdr:to>
      <xdr:col>17</xdr:col>
      <xdr:colOff>134471</xdr:colOff>
      <xdr:row>30</xdr:row>
      <xdr:rowOff>123264</xdr:rowOff>
    </xdr:to>
    <xdr:sp macro="" textlink="">
      <xdr:nvSpPr>
        <xdr:cNvPr id="4" name="AutoShape 72">
          <a:extLst>
            <a:ext uri="{FF2B5EF4-FFF2-40B4-BE49-F238E27FC236}">
              <a16:creationId xmlns="" xmlns:a16="http://schemas.microsoft.com/office/drawing/2014/main" id="{00000000-0008-0000-0000-000004000000}"/>
            </a:ext>
          </a:extLst>
        </xdr:cNvPr>
        <xdr:cNvSpPr>
          <a:spLocks noChangeArrowheads="1"/>
        </xdr:cNvSpPr>
      </xdr:nvSpPr>
      <xdr:spPr bwMode="auto">
        <a:xfrm>
          <a:off x="134472" y="1856767"/>
          <a:ext cx="7037293" cy="2883321"/>
        </a:xfrm>
        <a:prstGeom prst="roundRect">
          <a:avLst>
            <a:gd name="adj" fmla="val 6356"/>
          </a:avLst>
        </a:prstGeom>
        <a:noFill/>
        <a:ln w="38100">
          <a:solidFill>
            <a:srgbClr xmlns:mc="http://schemas.openxmlformats.org/markup-compatibility/2006" xmlns:a14="http://schemas.microsoft.com/office/drawing/2010/main" val="FF0000" mc:Ignorable="a14" a14:legacySpreadsheetColorIndex="10"/>
          </a:solidFill>
          <a:prstDash val="sysDot"/>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18</xdr:col>
      <xdr:colOff>235326</xdr:colOff>
      <xdr:row>47</xdr:row>
      <xdr:rowOff>93838</xdr:rowOff>
    </xdr:from>
    <xdr:to>
      <xdr:col>40</xdr:col>
      <xdr:colOff>224118</xdr:colOff>
      <xdr:row>54</xdr:row>
      <xdr:rowOff>100850</xdr:rowOff>
    </xdr:to>
    <xdr:sp macro="" textlink="">
      <xdr:nvSpPr>
        <xdr:cNvPr id="6" name="AutoShape 76">
          <a:extLst>
            <a:ext uri="{FF2B5EF4-FFF2-40B4-BE49-F238E27FC236}">
              <a16:creationId xmlns="" xmlns:a16="http://schemas.microsoft.com/office/drawing/2014/main" id="{00000000-0008-0000-0000-000006000000}"/>
            </a:ext>
          </a:extLst>
        </xdr:cNvPr>
        <xdr:cNvSpPr>
          <a:spLocks noChangeArrowheads="1"/>
        </xdr:cNvSpPr>
      </xdr:nvSpPr>
      <xdr:spPr bwMode="auto">
        <a:xfrm>
          <a:off x="7552767" y="7377662"/>
          <a:ext cx="9155204" cy="1105188"/>
        </a:xfrm>
        <a:prstGeom prst="roundRect">
          <a:avLst>
            <a:gd name="adj" fmla="val 12222"/>
          </a:avLst>
        </a:prstGeom>
        <a:noFill/>
        <a:ln w="38100">
          <a:solidFill>
            <a:srgbClr xmlns:mc="http://schemas.openxmlformats.org/markup-compatibility/2006" xmlns:a14="http://schemas.microsoft.com/office/drawing/2010/main" val="FF0000" mc:Ignorable="a14" a14:legacySpreadsheetColorIndex="10"/>
          </a:solidFill>
          <a:prstDash val="sysDot"/>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26</xdr:col>
      <xdr:colOff>2975</xdr:colOff>
      <xdr:row>45</xdr:row>
      <xdr:rowOff>4481</xdr:rowOff>
    </xdr:from>
    <xdr:ext cx="2521150" cy="486249"/>
    <xdr:sp macro="" textlink="">
      <xdr:nvSpPr>
        <xdr:cNvPr id="7" name="AutoShape 79">
          <a:extLst>
            <a:ext uri="{FF2B5EF4-FFF2-40B4-BE49-F238E27FC236}">
              <a16:creationId xmlns="" xmlns:a16="http://schemas.microsoft.com/office/drawing/2014/main" id="{00000000-0008-0000-0000-000007000000}"/>
            </a:ext>
          </a:extLst>
        </xdr:cNvPr>
        <xdr:cNvSpPr>
          <a:spLocks noChangeArrowheads="1"/>
        </xdr:cNvSpPr>
      </xdr:nvSpPr>
      <xdr:spPr bwMode="auto">
        <a:xfrm>
          <a:off x="11613950" y="6795806"/>
          <a:ext cx="2521150" cy="486249"/>
        </a:xfrm>
        <a:prstGeom prst="wedgeRoundRectCallout">
          <a:avLst>
            <a:gd name="adj1" fmla="val -38290"/>
            <a:gd name="adj2" fmla="val 99807"/>
            <a:gd name="adj3" fmla="val 16667"/>
          </a:avLst>
        </a:prstGeom>
        <a:ln>
          <a:headEnd/>
          <a:tailEnd/>
        </a:ln>
      </xdr:spPr>
      <xdr:style>
        <a:lnRef idx="1">
          <a:schemeClr val="accent1"/>
        </a:lnRef>
        <a:fillRef idx="3">
          <a:schemeClr val="accent1"/>
        </a:fillRef>
        <a:effectRef idx="2">
          <a:schemeClr val="accent1"/>
        </a:effectRef>
        <a:fontRef idx="minor">
          <a:schemeClr val="lt1"/>
        </a:fontRef>
      </xdr:style>
      <xdr:txBody>
        <a:bodyPr vertOverflow="clip" wrap="square" lIns="27432" tIns="18288" rIns="27432" bIns="18288" anchor="ctr" upright="1">
          <a:noAutofit/>
        </a:bodyPr>
        <a:lstStyle/>
        <a:p>
          <a:pPr algn="ctr" rtl="0">
            <a:lnSpc>
              <a:spcPts val="1100"/>
            </a:lnSpc>
            <a:defRPr sz="1000"/>
          </a:pPr>
          <a:r>
            <a:rPr lang="en-US" altLang="ja-JP" sz="1200" b="1" i="0" u="none" strike="noStrike" baseline="0">
              <a:solidFill>
                <a:schemeClr val="bg1"/>
              </a:solidFill>
              <a:latin typeface="Arial" panose="020B0604020202020204" pitchFamily="34" charset="0"/>
              <a:ea typeface="Meiryo UI" pitchFamily="50" charset="-128"/>
              <a:cs typeface="Arial" panose="020B0604020202020204" pitchFamily="34" charset="0"/>
            </a:rPr>
            <a:t>If acceptable: passed</a:t>
          </a:r>
          <a:endParaRPr lang="ja-JP" altLang="en-US" sz="1200" b="1" i="0" u="none" strike="noStrike" baseline="0">
            <a:solidFill>
              <a:schemeClr val="bg1"/>
            </a:solidFill>
            <a:latin typeface="Arial" panose="020B0604020202020204" pitchFamily="34" charset="0"/>
            <a:ea typeface="Meiryo UI" pitchFamily="50" charset="-128"/>
            <a:cs typeface="Arial" panose="020B0604020202020204" pitchFamily="34" charset="0"/>
          </a:endParaRPr>
        </a:p>
        <a:p>
          <a:pPr algn="ctr" rtl="0">
            <a:lnSpc>
              <a:spcPts val="1100"/>
            </a:lnSpc>
            <a:defRPr sz="1000"/>
          </a:pPr>
          <a:r>
            <a:rPr lang="en-US" altLang="ja-JP" sz="1200" b="1" i="0" u="none" strike="noStrike" baseline="0">
              <a:solidFill>
                <a:schemeClr val="bg1"/>
              </a:solidFill>
              <a:latin typeface="Arial" panose="020B0604020202020204" pitchFamily="34" charset="0"/>
              <a:ea typeface="Meiryo UI" pitchFamily="50" charset="-128"/>
              <a:cs typeface="Arial" panose="020B0604020202020204" pitchFamily="34" charset="0"/>
            </a:rPr>
            <a:t>if unacceptable: failed</a:t>
          </a:r>
        </a:p>
      </xdr:txBody>
    </xdr:sp>
    <xdr:clientData/>
  </xdr:oneCellAnchor>
  <xdr:oneCellAnchor>
    <xdr:from>
      <xdr:col>20</xdr:col>
      <xdr:colOff>621789</xdr:colOff>
      <xdr:row>40</xdr:row>
      <xdr:rowOff>104775</xdr:rowOff>
    </xdr:from>
    <xdr:ext cx="2022802" cy="952334"/>
    <xdr:sp macro="" textlink="">
      <xdr:nvSpPr>
        <xdr:cNvPr id="8" name="AutoShape 71">
          <a:extLst>
            <a:ext uri="{FF2B5EF4-FFF2-40B4-BE49-F238E27FC236}">
              <a16:creationId xmlns="" xmlns:a16="http://schemas.microsoft.com/office/drawing/2014/main" id="{00000000-0008-0000-0000-000008000000}"/>
            </a:ext>
          </a:extLst>
        </xdr:cNvPr>
        <xdr:cNvSpPr>
          <a:spLocks noChangeArrowheads="1"/>
        </xdr:cNvSpPr>
      </xdr:nvSpPr>
      <xdr:spPr bwMode="auto">
        <a:xfrm flipV="1">
          <a:off x="9013314" y="6134100"/>
          <a:ext cx="2022802" cy="952334"/>
        </a:xfrm>
        <a:prstGeom prst="wedgeRoundRectCallout">
          <a:avLst>
            <a:gd name="adj1" fmla="val -26837"/>
            <a:gd name="adj2" fmla="val -90172"/>
            <a:gd name="adj3" fmla="val 16667"/>
          </a:avLst>
        </a:prstGeom>
        <a:ln>
          <a:headEnd/>
          <a:tailEnd/>
        </a:ln>
      </xdr:spPr>
      <xdr:style>
        <a:lnRef idx="1">
          <a:schemeClr val="accent1"/>
        </a:lnRef>
        <a:fillRef idx="3">
          <a:schemeClr val="accent1"/>
        </a:fillRef>
        <a:effectRef idx="2">
          <a:schemeClr val="accent1"/>
        </a:effectRef>
        <a:fontRef idx="minor">
          <a:schemeClr val="lt1"/>
        </a:fontRef>
      </xdr:style>
      <xdr:txBody>
        <a:bodyPr vertOverflow="clip" wrap="square" lIns="27432" tIns="18288" rIns="27432" bIns="18288" anchor="ctr" upright="1">
          <a:noAutofit/>
        </a:bodyPr>
        <a:lstStyle/>
        <a:p>
          <a:pPr algn="l" rtl="0">
            <a:lnSpc>
              <a:spcPts val="1000"/>
            </a:lnSpc>
            <a:defRPr sz="1000"/>
          </a:pPr>
          <a:r>
            <a:rPr lang="en-US" altLang="ja-JP" sz="1200" b="1" i="0" u="none" strike="noStrike" baseline="0">
              <a:solidFill>
                <a:schemeClr val="bg1"/>
              </a:solidFill>
              <a:latin typeface="Arial" panose="020B0604020202020204" pitchFamily="34" charset="0"/>
              <a:ea typeface="Meiryo UI" pitchFamily="50" charset="-128"/>
              <a:cs typeface="Arial" panose="020B0604020202020204" pitchFamily="34" charset="0"/>
            </a:rPr>
            <a:t>Please input the result of PT Acceptance.</a:t>
          </a:r>
        </a:p>
        <a:p>
          <a:pPr algn="l" rtl="0">
            <a:lnSpc>
              <a:spcPts val="1000"/>
            </a:lnSpc>
            <a:defRPr sz="1000"/>
          </a:pPr>
          <a:r>
            <a:rPr lang="en-US" altLang="ja-JP" sz="1200" b="1" i="0" u="none" strike="noStrike" baseline="0">
              <a:solidFill>
                <a:schemeClr val="bg1"/>
              </a:solidFill>
              <a:latin typeface="Arial" panose="020B0604020202020204" pitchFamily="34" charset="0"/>
              <a:ea typeface="Meiryo UI" pitchFamily="50" charset="-128"/>
              <a:cs typeface="Arial" panose="020B0604020202020204" pitchFamily="34" charset="0"/>
            </a:rPr>
            <a:t>When the result failed, please repeat PT and do 2nd PT Acceptance.</a:t>
          </a:r>
          <a:endParaRPr lang="ja-JP" altLang="en-US" sz="1200" b="1" i="0" u="none" strike="noStrike" baseline="0">
            <a:solidFill>
              <a:schemeClr val="bg1"/>
            </a:solidFill>
            <a:latin typeface="Arial" panose="020B0604020202020204" pitchFamily="34" charset="0"/>
            <a:ea typeface="Meiryo UI" pitchFamily="50" charset="-128"/>
            <a:cs typeface="Arial" panose="020B0604020202020204" pitchFamily="34" charset="0"/>
          </a:endParaRPr>
        </a:p>
      </xdr:txBody>
    </xdr:sp>
    <xdr:clientData/>
  </xdr:oneCellAnchor>
  <xdr:oneCellAnchor>
    <xdr:from>
      <xdr:col>14</xdr:col>
      <xdr:colOff>342900</xdr:colOff>
      <xdr:row>55</xdr:row>
      <xdr:rowOff>74800</xdr:rowOff>
    </xdr:from>
    <xdr:ext cx="1580028" cy="640254"/>
    <xdr:sp macro="" textlink="">
      <xdr:nvSpPr>
        <xdr:cNvPr id="9" name="AutoShape 80">
          <a:extLst>
            <a:ext uri="{FF2B5EF4-FFF2-40B4-BE49-F238E27FC236}">
              <a16:creationId xmlns="" xmlns:a16="http://schemas.microsoft.com/office/drawing/2014/main" id="{00000000-0008-0000-0000-000009000000}"/>
            </a:ext>
          </a:extLst>
        </xdr:cNvPr>
        <xdr:cNvSpPr>
          <a:spLocks noChangeArrowheads="1"/>
        </xdr:cNvSpPr>
      </xdr:nvSpPr>
      <xdr:spPr bwMode="auto">
        <a:xfrm>
          <a:off x="6172200" y="8390125"/>
          <a:ext cx="1580028" cy="640254"/>
        </a:xfrm>
        <a:prstGeom prst="wedgeRoundRectCallout">
          <a:avLst>
            <a:gd name="adj1" fmla="val -36678"/>
            <a:gd name="adj2" fmla="val 79658"/>
            <a:gd name="adj3" fmla="val 16667"/>
          </a:avLst>
        </a:prstGeom>
        <a:ln>
          <a:headEnd/>
          <a:tailEnd/>
        </a:ln>
      </xdr:spPr>
      <xdr:style>
        <a:lnRef idx="1">
          <a:schemeClr val="accent1"/>
        </a:lnRef>
        <a:fillRef idx="3">
          <a:schemeClr val="accent1"/>
        </a:fillRef>
        <a:effectRef idx="2">
          <a:schemeClr val="accent1"/>
        </a:effectRef>
        <a:fontRef idx="minor">
          <a:schemeClr val="lt1"/>
        </a:fontRef>
      </xdr:style>
      <xdr:txBody>
        <a:bodyPr vertOverflow="clip" wrap="square" lIns="27432" tIns="18288" rIns="0" bIns="18288" anchor="ctr" upright="1">
          <a:noAutofit/>
        </a:bodyPr>
        <a:lstStyle/>
        <a:p>
          <a:pPr algn="l" rtl="0">
            <a:lnSpc>
              <a:spcPts val="1000"/>
            </a:lnSpc>
            <a:defRPr sz="1000"/>
          </a:pPr>
          <a:r>
            <a:rPr lang="en-US" altLang="ja-JP" sz="1200" b="1" i="0" u="none" strike="noStrike" baseline="0">
              <a:solidFill>
                <a:schemeClr val="bg1"/>
              </a:solidFill>
              <a:latin typeface="Arial" panose="020B0604020202020204" pitchFamily="34" charset="0"/>
              <a:ea typeface="Meiryo UI" pitchFamily="50" charset="-128"/>
              <a:cs typeface="Arial" panose="020B0604020202020204" pitchFamily="34" charset="0"/>
            </a:rPr>
            <a:t>It counts the number of each Cause Type.</a:t>
          </a:r>
          <a:endParaRPr lang="ja-JP" altLang="en-US" sz="1200" b="1" i="0" u="none" strike="noStrike" baseline="0">
            <a:solidFill>
              <a:schemeClr val="bg1"/>
            </a:solidFill>
            <a:latin typeface="Arial" panose="020B0604020202020204" pitchFamily="34" charset="0"/>
            <a:ea typeface="Meiryo UI" pitchFamily="50" charset="-128"/>
            <a:cs typeface="Arial" panose="020B0604020202020204" pitchFamily="34" charset="0"/>
          </a:endParaRPr>
        </a:p>
      </xdr:txBody>
    </xdr:sp>
    <xdr:clientData/>
  </xdr:oneCellAnchor>
  <xdr:oneCellAnchor>
    <xdr:from>
      <xdr:col>20</xdr:col>
      <xdr:colOff>493015</xdr:colOff>
      <xdr:row>56</xdr:row>
      <xdr:rowOff>9525</xdr:rowOff>
    </xdr:from>
    <xdr:ext cx="1733592" cy="686496"/>
    <xdr:sp macro="" textlink="">
      <xdr:nvSpPr>
        <xdr:cNvPr id="10" name="AutoShape 76">
          <a:extLst>
            <a:ext uri="{FF2B5EF4-FFF2-40B4-BE49-F238E27FC236}">
              <a16:creationId xmlns="" xmlns:a16="http://schemas.microsoft.com/office/drawing/2014/main" id="{00000000-0008-0000-0000-00000A000000}"/>
            </a:ext>
          </a:extLst>
        </xdr:cNvPr>
        <xdr:cNvSpPr>
          <a:spLocks noChangeArrowheads="1"/>
        </xdr:cNvSpPr>
      </xdr:nvSpPr>
      <xdr:spPr bwMode="auto">
        <a:xfrm>
          <a:off x="8884540" y="8486775"/>
          <a:ext cx="1733592" cy="686496"/>
        </a:xfrm>
        <a:prstGeom prst="wedgeRoundRectCallout">
          <a:avLst>
            <a:gd name="adj1" fmla="val -35575"/>
            <a:gd name="adj2" fmla="val 76777"/>
            <a:gd name="adj3" fmla="val 16667"/>
          </a:avLst>
        </a:prstGeom>
        <a:ln>
          <a:headEnd/>
          <a:tailEnd/>
        </a:ln>
      </xdr:spPr>
      <xdr:style>
        <a:lnRef idx="1">
          <a:schemeClr val="accent1"/>
        </a:lnRef>
        <a:fillRef idx="3">
          <a:schemeClr val="accent1"/>
        </a:fillRef>
        <a:effectRef idx="2">
          <a:schemeClr val="accent1"/>
        </a:effectRef>
        <a:fontRef idx="minor">
          <a:schemeClr val="lt1"/>
        </a:fontRef>
      </xdr:style>
      <xdr:txBody>
        <a:bodyPr vertOverflow="clip" wrap="square" lIns="27432" tIns="18288" rIns="27432" bIns="18288" anchor="ctr" upright="1">
          <a:noAutofit/>
        </a:bodyPr>
        <a:lstStyle/>
        <a:p>
          <a:pPr algn="l" rtl="0">
            <a:lnSpc>
              <a:spcPts val="1000"/>
            </a:lnSpc>
            <a:defRPr sz="1000"/>
          </a:pPr>
          <a:r>
            <a:rPr lang="en-US" altLang="ja-JP" sz="1200" b="1" i="0" u="none" strike="noStrike" baseline="0">
              <a:solidFill>
                <a:schemeClr val="bg1"/>
              </a:solidFill>
              <a:latin typeface="Arial" panose="020B0604020202020204" pitchFamily="34" charset="0"/>
              <a:ea typeface="Meiryo UI" pitchFamily="50" charset="-128"/>
              <a:cs typeface="Arial" panose="020B0604020202020204" pitchFamily="34" charset="0"/>
            </a:rPr>
            <a:t>It counts the number of each Cause Type.</a:t>
          </a:r>
          <a:endParaRPr lang="ja-JP" altLang="en-US" sz="1200" b="1" i="0" u="none" strike="noStrike" baseline="0">
            <a:solidFill>
              <a:schemeClr val="bg1"/>
            </a:solidFill>
            <a:latin typeface="Arial" panose="020B0604020202020204" pitchFamily="34" charset="0"/>
            <a:ea typeface="Meiryo UI" pitchFamily="50" charset="-128"/>
            <a:cs typeface="Arial" panose="020B0604020202020204" pitchFamily="34" charset="0"/>
          </a:endParaRP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5</xdr:col>
      <xdr:colOff>33619</xdr:colOff>
      <xdr:row>0</xdr:row>
      <xdr:rowOff>0</xdr:rowOff>
    </xdr:from>
    <xdr:to>
      <xdr:col>16</xdr:col>
      <xdr:colOff>459443</xdr:colOff>
      <xdr:row>0</xdr:row>
      <xdr:rowOff>677254</xdr:rowOff>
    </xdr:to>
    <xdr:sp macro="" textlink="">
      <xdr:nvSpPr>
        <xdr:cNvPr id="3" name="正方形/長方形 2">
          <a:extLst>
            <a:ext uri="{FF2B5EF4-FFF2-40B4-BE49-F238E27FC236}">
              <a16:creationId xmlns="" xmlns:a16="http://schemas.microsoft.com/office/drawing/2014/main" id="{00000000-0008-0000-0800-000003000000}"/>
            </a:ext>
          </a:extLst>
        </xdr:cNvPr>
        <xdr:cNvSpPr/>
      </xdr:nvSpPr>
      <xdr:spPr bwMode="auto">
        <a:xfrm>
          <a:off x="2510119" y="0"/>
          <a:ext cx="8393206" cy="677254"/>
        </a:xfrm>
        <a:prstGeom prst="rect">
          <a:avLst/>
        </a:prstGeom>
        <a:noFill/>
        <a:ln>
          <a:no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horzOverflow="clip" wrap="square" lIns="90000" tIns="46800" rIns="90000" bIns="46800" rtlCol="0" anchor="t" upright="1"/>
        <a:lstStyle/>
        <a:p>
          <a:pPr algn="l"/>
          <a:r>
            <a:rPr kumimoji="1" lang="en-US" altLang="ja-JP"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Push 'Setup' button if the setting content is deleted or added in each setting.</a:t>
          </a:r>
        </a:p>
        <a:p>
          <a:pPr algn="l"/>
          <a:r>
            <a:rPr kumimoji="1" lang="en-US" altLang="ja-JP"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The setting reference range of the second line is updated.</a:t>
          </a:r>
          <a:endPar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mc:AlternateContent xmlns:mc="http://schemas.openxmlformats.org/markup-compatibility/2006">
    <mc:Choice xmlns:a14="http://schemas.microsoft.com/office/drawing/2010/main" Requires="a14">
      <xdr:twoCellAnchor>
        <xdr:from>
          <xdr:col>2</xdr:col>
          <xdr:colOff>114300</xdr:colOff>
          <xdr:row>0</xdr:row>
          <xdr:rowOff>57150</xdr:rowOff>
        </xdr:from>
        <xdr:to>
          <xdr:col>3</xdr:col>
          <xdr:colOff>19050</xdr:colOff>
          <xdr:row>0</xdr:row>
          <xdr:rowOff>476250</xdr:rowOff>
        </xdr:to>
        <xdr:sp macro="" textlink="">
          <xdr:nvSpPr>
            <xdr:cNvPr id="405505" name="Button 1" hidden="1">
              <a:extLst>
                <a:ext uri="{63B3BB69-23CF-44E3-9099-C40C66FF867C}">
                  <a14:compatExt spid="_x0000_s40550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ja-JP" altLang="en-US" sz="1400" b="1" i="0" u="none" strike="noStrike" baseline="0">
                  <a:solidFill>
                    <a:srgbClr val="000000"/>
                  </a:solidFill>
                  <a:latin typeface="Arial"/>
                  <a:cs typeface="Arial"/>
                </a:rPr>
                <a:t>Setup</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1</xdr:row>
          <xdr:rowOff>95250</xdr:rowOff>
        </xdr:from>
        <xdr:to>
          <xdr:col>1</xdr:col>
          <xdr:colOff>1533525</xdr:colOff>
          <xdr:row>3</xdr:row>
          <xdr:rowOff>161925</xdr:rowOff>
        </xdr:to>
        <xdr:sp macro="" textlink="">
          <xdr:nvSpPr>
            <xdr:cNvPr id="108545" name="Button 1" hidden="1">
              <a:extLst>
                <a:ext uri="{63B3BB69-23CF-44E3-9099-C40C66FF867C}">
                  <a14:compatExt spid="_x0000_s10854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ja-JP" altLang="en-US" sz="1400" b="1" i="0" u="none" strike="noStrike" baseline="0">
                  <a:solidFill>
                    <a:srgbClr val="000000"/>
                  </a:solidFill>
                  <a:latin typeface="Arial"/>
                  <a:cs typeface="Arial"/>
                </a:rPr>
                <a:t>Cancel</a:t>
              </a:r>
            </a:p>
          </xdr:txBody>
        </xdr:sp>
        <xdr:clientData/>
      </xdr:twoCellAnchor>
    </mc:Choice>
    <mc:Fallback/>
  </mc:AlternateContent>
  <xdr:oneCellAnchor>
    <xdr:from>
      <xdr:col>2</xdr:col>
      <xdr:colOff>0</xdr:colOff>
      <xdr:row>0</xdr:row>
      <xdr:rowOff>145674</xdr:rowOff>
    </xdr:from>
    <xdr:ext cx="3776383" cy="694765"/>
    <xdr:sp macro="" textlink="">
      <xdr:nvSpPr>
        <xdr:cNvPr id="3" name="角丸四角形吹き出し 2">
          <a:extLst>
            <a:ext uri="{FF2B5EF4-FFF2-40B4-BE49-F238E27FC236}">
              <a16:creationId xmlns="" xmlns:a16="http://schemas.microsoft.com/office/drawing/2014/main" id="{00000000-0008-0000-0900-000003000000}"/>
            </a:ext>
          </a:extLst>
        </xdr:cNvPr>
        <xdr:cNvSpPr/>
      </xdr:nvSpPr>
      <xdr:spPr bwMode="auto">
        <a:xfrm>
          <a:off x="2554941" y="145674"/>
          <a:ext cx="3776383" cy="694765"/>
        </a:xfrm>
        <a:prstGeom prst="wedgeRoundRectCallout">
          <a:avLst>
            <a:gd name="adj1" fmla="val 44489"/>
            <a:gd name="adj2" fmla="val -25190"/>
            <a:gd name="adj3" fmla="val 16667"/>
          </a:avLst>
        </a:prstGeom>
        <a:ln>
          <a:headEnd type="none" w="med" len="med"/>
          <a:tailEnd type="none" w="med" len="med"/>
        </a:ln>
      </xdr:spPr>
      <xdr:style>
        <a:lnRef idx="1">
          <a:schemeClr val="accent1"/>
        </a:lnRef>
        <a:fillRef idx="3">
          <a:schemeClr val="accent1"/>
        </a:fillRef>
        <a:effectRef idx="2">
          <a:schemeClr val="accent1"/>
        </a:effectRef>
        <a:fontRef idx="minor">
          <a:schemeClr val="lt1"/>
        </a:fontRef>
      </xdr:style>
      <xdr:txBody>
        <a:bodyPr vertOverflow="clip" horzOverflow="clip" wrap="square" lIns="18288" tIns="0" rIns="0" bIns="0" rtlCol="0" anchor="t" upright="1">
          <a:noAutofit/>
        </a:bodyPr>
        <a:lstStyle/>
        <a:p>
          <a:r>
            <a:rPr kumimoji="1" lang="en-US" altLang="ja-JP" sz="1200" b="1">
              <a:solidFill>
                <a:schemeClr val="lt1"/>
              </a:solidFill>
              <a:effectLst/>
              <a:latin typeface="Arial" panose="020B0604020202020204" pitchFamily="34" charset="0"/>
              <a:ea typeface="+mn-ea"/>
              <a:cs typeface="Arial" panose="020B0604020202020204" pitchFamily="34" charset="0"/>
            </a:rPr>
            <a:t>You</a:t>
          </a:r>
          <a:r>
            <a:rPr kumimoji="1" lang="en-US" altLang="ja-JP" sz="1200" b="1" baseline="0">
              <a:solidFill>
                <a:schemeClr val="lt1"/>
              </a:solidFill>
              <a:effectLst/>
              <a:latin typeface="Arial" panose="020B0604020202020204" pitchFamily="34" charset="0"/>
              <a:ea typeface="+mn-ea"/>
              <a:cs typeface="Arial" panose="020B0604020202020204" pitchFamily="34" charset="0"/>
            </a:rPr>
            <a:t> can input this table all at once using "PWaaS Management Menu.xlsm". It is recommended to use.</a:t>
          </a:r>
          <a:endParaRPr lang="ja-JP" altLang="ja-JP" sz="1100">
            <a:effectLst/>
            <a:latin typeface="Arial" panose="020B0604020202020204" pitchFamily="34" charset="0"/>
            <a:cs typeface="Arial" panose="020B0604020202020204" pitchFamily="34" charset="0"/>
          </a:endParaRPr>
        </a:p>
      </xdr:txBody>
    </xdr:sp>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95250</xdr:rowOff>
        </xdr:from>
        <xdr:to>
          <xdr:col>2</xdr:col>
          <xdr:colOff>390525</xdr:colOff>
          <xdr:row>3</xdr:row>
          <xdr:rowOff>47625</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ja-JP" altLang="en-US" sz="1400" b="1" i="0" u="none" strike="noStrike" baseline="0">
                  <a:solidFill>
                    <a:srgbClr val="000000"/>
                  </a:solidFill>
                  <a:latin typeface="Arial"/>
                  <a:cs typeface="Arial"/>
                </a:rPr>
                <a:t>Setup</a:t>
              </a:r>
            </a:p>
          </xdr:txBody>
        </xdr:sp>
        <xdr:clientData/>
      </xdr:twoCellAnchor>
    </mc:Choice>
    <mc:Fallback/>
  </mc:AlternateContent>
  <xdr:oneCellAnchor>
    <xdr:from>
      <xdr:col>5</xdr:col>
      <xdr:colOff>2857500</xdr:colOff>
      <xdr:row>38</xdr:row>
      <xdr:rowOff>123265</xdr:rowOff>
    </xdr:from>
    <xdr:ext cx="3776383" cy="694765"/>
    <xdr:sp macro="" textlink="">
      <xdr:nvSpPr>
        <xdr:cNvPr id="3" name="角丸四角形吹き出し 2">
          <a:extLst>
            <a:ext uri="{FF2B5EF4-FFF2-40B4-BE49-F238E27FC236}">
              <a16:creationId xmlns="" xmlns:a16="http://schemas.microsoft.com/office/drawing/2014/main" id="{00000000-0008-0000-0A00-000003000000}"/>
            </a:ext>
          </a:extLst>
        </xdr:cNvPr>
        <xdr:cNvSpPr/>
      </xdr:nvSpPr>
      <xdr:spPr bwMode="auto">
        <a:xfrm>
          <a:off x="10499912" y="2129118"/>
          <a:ext cx="3776383" cy="694765"/>
        </a:xfrm>
        <a:prstGeom prst="wedgeRoundRectCallout">
          <a:avLst>
            <a:gd name="adj1" fmla="val 44489"/>
            <a:gd name="adj2" fmla="val -25190"/>
            <a:gd name="adj3" fmla="val 16667"/>
          </a:avLst>
        </a:prstGeom>
        <a:ln>
          <a:headEnd type="none" w="med" len="med"/>
          <a:tailEnd type="none" w="med" len="med"/>
        </a:ln>
      </xdr:spPr>
      <xdr:style>
        <a:lnRef idx="1">
          <a:schemeClr val="accent1"/>
        </a:lnRef>
        <a:fillRef idx="3">
          <a:schemeClr val="accent1"/>
        </a:fillRef>
        <a:effectRef idx="2">
          <a:schemeClr val="accent1"/>
        </a:effectRef>
        <a:fontRef idx="minor">
          <a:schemeClr val="lt1"/>
        </a:fontRef>
      </xdr:style>
      <xdr:txBody>
        <a:bodyPr vertOverflow="clip" horzOverflow="clip" wrap="square" lIns="18288" tIns="0" rIns="0" bIns="0" rtlCol="0" anchor="t" upright="1">
          <a:noAutofit/>
        </a:bodyPr>
        <a:lstStyle/>
        <a:p>
          <a:r>
            <a:rPr kumimoji="1" lang="en-US" altLang="ja-JP" sz="1200" b="1">
              <a:solidFill>
                <a:schemeClr val="lt1"/>
              </a:solidFill>
              <a:effectLst/>
              <a:latin typeface="Arial" panose="020B0604020202020204" pitchFamily="34" charset="0"/>
              <a:ea typeface="+mn-ea"/>
              <a:cs typeface="Arial" panose="020B0604020202020204" pitchFamily="34" charset="0"/>
            </a:rPr>
            <a:t>You</a:t>
          </a:r>
          <a:r>
            <a:rPr kumimoji="1" lang="en-US" altLang="ja-JP" sz="1200" b="1" baseline="0">
              <a:solidFill>
                <a:schemeClr val="lt1"/>
              </a:solidFill>
              <a:effectLst/>
              <a:latin typeface="Arial" panose="020B0604020202020204" pitchFamily="34" charset="0"/>
              <a:ea typeface="+mn-ea"/>
              <a:cs typeface="Arial" panose="020B0604020202020204" pitchFamily="34" charset="0"/>
            </a:rPr>
            <a:t> can input this table all at once using "PWaaS Management Menu.xlsm". It is recommended to use.</a:t>
          </a:r>
          <a:endParaRPr lang="ja-JP" altLang="ja-JP" sz="1100">
            <a:effectLst/>
            <a:latin typeface="Arial" panose="020B0604020202020204" pitchFamily="34" charset="0"/>
            <a:cs typeface="Arial" panose="020B0604020202020204" pitchFamily="34" charset="0"/>
          </a:endParaRPr>
        </a:p>
      </xdr:txBody>
    </xdr:sp>
    <xdr:clientData/>
  </xdr:oneCellAnchor>
  <xdr:oneCellAnchor>
    <xdr:from>
      <xdr:col>0</xdr:col>
      <xdr:colOff>392206</xdr:colOff>
      <xdr:row>37</xdr:row>
      <xdr:rowOff>0</xdr:rowOff>
    </xdr:from>
    <xdr:ext cx="3742766" cy="1535206"/>
    <xdr:sp macro="" textlink="">
      <xdr:nvSpPr>
        <xdr:cNvPr id="4" name="角丸四角形吹き出し 3">
          <a:extLst>
            <a:ext uri="{FF2B5EF4-FFF2-40B4-BE49-F238E27FC236}">
              <a16:creationId xmlns="" xmlns:a16="http://schemas.microsoft.com/office/drawing/2014/main" id="{00000000-0008-0000-0A00-000004000000}"/>
            </a:ext>
          </a:extLst>
        </xdr:cNvPr>
        <xdr:cNvSpPr/>
      </xdr:nvSpPr>
      <xdr:spPr bwMode="auto">
        <a:xfrm>
          <a:off x="392206" y="1535206"/>
          <a:ext cx="3742766" cy="1535206"/>
        </a:xfrm>
        <a:prstGeom prst="wedgeRoundRectCallout">
          <a:avLst>
            <a:gd name="adj1" fmla="val -35185"/>
            <a:gd name="adj2" fmla="val -113671"/>
            <a:gd name="adj3" fmla="val 16667"/>
          </a:avLst>
        </a:prstGeom>
        <a:ln>
          <a:headEnd type="none" w="med" len="med"/>
          <a:tailEnd type="none" w="med" len="med"/>
        </a:ln>
      </xdr:spPr>
      <xdr:style>
        <a:lnRef idx="1">
          <a:schemeClr val="accent1"/>
        </a:lnRef>
        <a:fillRef idx="3">
          <a:schemeClr val="accent1"/>
        </a:fillRef>
        <a:effectRef idx="2">
          <a:schemeClr val="accent1"/>
        </a:effectRef>
        <a:fontRef idx="minor">
          <a:schemeClr val="lt1"/>
        </a:fontRef>
      </xdr:style>
      <xdr:txBody>
        <a:bodyPr vertOverflow="clip" horzOverflow="clip" wrap="square" lIns="18288" tIns="0" rIns="0" bIns="0" rtlCol="0" anchor="ctr" upright="1">
          <a:noAutofit/>
        </a:bodyPr>
        <a:lstStyle/>
        <a:p>
          <a:r>
            <a:rPr kumimoji="1" lang="en-US" altLang="ja-JP" sz="1200" b="1">
              <a:solidFill>
                <a:schemeClr val="lt1"/>
              </a:solidFill>
              <a:effectLst/>
              <a:latin typeface="Arial" panose="020B0604020202020204" pitchFamily="34" charset="0"/>
              <a:ea typeface="+mn-ea"/>
              <a:cs typeface="Arial" panose="020B0604020202020204" pitchFamily="34" charset="0"/>
            </a:rPr>
            <a:t>Please push "Setup" button after</a:t>
          </a:r>
          <a:r>
            <a:rPr kumimoji="1" lang="en-US" altLang="ja-JP" sz="1200" b="1" baseline="0">
              <a:solidFill>
                <a:schemeClr val="lt1"/>
              </a:solidFill>
              <a:effectLst/>
              <a:latin typeface="Arial" panose="020B0604020202020204" pitchFamily="34" charset="0"/>
              <a:ea typeface="+mn-ea"/>
              <a:cs typeface="Arial" panose="020B0604020202020204" pitchFamily="34" charset="0"/>
            </a:rPr>
            <a:t> </a:t>
          </a:r>
          <a:r>
            <a:rPr kumimoji="1" lang="en-US" altLang="ja-JP" sz="1200" b="1">
              <a:solidFill>
                <a:schemeClr val="lt1"/>
              </a:solidFill>
              <a:effectLst/>
              <a:latin typeface="Arial" panose="020B0604020202020204" pitchFamily="34" charset="0"/>
              <a:ea typeface="+mn-ea"/>
              <a:cs typeface="Arial" panose="020B0604020202020204" pitchFamily="34" charset="0"/>
            </a:rPr>
            <a:t>you input Subsystem,</a:t>
          </a:r>
          <a:r>
            <a:rPr kumimoji="1" lang="en-US" altLang="ja-JP" sz="1200" b="1" baseline="0">
              <a:solidFill>
                <a:schemeClr val="lt1"/>
              </a:solidFill>
              <a:effectLst/>
              <a:latin typeface="Arial" panose="020B0604020202020204" pitchFamily="34" charset="0"/>
              <a:ea typeface="+mn-ea"/>
              <a:cs typeface="Arial" panose="020B0604020202020204" pitchFamily="34" charset="0"/>
            </a:rPr>
            <a:t> Business Process, and Process.</a:t>
          </a:r>
          <a:endParaRPr lang="ja-JP" altLang="ja-JP" sz="1200">
            <a:effectLst/>
            <a:latin typeface="Arial" panose="020B0604020202020204" pitchFamily="34" charset="0"/>
            <a:cs typeface="Arial" panose="020B0604020202020204" pitchFamily="34" charset="0"/>
          </a:endParaRPr>
        </a:p>
        <a:p>
          <a:r>
            <a:rPr kumimoji="1" lang="en-US" altLang="ja-JP" sz="1200" b="1">
              <a:solidFill>
                <a:schemeClr val="lt1"/>
              </a:solidFill>
              <a:effectLst/>
              <a:latin typeface="Arial" panose="020B0604020202020204" pitchFamily="34" charset="0"/>
              <a:ea typeface="+mn-ea"/>
              <a:cs typeface="Arial" panose="020B0604020202020204" pitchFamily="34" charset="0"/>
            </a:rPr>
            <a:t>They</a:t>
          </a:r>
          <a:r>
            <a:rPr kumimoji="1" lang="en-US" altLang="ja-JP" sz="1200" b="1" baseline="0">
              <a:solidFill>
                <a:schemeClr val="lt1"/>
              </a:solidFill>
              <a:effectLst/>
              <a:latin typeface="Arial" panose="020B0604020202020204" pitchFamily="34" charset="0"/>
              <a:ea typeface="+mn-ea"/>
              <a:cs typeface="Arial" panose="020B0604020202020204" pitchFamily="34" charset="0"/>
            </a:rPr>
            <a:t> are listed in Subsystem, Business Process, and Process in the sheet "Title Page", then you can select items from the lists.</a:t>
          </a:r>
          <a:endParaRPr lang="ja-JP" altLang="ja-JP" sz="1200">
            <a:effectLst/>
            <a:latin typeface="Arial" panose="020B0604020202020204" pitchFamily="34" charset="0"/>
            <a:cs typeface="Arial" panose="020B0604020202020204" pitchFamily="34" charset="0"/>
          </a:endParaRP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4</xdr:col>
      <xdr:colOff>0</xdr:colOff>
      <xdr:row>8</xdr:row>
      <xdr:rowOff>0</xdr:rowOff>
    </xdr:from>
    <xdr:to>
      <xdr:col>6</xdr:col>
      <xdr:colOff>774327</xdr:colOff>
      <xdr:row>16</xdr:row>
      <xdr:rowOff>3922</xdr:rowOff>
    </xdr:to>
    <xdr:sp macro="" textlink="">
      <xdr:nvSpPr>
        <xdr:cNvPr id="2" name="AutoShape 64">
          <a:extLst>
            <a:ext uri="{FF2B5EF4-FFF2-40B4-BE49-F238E27FC236}">
              <a16:creationId xmlns="" xmlns:a16="http://schemas.microsoft.com/office/drawing/2014/main" id="{00000000-0008-0000-0B00-000002000000}"/>
            </a:ext>
          </a:extLst>
        </xdr:cNvPr>
        <xdr:cNvSpPr>
          <a:spLocks noChangeArrowheads="1"/>
        </xdr:cNvSpPr>
      </xdr:nvSpPr>
      <xdr:spPr bwMode="auto">
        <a:xfrm>
          <a:off x="1636059" y="1658471"/>
          <a:ext cx="2343150" cy="1438275"/>
        </a:xfrm>
        <a:prstGeom prst="wedgeRoundRectCallout">
          <a:avLst>
            <a:gd name="adj1" fmla="val -7058"/>
            <a:gd name="adj2" fmla="val -15096"/>
            <a:gd name="adj3" fmla="val 16667"/>
          </a:avLst>
        </a:prstGeom>
        <a:solidFill>
          <a:srgbClr xmlns:mc="http://schemas.openxmlformats.org/markup-compatibility/2006" xmlns:a14="http://schemas.microsoft.com/office/drawing/2010/main" val="CCFFFF" mc:Ignorable="a14" a14:legacySpreadsheetColorIndex="41"/>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18288" anchor="ctr" upright="1"/>
        <a:lstStyle/>
        <a:p>
          <a:pPr algn="l" rtl="0">
            <a:lnSpc>
              <a:spcPts val="1000"/>
            </a:lnSpc>
            <a:defRPr sz="1000"/>
          </a:pPr>
          <a:r>
            <a:rPr lang="en-US" altLang="ja-JP" sz="1200" b="0" i="0" baseline="0">
              <a:effectLst/>
              <a:latin typeface="Arial" panose="020B0604020202020204" pitchFamily="34" charset="0"/>
              <a:ea typeface="Meiryo UI" panose="020B0604030504040204" pitchFamily="50" charset="-128"/>
              <a:cs typeface="Arial" panose="020B0604020202020204" pitchFamily="34" charset="0"/>
            </a:rPr>
            <a:t>These tables reflect information of "Settings" sheet automatically, so you don't have to input them by yourself.</a:t>
          </a:r>
          <a:endParaRPr lang="ja-JP" altLang="en-US" sz="1200" b="0" i="0" u="none" strike="noStrike" baseline="0">
            <a:solidFill>
              <a:srgbClr val="000000"/>
            </a:solidFill>
            <a:latin typeface="Arial" panose="020B0604020202020204" pitchFamily="34" charset="0"/>
            <a:ea typeface="+mn-ea"/>
            <a:cs typeface="Arial" panose="020B0604020202020204"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16</xdr:col>
      <xdr:colOff>598857</xdr:colOff>
      <xdr:row>51</xdr:row>
      <xdr:rowOff>37095</xdr:rowOff>
    </xdr:to>
    <xdr:pic>
      <xdr:nvPicPr>
        <xdr:cNvPr id="3" name="Picture 2"/>
        <xdr:cNvPicPr>
          <a:picLocks noChangeAspect="1"/>
        </xdr:cNvPicPr>
      </xdr:nvPicPr>
      <xdr:blipFill>
        <a:blip xmlns:r="http://schemas.openxmlformats.org/officeDocument/2006/relationships" r:embed="rId1"/>
        <a:stretch>
          <a:fillRect/>
        </a:stretch>
      </xdr:blipFill>
      <xdr:spPr>
        <a:xfrm>
          <a:off x="609600" y="326571"/>
          <a:ext cx="9742857" cy="8038095"/>
        </a:xfrm>
        <a:prstGeom prst="rect">
          <a:avLst/>
        </a:prstGeom>
      </xdr:spPr>
    </xdr:pic>
    <xdr:clientData/>
  </xdr:twoCellAnchor>
  <xdr:twoCellAnchor>
    <xdr:from>
      <xdr:col>3</xdr:col>
      <xdr:colOff>598714</xdr:colOff>
      <xdr:row>19</xdr:row>
      <xdr:rowOff>141514</xdr:rowOff>
    </xdr:from>
    <xdr:to>
      <xdr:col>7</xdr:col>
      <xdr:colOff>489857</xdr:colOff>
      <xdr:row>21</xdr:row>
      <xdr:rowOff>43543</xdr:rowOff>
    </xdr:to>
    <xdr:sp macro="" textlink="">
      <xdr:nvSpPr>
        <xdr:cNvPr id="4" name="Rectangle 3"/>
        <xdr:cNvSpPr/>
      </xdr:nvSpPr>
      <xdr:spPr>
        <a:xfrm>
          <a:off x="2427514" y="3243943"/>
          <a:ext cx="2329543" cy="228600"/>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65313</xdr:colOff>
      <xdr:row>16</xdr:row>
      <xdr:rowOff>87086</xdr:rowOff>
    </xdr:from>
    <xdr:to>
      <xdr:col>8</xdr:col>
      <xdr:colOff>206828</xdr:colOff>
      <xdr:row>19</xdr:row>
      <xdr:rowOff>54428</xdr:rowOff>
    </xdr:to>
    <xdr:sp macro="" textlink="">
      <xdr:nvSpPr>
        <xdr:cNvPr id="5" name="Rectangle 4"/>
        <xdr:cNvSpPr/>
      </xdr:nvSpPr>
      <xdr:spPr>
        <a:xfrm>
          <a:off x="1894113" y="2699657"/>
          <a:ext cx="3189515" cy="457200"/>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22860</xdr:colOff>
      <xdr:row>1</xdr:row>
      <xdr:rowOff>0</xdr:rowOff>
    </xdr:from>
    <xdr:to>
      <xdr:col>16</xdr:col>
      <xdr:colOff>602669</xdr:colOff>
      <xdr:row>48</xdr:row>
      <xdr:rowOff>149491</xdr:rowOff>
    </xdr:to>
    <xdr:pic>
      <xdr:nvPicPr>
        <xdr:cNvPr id="2" name="Picture 1"/>
        <xdr:cNvPicPr>
          <a:picLocks noChangeAspect="1"/>
        </xdr:cNvPicPr>
      </xdr:nvPicPr>
      <xdr:blipFill>
        <a:blip xmlns:r="http://schemas.openxmlformats.org/officeDocument/2006/relationships" r:embed="rId1"/>
        <a:stretch>
          <a:fillRect/>
        </a:stretch>
      </xdr:blipFill>
      <xdr:spPr>
        <a:xfrm>
          <a:off x="632460" y="167640"/>
          <a:ext cx="9723809" cy="8028571"/>
        </a:xfrm>
        <a:prstGeom prst="rect">
          <a:avLst/>
        </a:prstGeom>
      </xdr:spPr>
    </xdr:pic>
    <xdr:clientData/>
  </xdr:twoCellAnchor>
  <xdr:twoCellAnchor>
    <xdr:from>
      <xdr:col>11</xdr:col>
      <xdr:colOff>373380</xdr:colOff>
      <xdr:row>18</xdr:row>
      <xdr:rowOff>91440</xdr:rowOff>
    </xdr:from>
    <xdr:to>
      <xdr:col>16</xdr:col>
      <xdr:colOff>114300</xdr:colOff>
      <xdr:row>19</xdr:row>
      <xdr:rowOff>160020</xdr:rowOff>
    </xdr:to>
    <xdr:sp macro="" textlink="">
      <xdr:nvSpPr>
        <xdr:cNvPr id="3" name="Rectangle 2"/>
        <xdr:cNvSpPr/>
      </xdr:nvSpPr>
      <xdr:spPr>
        <a:xfrm>
          <a:off x="7078980" y="3108960"/>
          <a:ext cx="2788920" cy="236220"/>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335280</xdr:colOff>
      <xdr:row>15</xdr:row>
      <xdr:rowOff>60960</xdr:rowOff>
    </xdr:from>
    <xdr:to>
      <xdr:col>13</xdr:col>
      <xdr:colOff>175260</xdr:colOff>
      <xdr:row>18</xdr:row>
      <xdr:rowOff>15240</xdr:rowOff>
    </xdr:to>
    <xdr:sp macro="" textlink="">
      <xdr:nvSpPr>
        <xdr:cNvPr id="4" name="Rectangle 3"/>
        <xdr:cNvSpPr/>
      </xdr:nvSpPr>
      <xdr:spPr>
        <a:xfrm>
          <a:off x="7650480" y="2575560"/>
          <a:ext cx="449580" cy="457200"/>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96982</xdr:colOff>
      <xdr:row>1</xdr:row>
      <xdr:rowOff>0</xdr:rowOff>
    </xdr:from>
    <xdr:to>
      <xdr:col>17</xdr:col>
      <xdr:colOff>67191</xdr:colOff>
      <xdr:row>47</xdr:row>
      <xdr:rowOff>102956</xdr:rowOff>
    </xdr:to>
    <xdr:pic>
      <xdr:nvPicPr>
        <xdr:cNvPr id="2" name="Picture 1"/>
        <xdr:cNvPicPr>
          <a:picLocks noChangeAspect="1"/>
        </xdr:cNvPicPr>
      </xdr:nvPicPr>
      <xdr:blipFill>
        <a:blip xmlns:r="http://schemas.openxmlformats.org/officeDocument/2006/relationships" r:embed="rId1"/>
        <a:stretch>
          <a:fillRect/>
        </a:stretch>
      </xdr:blipFill>
      <xdr:spPr>
        <a:xfrm>
          <a:off x="706582" y="166255"/>
          <a:ext cx="9723809" cy="7750665"/>
        </a:xfrm>
        <a:prstGeom prst="rect">
          <a:avLst/>
        </a:prstGeom>
      </xdr:spPr>
    </xdr:pic>
    <xdr:clientData/>
  </xdr:twoCellAnchor>
  <xdr:twoCellAnchor editAs="oneCell">
    <xdr:from>
      <xdr:col>19</xdr:col>
      <xdr:colOff>387928</xdr:colOff>
      <xdr:row>1</xdr:row>
      <xdr:rowOff>0</xdr:rowOff>
    </xdr:from>
    <xdr:to>
      <xdr:col>35</xdr:col>
      <xdr:colOff>329566</xdr:colOff>
      <xdr:row>44</xdr:row>
      <xdr:rowOff>98674</xdr:rowOff>
    </xdr:to>
    <xdr:pic>
      <xdr:nvPicPr>
        <xdr:cNvPr id="3" name="Picture 2"/>
        <xdr:cNvPicPr>
          <a:picLocks noChangeAspect="1"/>
        </xdr:cNvPicPr>
      </xdr:nvPicPr>
      <xdr:blipFill>
        <a:blip xmlns:r="http://schemas.openxmlformats.org/officeDocument/2006/relationships" r:embed="rId2"/>
        <a:stretch>
          <a:fillRect/>
        </a:stretch>
      </xdr:blipFill>
      <xdr:spPr>
        <a:xfrm>
          <a:off x="11970328" y="166255"/>
          <a:ext cx="9695238" cy="7247619"/>
        </a:xfrm>
        <a:prstGeom prst="rect">
          <a:avLst/>
        </a:prstGeom>
      </xdr:spPr>
    </xdr:pic>
    <xdr:clientData/>
  </xdr:twoCellAnchor>
  <xdr:twoCellAnchor>
    <xdr:from>
      <xdr:col>12</xdr:col>
      <xdr:colOff>110835</xdr:colOff>
      <xdr:row>15</xdr:row>
      <xdr:rowOff>13854</xdr:rowOff>
    </xdr:from>
    <xdr:to>
      <xdr:col>16</xdr:col>
      <xdr:colOff>374072</xdr:colOff>
      <xdr:row>17</xdr:row>
      <xdr:rowOff>124690</xdr:rowOff>
    </xdr:to>
    <xdr:sp macro="" textlink="">
      <xdr:nvSpPr>
        <xdr:cNvPr id="4" name="Rectangle 3"/>
        <xdr:cNvSpPr/>
      </xdr:nvSpPr>
      <xdr:spPr>
        <a:xfrm>
          <a:off x="7426035" y="2507672"/>
          <a:ext cx="2701637" cy="443345"/>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r>
            <a:rPr kumimoji="1" lang="en-US" altLang="ja-JP" sz="1600"/>
            <a:t>NG:</a:t>
          </a:r>
          <a:r>
            <a:rPr kumimoji="1" lang="en-US" altLang="ja-JP" sz="1600" baseline="0"/>
            <a:t> Order is invalid</a:t>
          </a:r>
          <a:endParaRPr kumimoji="1" lang="ja-JP" altLang="en-US" sz="1600"/>
        </a:p>
      </xdr:txBody>
    </xdr:sp>
    <xdr:clientData/>
  </xdr:twoCellAnchor>
  <xdr:twoCellAnchor editAs="oneCell">
    <xdr:from>
      <xdr:col>1</xdr:col>
      <xdr:colOff>0</xdr:colOff>
      <xdr:row>51</xdr:row>
      <xdr:rowOff>0</xdr:rowOff>
    </xdr:from>
    <xdr:to>
      <xdr:col>16</xdr:col>
      <xdr:colOff>608381</xdr:colOff>
      <xdr:row>99</xdr:row>
      <xdr:rowOff>76925</xdr:rowOff>
    </xdr:to>
    <xdr:pic>
      <xdr:nvPicPr>
        <xdr:cNvPr id="5" name="Picture 4"/>
        <xdr:cNvPicPr>
          <a:picLocks noChangeAspect="1"/>
        </xdr:cNvPicPr>
      </xdr:nvPicPr>
      <xdr:blipFill>
        <a:blip xmlns:r="http://schemas.openxmlformats.org/officeDocument/2006/relationships" r:embed="rId3"/>
        <a:stretch>
          <a:fillRect/>
        </a:stretch>
      </xdr:blipFill>
      <xdr:spPr>
        <a:xfrm>
          <a:off x="609600" y="8478982"/>
          <a:ext cx="9752381" cy="8057143"/>
        </a:xfrm>
        <a:prstGeom prst="rect">
          <a:avLst/>
        </a:prstGeom>
      </xdr:spPr>
    </xdr:pic>
    <xdr:clientData/>
  </xdr:twoCellAnchor>
  <xdr:twoCellAnchor>
    <xdr:from>
      <xdr:col>12</xdr:col>
      <xdr:colOff>124691</xdr:colOff>
      <xdr:row>65</xdr:row>
      <xdr:rowOff>27710</xdr:rowOff>
    </xdr:from>
    <xdr:to>
      <xdr:col>16</xdr:col>
      <xdr:colOff>387928</xdr:colOff>
      <xdr:row>67</xdr:row>
      <xdr:rowOff>138545</xdr:rowOff>
    </xdr:to>
    <xdr:sp macro="" textlink="">
      <xdr:nvSpPr>
        <xdr:cNvPr id="6" name="Rectangle 5"/>
        <xdr:cNvSpPr/>
      </xdr:nvSpPr>
      <xdr:spPr>
        <a:xfrm>
          <a:off x="7439891" y="10834255"/>
          <a:ext cx="2701637" cy="443345"/>
        </a:xfrm>
        <a:prstGeom prst="rect">
          <a:avLst/>
        </a:prstGeom>
        <a:solidFill>
          <a:srgbClr val="92D050"/>
        </a:solidFill>
        <a:ln>
          <a:solidFill>
            <a:srgbClr val="92D050"/>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r>
            <a:rPr kumimoji="1" lang="en-US" altLang="ja-JP" sz="1600"/>
            <a:t>Fixed</a:t>
          </a:r>
          <a:endParaRPr kumimoji="1" lang="ja-JP" altLang="en-US" sz="16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16</xdr:col>
      <xdr:colOff>579809</xdr:colOff>
      <xdr:row>48</xdr:row>
      <xdr:rowOff>139968</xdr:rowOff>
    </xdr:to>
    <xdr:pic>
      <xdr:nvPicPr>
        <xdr:cNvPr id="2" name="Picture 1"/>
        <xdr:cNvPicPr>
          <a:picLocks noChangeAspect="1"/>
        </xdr:cNvPicPr>
      </xdr:nvPicPr>
      <xdr:blipFill>
        <a:blip xmlns:r="http://schemas.openxmlformats.org/officeDocument/2006/relationships" r:embed="rId1"/>
        <a:stretch>
          <a:fillRect/>
        </a:stretch>
      </xdr:blipFill>
      <xdr:spPr>
        <a:xfrm>
          <a:off x="609600" y="167640"/>
          <a:ext cx="9723809" cy="8019048"/>
        </a:xfrm>
        <a:prstGeom prst="rect">
          <a:avLst/>
        </a:prstGeom>
      </xdr:spPr>
    </xdr:pic>
    <xdr:clientData/>
  </xdr:twoCellAnchor>
  <xdr:twoCellAnchor editAs="oneCell">
    <xdr:from>
      <xdr:col>1</xdr:col>
      <xdr:colOff>0</xdr:colOff>
      <xdr:row>52</xdr:row>
      <xdr:rowOff>0</xdr:rowOff>
    </xdr:from>
    <xdr:to>
      <xdr:col>16</xdr:col>
      <xdr:colOff>579809</xdr:colOff>
      <xdr:row>101</xdr:row>
      <xdr:rowOff>18048</xdr:rowOff>
    </xdr:to>
    <xdr:pic>
      <xdr:nvPicPr>
        <xdr:cNvPr id="3" name="Picture 2"/>
        <xdr:cNvPicPr>
          <a:picLocks noChangeAspect="1"/>
        </xdr:cNvPicPr>
      </xdr:nvPicPr>
      <xdr:blipFill>
        <a:blip xmlns:r="http://schemas.openxmlformats.org/officeDocument/2006/relationships" r:embed="rId2"/>
        <a:stretch>
          <a:fillRect/>
        </a:stretch>
      </xdr:blipFill>
      <xdr:spPr>
        <a:xfrm>
          <a:off x="609600" y="8490857"/>
          <a:ext cx="9723809" cy="8019048"/>
        </a:xfrm>
        <a:prstGeom prst="rect">
          <a:avLst/>
        </a:prstGeom>
      </xdr:spPr>
    </xdr:pic>
    <xdr:clientData/>
  </xdr:twoCellAnchor>
  <xdr:twoCellAnchor>
    <xdr:from>
      <xdr:col>6</xdr:col>
      <xdr:colOff>239487</xdr:colOff>
      <xdr:row>10</xdr:row>
      <xdr:rowOff>21771</xdr:rowOff>
    </xdr:from>
    <xdr:to>
      <xdr:col>8</xdr:col>
      <xdr:colOff>391887</xdr:colOff>
      <xdr:row>11</xdr:row>
      <xdr:rowOff>119743</xdr:rowOff>
    </xdr:to>
    <xdr:sp macro="" textlink="">
      <xdr:nvSpPr>
        <xdr:cNvPr id="5" name="Rectangle 4"/>
        <xdr:cNvSpPr/>
      </xdr:nvSpPr>
      <xdr:spPr>
        <a:xfrm>
          <a:off x="3897087" y="1654628"/>
          <a:ext cx="1371600" cy="261258"/>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0</xdr:colOff>
      <xdr:row>11</xdr:row>
      <xdr:rowOff>152400</xdr:rowOff>
    </xdr:from>
    <xdr:to>
      <xdr:col>15</xdr:col>
      <xdr:colOff>130629</xdr:colOff>
      <xdr:row>14</xdr:row>
      <xdr:rowOff>54429</xdr:rowOff>
    </xdr:to>
    <xdr:sp macro="" textlink="">
      <xdr:nvSpPr>
        <xdr:cNvPr id="6" name="Rectangle 5"/>
        <xdr:cNvSpPr/>
      </xdr:nvSpPr>
      <xdr:spPr>
        <a:xfrm>
          <a:off x="8534400" y="1948543"/>
          <a:ext cx="740229" cy="391886"/>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xdr:col>
      <xdr:colOff>65315</xdr:colOff>
      <xdr:row>97</xdr:row>
      <xdr:rowOff>65314</xdr:rowOff>
    </xdr:from>
    <xdr:to>
      <xdr:col>9</xdr:col>
      <xdr:colOff>217714</xdr:colOff>
      <xdr:row>99</xdr:row>
      <xdr:rowOff>108857</xdr:rowOff>
    </xdr:to>
    <xdr:sp macro="" textlink="">
      <xdr:nvSpPr>
        <xdr:cNvPr id="7" name="Rectangle 6"/>
        <xdr:cNvSpPr/>
      </xdr:nvSpPr>
      <xdr:spPr>
        <a:xfrm>
          <a:off x="674915" y="15904028"/>
          <a:ext cx="5029199" cy="370115"/>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52</xdr:row>
      <xdr:rowOff>97971</xdr:rowOff>
    </xdr:from>
    <xdr:to>
      <xdr:col>16</xdr:col>
      <xdr:colOff>579809</xdr:colOff>
      <xdr:row>100</xdr:row>
      <xdr:rowOff>74653</xdr:rowOff>
    </xdr:to>
    <xdr:pic>
      <xdr:nvPicPr>
        <xdr:cNvPr id="2" name="Picture 1"/>
        <xdr:cNvPicPr>
          <a:picLocks noChangeAspect="1"/>
        </xdr:cNvPicPr>
      </xdr:nvPicPr>
      <xdr:blipFill>
        <a:blip xmlns:r="http://schemas.openxmlformats.org/officeDocument/2006/relationships" r:embed="rId1"/>
        <a:stretch>
          <a:fillRect/>
        </a:stretch>
      </xdr:blipFill>
      <xdr:spPr>
        <a:xfrm>
          <a:off x="609600" y="8588828"/>
          <a:ext cx="9723809" cy="7814396"/>
        </a:xfrm>
        <a:prstGeom prst="rect">
          <a:avLst/>
        </a:prstGeom>
      </xdr:spPr>
    </xdr:pic>
    <xdr:clientData/>
  </xdr:twoCellAnchor>
  <xdr:twoCellAnchor editAs="oneCell">
    <xdr:from>
      <xdr:col>1</xdr:col>
      <xdr:colOff>0</xdr:colOff>
      <xdr:row>2</xdr:row>
      <xdr:rowOff>0</xdr:rowOff>
    </xdr:from>
    <xdr:to>
      <xdr:col>16</xdr:col>
      <xdr:colOff>579809</xdr:colOff>
      <xdr:row>51</xdr:row>
      <xdr:rowOff>18048</xdr:rowOff>
    </xdr:to>
    <xdr:pic>
      <xdr:nvPicPr>
        <xdr:cNvPr id="3" name="Picture 2"/>
        <xdr:cNvPicPr>
          <a:picLocks noChangeAspect="1"/>
        </xdr:cNvPicPr>
      </xdr:nvPicPr>
      <xdr:blipFill>
        <a:blip xmlns:r="http://schemas.openxmlformats.org/officeDocument/2006/relationships" r:embed="rId2"/>
        <a:stretch>
          <a:fillRect/>
        </a:stretch>
      </xdr:blipFill>
      <xdr:spPr>
        <a:xfrm>
          <a:off x="609600" y="326571"/>
          <a:ext cx="9723809" cy="8019048"/>
        </a:xfrm>
        <a:prstGeom prst="rect">
          <a:avLst/>
        </a:prstGeom>
      </xdr:spPr>
    </xdr:pic>
    <xdr:clientData/>
  </xdr:twoCellAnchor>
  <xdr:twoCellAnchor>
    <xdr:from>
      <xdr:col>6</xdr:col>
      <xdr:colOff>217714</xdr:colOff>
      <xdr:row>11</xdr:row>
      <xdr:rowOff>32657</xdr:rowOff>
    </xdr:from>
    <xdr:to>
      <xdr:col>8</xdr:col>
      <xdr:colOff>315686</xdr:colOff>
      <xdr:row>13</xdr:row>
      <xdr:rowOff>43543</xdr:rowOff>
    </xdr:to>
    <xdr:sp macro="" textlink="">
      <xdr:nvSpPr>
        <xdr:cNvPr id="4" name="Rectangle 3"/>
        <xdr:cNvSpPr/>
      </xdr:nvSpPr>
      <xdr:spPr>
        <a:xfrm>
          <a:off x="3875314" y="1828800"/>
          <a:ext cx="1317172" cy="337457"/>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587829</xdr:colOff>
      <xdr:row>13</xdr:row>
      <xdr:rowOff>0</xdr:rowOff>
    </xdr:from>
    <xdr:to>
      <xdr:col>15</xdr:col>
      <xdr:colOff>152400</xdr:colOff>
      <xdr:row>15</xdr:row>
      <xdr:rowOff>130627</xdr:rowOff>
    </xdr:to>
    <xdr:sp macro="" textlink="">
      <xdr:nvSpPr>
        <xdr:cNvPr id="5" name="Rectangle 4"/>
        <xdr:cNvSpPr/>
      </xdr:nvSpPr>
      <xdr:spPr>
        <a:xfrm>
          <a:off x="8512629" y="2122714"/>
          <a:ext cx="783771" cy="457199"/>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598714</xdr:colOff>
      <xdr:row>63</xdr:row>
      <xdr:rowOff>54428</xdr:rowOff>
    </xdr:from>
    <xdr:to>
      <xdr:col>15</xdr:col>
      <xdr:colOff>119743</xdr:colOff>
      <xdr:row>65</xdr:row>
      <xdr:rowOff>119743</xdr:rowOff>
    </xdr:to>
    <xdr:sp macro="" textlink="">
      <xdr:nvSpPr>
        <xdr:cNvPr id="6" name="Rectangle 5"/>
        <xdr:cNvSpPr/>
      </xdr:nvSpPr>
      <xdr:spPr>
        <a:xfrm>
          <a:off x="8523514" y="10341428"/>
          <a:ext cx="740229" cy="391886"/>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19</xdr:col>
      <xdr:colOff>179581</xdr:colOff>
      <xdr:row>32</xdr:row>
      <xdr:rowOff>66038</xdr:rowOff>
    </xdr:to>
    <xdr:pic>
      <xdr:nvPicPr>
        <xdr:cNvPr id="2" name="Picture 1"/>
        <xdr:cNvPicPr>
          <a:picLocks noChangeAspect="1"/>
        </xdr:cNvPicPr>
      </xdr:nvPicPr>
      <xdr:blipFill>
        <a:blip xmlns:r="http://schemas.openxmlformats.org/officeDocument/2006/relationships" r:embed="rId1"/>
        <a:stretch>
          <a:fillRect/>
        </a:stretch>
      </xdr:blipFill>
      <xdr:spPr>
        <a:xfrm>
          <a:off x="609600" y="335280"/>
          <a:ext cx="11152381" cy="50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16</xdr:col>
      <xdr:colOff>579809</xdr:colOff>
      <xdr:row>49</xdr:row>
      <xdr:rowOff>139968</xdr:rowOff>
    </xdr:to>
    <xdr:pic>
      <xdr:nvPicPr>
        <xdr:cNvPr id="2" name="Picture 1"/>
        <xdr:cNvPicPr>
          <a:picLocks noChangeAspect="1"/>
        </xdr:cNvPicPr>
      </xdr:nvPicPr>
      <xdr:blipFill>
        <a:blip xmlns:r="http://schemas.openxmlformats.org/officeDocument/2006/relationships" r:embed="rId1"/>
        <a:stretch>
          <a:fillRect/>
        </a:stretch>
      </xdr:blipFill>
      <xdr:spPr>
        <a:xfrm>
          <a:off x="609600" y="335280"/>
          <a:ext cx="9723809" cy="8019048"/>
        </a:xfrm>
        <a:prstGeom prst="rect">
          <a:avLst/>
        </a:prstGeom>
      </xdr:spPr>
    </xdr:pic>
    <xdr:clientData/>
  </xdr:twoCellAnchor>
  <xdr:twoCellAnchor editAs="oneCell">
    <xdr:from>
      <xdr:col>18</xdr:col>
      <xdr:colOff>0</xdr:colOff>
      <xdr:row>2</xdr:row>
      <xdr:rowOff>0</xdr:rowOff>
    </xdr:from>
    <xdr:to>
      <xdr:col>33</xdr:col>
      <xdr:colOff>579809</xdr:colOff>
      <xdr:row>50</xdr:row>
      <xdr:rowOff>38830</xdr:rowOff>
    </xdr:to>
    <xdr:pic>
      <xdr:nvPicPr>
        <xdr:cNvPr id="3" name="Picture 2"/>
        <xdr:cNvPicPr>
          <a:picLocks noChangeAspect="1"/>
        </xdr:cNvPicPr>
      </xdr:nvPicPr>
      <xdr:blipFill>
        <a:blip xmlns:r="http://schemas.openxmlformats.org/officeDocument/2006/relationships" r:embed="rId2"/>
        <a:stretch>
          <a:fillRect/>
        </a:stretch>
      </xdr:blipFill>
      <xdr:spPr>
        <a:xfrm>
          <a:off x="10972800" y="332509"/>
          <a:ext cx="9723809" cy="8019048"/>
        </a:xfrm>
        <a:prstGeom prst="rect">
          <a:avLst/>
        </a:prstGeom>
      </xdr:spPr>
    </xdr:pic>
    <xdr:clientData/>
  </xdr:twoCellAnchor>
  <xdr:twoCellAnchor editAs="oneCell">
    <xdr:from>
      <xdr:col>35</xdr:col>
      <xdr:colOff>0</xdr:colOff>
      <xdr:row>2</xdr:row>
      <xdr:rowOff>0</xdr:rowOff>
    </xdr:from>
    <xdr:to>
      <xdr:col>50</xdr:col>
      <xdr:colOff>579809</xdr:colOff>
      <xdr:row>50</xdr:row>
      <xdr:rowOff>38830</xdr:rowOff>
    </xdr:to>
    <xdr:pic>
      <xdr:nvPicPr>
        <xdr:cNvPr id="4" name="Picture 3"/>
        <xdr:cNvPicPr>
          <a:picLocks noChangeAspect="1"/>
        </xdr:cNvPicPr>
      </xdr:nvPicPr>
      <xdr:blipFill>
        <a:blip xmlns:r="http://schemas.openxmlformats.org/officeDocument/2006/relationships" r:embed="rId3"/>
        <a:stretch>
          <a:fillRect/>
        </a:stretch>
      </xdr:blipFill>
      <xdr:spPr>
        <a:xfrm>
          <a:off x="21336000" y="332509"/>
          <a:ext cx="9723809" cy="801904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9.200.121\DocumentFiles\01%20PWaaS&#12486;&#12531;&#12503;&#12524;&#12540;&#12488;V5.3.1&#33521;&#35486;&#29256;&#12522;&#12522;&#12540;&#12473;&#28310;&#20633;\%23old\01_PT&#20181;&#27096;&#26360;&#12398;&#20351;&#29992;&#26041;&#27861;\PT&#20181;&#27096;&#26360;&#12398;&#20351;&#29992;&#26041;&#2786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Usage"/>
      <sheetName val="基本_start"/>
      <sheetName val="基本_end"/>
      <sheetName val="基本_オン_1"/>
      <sheetName val="基本_バッチ_1"/>
      <sheetName val="基本_帳票_1"/>
      <sheetName val="業務_start"/>
      <sheetName val="業務_1"/>
      <sheetName val="業務_end"/>
      <sheetName val="業務_2"/>
      <sheetName val="業務_3"/>
      <sheetName val="コード表"/>
      <sheetName val="原因区分"/>
      <sheetName val="設定シート"/>
      <sheetName val="プロセス"/>
      <sheetName val="バージョン情報"/>
      <sheetName val="【変更不可】共通設定"/>
    </sheetNames>
    <sheetDataSet>
      <sheetData sheetId="0">
        <row r="3">
          <cell r="B3" t="str">
            <v>ＰＴ</v>
          </cell>
        </row>
        <row r="16">
          <cell r="AA16">
            <v>0</v>
          </cell>
          <cell r="AG16">
            <v>0</v>
          </cell>
          <cell r="AM16">
            <v>0</v>
          </cell>
        </row>
        <row r="19">
          <cell r="AA19">
            <v>0</v>
          </cell>
          <cell r="AG19">
            <v>0</v>
          </cell>
          <cell r="AM19">
            <v>0</v>
          </cell>
        </row>
        <row r="22">
          <cell r="U22" t="str">
            <v>RD</v>
          </cell>
          <cell r="AA22">
            <v>0</v>
          </cell>
          <cell r="AG22">
            <v>0</v>
          </cell>
        </row>
        <row r="23">
          <cell r="U23" t="str">
            <v>UI</v>
          </cell>
          <cell r="AA23">
            <v>0</v>
          </cell>
          <cell r="AG23">
            <v>0</v>
          </cell>
        </row>
        <row r="24">
          <cell r="U24" t="str">
            <v>SS</v>
          </cell>
          <cell r="AA24">
            <v>0</v>
          </cell>
          <cell r="AG24">
            <v>0</v>
          </cell>
        </row>
        <row r="25">
          <cell r="U25" t="str">
            <v>PS</v>
          </cell>
          <cell r="AA25">
            <v>0</v>
          </cell>
          <cell r="AG25">
            <v>0</v>
          </cell>
        </row>
        <row r="26">
          <cell r="U26" t="str">
            <v>PG</v>
          </cell>
          <cell r="AA26">
            <v>0</v>
          </cell>
          <cell r="AG26">
            <v>0</v>
          </cell>
        </row>
        <row r="27">
          <cell r="U27" t="str">
            <v>PT</v>
          </cell>
          <cell r="AA27">
            <v>0</v>
          </cell>
          <cell r="AG27">
            <v>0</v>
          </cell>
        </row>
        <row r="28">
          <cell r="U28" t="str">
            <v>PT受入</v>
          </cell>
          <cell r="AA28">
            <v>0</v>
          </cell>
          <cell r="AG28">
            <v>0</v>
          </cell>
        </row>
        <row r="29">
          <cell r="U29" t="str">
            <v>IT</v>
          </cell>
          <cell r="AA29">
            <v>0</v>
          </cell>
          <cell r="AG29">
            <v>0</v>
          </cell>
        </row>
        <row r="30">
          <cell r="U30" t="str">
            <v>IT2</v>
          </cell>
          <cell r="AA30">
            <v>0</v>
          </cell>
          <cell r="AG30">
            <v>0</v>
          </cell>
        </row>
        <row r="31">
          <cell r="U31" t="str">
            <v>IT3</v>
          </cell>
          <cell r="AA31">
            <v>0</v>
          </cell>
          <cell r="AG31">
            <v>0</v>
          </cell>
        </row>
        <row r="62">
          <cell r="C62" t="str">
            <v>10:方式設計ﾐｽ</v>
          </cell>
          <cell r="O62">
            <v>0</v>
          </cell>
          <cell r="U62">
            <v>0</v>
          </cell>
        </row>
        <row r="63">
          <cell r="C63" t="str">
            <v>11:ｲﾝﾀｰﾌｪｰｽ設計ﾐｽ</v>
          </cell>
          <cell r="O63">
            <v>0</v>
          </cell>
          <cell r="U63">
            <v>0</v>
          </cell>
        </row>
        <row r="64">
          <cell r="C64" t="str">
            <v>12:DB/ﾌｧｲﾙ設計ﾐｽ</v>
          </cell>
          <cell r="O64">
            <v>0</v>
          </cell>
          <cell r="U64">
            <v>0</v>
          </cell>
        </row>
        <row r="65">
          <cell r="C65" t="str">
            <v>13:ｼｽﾃﾑ機能(画面/帳票/ﾊﾞｯﾁ)設計ﾐｽ</v>
          </cell>
          <cell r="O65">
            <v>0</v>
          </cell>
          <cell r="U65">
            <v>0</v>
          </cell>
        </row>
        <row r="66">
          <cell r="C66" t="str">
            <v>14:共通部品設計ﾐｽ</v>
          </cell>
          <cell r="O66">
            <v>0</v>
          </cell>
          <cell r="U66">
            <v>0</v>
          </cell>
        </row>
        <row r="67">
          <cell r="C67" t="str">
            <v>20:ﾛｼﾞｯｸﾐｽ(論理ﾐｽ)</v>
          </cell>
          <cell r="O67">
            <v>0</v>
          </cell>
          <cell r="U67">
            <v>0</v>
          </cell>
        </row>
        <row r="68">
          <cell r="C68" t="str">
            <v>21:PGﾐｽ(ｺｰﾃﾞｨﾝｸﾞﾐｽ)</v>
          </cell>
          <cell r="O68">
            <v>0</v>
          </cell>
          <cell r="U68">
            <v>0</v>
          </cell>
        </row>
        <row r="69">
          <cell r="C69" t="str">
            <v>22:PGﾐｽ(SQL文不備)</v>
          </cell>
          <cell r="O69">
            <v>0</v>
          </cell>
          <cell r="U69">
            <v>0</v>
          </cell>
        </row>
        <row r="70">
          <cell r="C70" t="str">
            <v>23:PGﾐｽ(共通規約違反)</v>
          </cell>
          <cell r="O70">
            <v>0</v>
          </cell>
          <cell r="U70">
            <v>0</v>
          </cell>
        </row>
        <row r="71">
          <cell r="C71" t="str">
            <v>24:ﾃﾞｨｸﾞﾚｰﾄﾞ(修正誤り)</v>
          </cell>
          <cell r="O71">
            <v>0</v>
          </cell>
          <cell r="U71">
            <v>0</v>
          </cell>
        </row>
        <row r="72">
          <cell r="C72" t="str">
            <v>30:ﾃｽﾄ仕様ﾐｽ</v>
          </cell>
          <cell r="O72">
            <v>0</v>
          </cell>
          <cell r="U72">
            <v>0</v>
          </cell>
        </row>
        <row r="73">
          <cell r="C73" t="str">
            <v>31:ﾃｽﾄﾃﾞｰﾀﾐｽ</v>
          </cell>
          <cell r="O73">
            <v>0</v>
          </cell>
          <cell r="U73">
            <v>0</v>
          </cell>
        </row>
        <row r="74">
          <cell r="C74" t="str">
            <v>40:ｵﾍﾟﾚｰｼｮﾝﾐｽ</v>
          </cell>
          <cell r="O74">
            <v>0</v>
          </cell>
          <cell r="U74">
            <v>0</v>
          </cell>
        </row>
        <row r="75">
          <cell r="C75" t="str">
            <v>41:環境設定ﾐｽ</v>
          </cell>
          <cell r="O75">
            <v>0</v>
          </cell>
          <cell r="U75">
            <v>0</v>
          </cell>
        </row>
        <row r="76">
          <cell r="C76" t="str">
            <v>42:構成管理/ﾘﾘｰｽﾐｽ</v>
          </cell>
          <cell r="O76">
            <v>0</v>
          </cell>
          <cell r="U76">
            <v>0</v>
          </cell>
        </row>
        <row r="77">
          <cell r="C77" t="str">
            <v>50:製品障害(機器,OS,ﾐﾄﾞﾙ,PKG,ﾈｯﾄﾜｰｸ等)</v>
          </cell>
          <cell r="O77">
            <v>0</v>
          </cell>
          <cell r="U77">
            <v>0</v>
          </cell>
        </row>
        <row r="78">
          <cell r="C78" t="str">
            <v>60:その他</v>
          </cell>
          <cell r="O78">
            <v>0</v>
          </cell>
          <cell r="U78">
            <v>0</v>
          </cell>
        </row>
        <row r="79">
          <cell r="C79" t="str">
            <v>80:原因不明(再現待ち)</v>
          </cell>
          <cell r="O79">
            <v>0</v>
          </cell>
          <cell r="U79">
            <v>0</v>
          </cell>
        </row>
        <row r="80">
          <cell r="C80" t="str">
            <v>90:仕様通り(仕様変更の候補)</v>
          </cell>
          <cell r="O80">
            <v>0</v>
          </cell>
          <cell r="U80">
            <v>0</v>
          </cell>
        </row>
        <row r="81">
          <cell r="C81" t="str">
            <v>91:重複(既障害)</v>
          </cell>
          <cell r="O81">
            <v>0</v>
          </cell>
          <cell r="U81">
            <v>0</v>
          </cell>
        </row>
        <row r="82">
          <cell r="O82">
            <v>0</v>
          </cell>
          <cell r="U82">
            <v>0</v>
          </cell>
        </row>
        <row r="83">
          <cell r="O83">
            <v>0</v>
          </cell>
          <cell r="U83">
            <v>0</v>
          </cell>
        </row>
        <row r="84">
          <cell r="O84">
            <v>0</v>
          </cell>
          <cell r="U84">
            <v>0</v>
          </cell>
        </row>
        <row r="85">
          <cell r="O85">
            <v>0</v>
          </cell>
          <cell r="U85">
            <v>0</v>
          </cell>
        </row>
        <row r="86">
          <cell r="O86">
            <v>0</v>
          </cell>
          <cell r="U86">
            <v>0</v>
          </cell>
        </row>
        <row r="87">
          <cell r="O87">
            <v>0</v>
          </cell>
          <cell r="U87">
            <v>0</v>
          </cell>
        </row>
        <row r="88">
          <cell r="O88">
            <v>0</v>
          </cell>
          <cell r="U88">
            <v>0</v>
          </cell>
        </row>
        <row r="89">
          <cell r="O89">
            <v>0</v>
          </cell>
          <cell r="U89">
            <v>0</v>
          </cell>
        </row>
        <row r="90">
          <cell r="O90">
            <v>0</v>
          </cell>
          <cell r="U90">
            <v>0</v>
          </cell>
        </row>
        <row r="91">
          <cell r="O91">
            <v>0</v>
          </cell>
          <cell r="U91">
            <v>0</v>
          </cell>
        </row>
        <row r="92">
          <cell r="O92">
            <v>0</v>
          </cell>
          <cell r="U92">
            <v>0</v>
          </cell>
        </row>
        <row r="93">
          <cell r="O93">
            <v>0</v>
          </cell>
          <cell r="U93">
            <v>0</v>
          </cell>
        </row>
        <row r="94">
          <cell r="O94">
            <v>0</v>
          </cell>
          <cell r="U94">
            <v>0</v>
          </cell>
        </row>
        <row r="95">
          <cell r="O95">
            <v>0</v>
          </cell>
          <cell r="U95">
            <v>0</v>
          </cell>
        </row>
        <row r="96">
          <cell r="O96">
            <v>0</v>
          </cell>
          <cell r="U96">
            <v>0</v>
          </cell>
        </row>
        <row r="97">
          <cell r="O97">
            <v>0</v>
          </cell>
          <cell r="U97">
            <v>0</v>
          </cell>
        </row>
        <row r="98">
          <cell r="O98">
            <v>0</v>
          </cell>
          <cell r="U98">
            <v>0</v>
          </cell>
        </row>
        <row r="99">
          <cell r="O99">
            <v>0</v>
          </cell>
          <cell r="U99">
            <v>0</v>
          </cell>
        </row>
        <row r="100">
          <cell r="O100">
            <v>0</v>
          </cell>
          <cell r="U100">
            <v>0</v>
          </cell>
        </row>
        <row r="101">
          <cell r="O101">
            <v>0</v>
          </cell>
          <cell r="U101">
            <v>0</v>
          </cell>
        </row>
      </sheetData>
      <sheetData sheetId="1"/>
      <sheetData sheetId="2"/>
      <sheetData sheetId="3"/>
      <sheetData sheetId="4"/>
      <sheetData sheetId="5"/>
      <sheetData sheetId="6"/>
      <sheetData sheetId="7"/>
      <sheetData sheetId="8"/>
      <sheetData sheetId="9"/>
      <sheetData sheetId="10"/>
      <sheetData sheetId="11"/>
      <sheetData sheetId="12">
        <row r="2">
          <cell r="C2" t="str">
            <v>コード表!C3:C20</v>
          </cell>
          <cell r="G2" t="str">
            <v>コード表!G3:G6</v>
          </cell>
          <cell r="I2" t="str">
            <v>コード表!I3:I8</v>
          </cell>
        </row>
      </sheetData>
      <sheetData sheetId="13"/>
      <sheetData sheetId="14">
        <row r="2">
          <cell r="E2" t="str">
            <v>業務プロセス名</v>
          </cell>
          <cell r="F2" t="str">
            <v>プロセス名</v>
          </cell>
        </row>
      </sheetData>
      <sheetData sheetId="15">
        <row r="2">
          <cell r="D2" t="str">
            <v>プロセス!D3:D3</v>
          </cell>
        </row>
      </sheetData>
      <sheetData sheetId="16"/>
      <sheetData sheetId="17">
        <row r="1">
          <cell r="B1" t="str">
            <v>KS</v>
          </cell>
        </row>
      </sheetData>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9.bin"/><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S103"/>
  <sheetViews>
    <sheetView showGridLines="0" topLeftCell="A40" zoomScale="85" zoomScaleNormal="85" zoomScaleSheetLayoutView="100" workbookViewId="0">
      <selection activeCell="N40" sqref="N40:P42"/>
    </sheetView>
  </sheetViews>
  <sheetFormatPr defaultColWidth="3.625" defaultRowHeight="12.75" x14ac:dyDescent="0.15"/>
  <cols>
    <col min="1" max="1" width="3.625" style="27" customWidth="1"/>
    <col min="2" max="3" width="7" style="30" customWidth="1"/>
    <col min="4" max="5" width="5.25" style="30" customWidth="1"/>
    <col min="6" max="8" width="5.875" style="30" customWidth="1"/>
    <col min="9" max="17" width="5.125" style="30" customWidth="1"/>
    <col min="18" max="18" width="3.625" style="30" customWidth="1"/>
    <col min="19" max="19" width="5.125" style="30" customWidth="1"/>
    <col min="20" max="21" width="9.5" style="30" customWidth="1"/>
    <col min="22" max="24" width="4.5" style="30" customWidth="1"/>
    <col min="25" max="25" width="15.625" style="30" customWidth="1"/>
    <col min="26" max="28" width="3.625" style="30" customWidth="1"/>
    <col min="29" max="30" width="8.25" style="30" customWidth="1"/>
    <col min="31" max="31" width="5.5" style="30" customWidth="1"/>
    <col min="32" max="34" width="3.625" style="30" customWidth="1"/>
    <col min="35" max="35" width="4.125" style="30" customWidth="1"/>
    <col min="36" max="36" width="5.625" style="30" customWidth="1"/>
    <col min="37" max="37" width="2" style="30" customWidth="1"/>
    <col min="38" max="40" width="3.625" style="30" customWidth="1"/>
    <col min="41" max="41" width="4.375" style="30" customWidth="1"/>
    <col min="42" max="42" width="5.625" style="30" customWidth="1"/>
    <col min="43" max="43" width="3.625" style="30" customWidth="1"/>
    <col min="44" max="44" width="3.75" style="30" customWidth="1"/>
    <col min="45" max="45" width="3.25" style="30" customWidth="1"/>
    <col min="46" max="16384" width="3.625" style="30"/>
  </cols>
  <sheetData>
    <row r="1" spans="1:45" s="5" customFormat="1" ht="6.75" customHeight="1" x14ac:dyDescent="0.15">
      <c r="A1" s="1" t="s">
        <v>80</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3"/>
      <c r="AO1" s="3"/>
      <c r="AP1" s="3"/>
      <c r="AQ1" s="4"/>
    </row>
    <row r="2" spans="1:45" s="5" customFormat="1" ht="12.75" hidden="1" customHeight="1" x14ac:dyDescent="0.15">
      <c r="A2" s="6"/>
      <c r="B2" s="7" t="s">
        <v>84</v>
      </c>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8"/>
    </row>
    <row r="3" spans="1:45" s="5" customFormat="1" ht="13.5" customHeight="1" x14ac:dyDescent="0.15">
      <c r="A3" s="6"/>
      <c r="B3" s="433" t="s">
        <v>259</v>
      </c>
      <c r="C3" s="434"/>
      <c r="D3" s="344" t="s">
        <v>3</v>
      </c>
      <c r="E3" s="344"/>
      <c r="F3" s="344"/>
      <c r="G3" s="344"/>
      <c r="H3" s="344"/>
      <c r="I3" s="344"/>
      <c r="J3" s="344"/>
      <c r="K3" s="344"/>
      <c r="L3" s="344"/>
      <c r="M3" s="344"/>
      <c r="N3" s="345"/>
      <c r="O3" s="459" t="s">
        <v>143</v>
      </c>
      <c r="P3" s="459"/>
      <c r="Q3" s="459"/>
      <c r="R3" s="459"/>
      <c r="S3" s="459"/>
      <c r="T3" s="459"/>
      <c r="U3" s="459"/>
      <c r="V3" s="459"/>
      <c r="W3" s="459"/>
      <c r="X3" s="460"/>
      <c r="AB3" s="7"/>
      <c r="AC3" s="463" t="s">
        <v>53</v>
      </c>
      <c r="AD3" s="463"/>
      <c r="AE3" s="463" t="s">
        <v>56</v>
      </c>
      <c r="AF3" s="463"/>
      <c r="AG3" s="463"/>
      <c r="AH3" s="463" t="s">
        <v>51</v>
      </c>
      <c r="AI3" s="463"/>
      <c r="AJ3" s="463"/>
      <c r="AK3" s="7"/>
      <c r="AL3" s="7"/>
      <c r="AM3" s="7"/>
      <c r="AN3" s="428"/>
      <c r="AO3" s="428"/>
      <c r="AP3" s="428"/>
      <c r="AQ3" s="429"/>
      <c r="AS3" s="9"/>
    </row>
    <row r="4" spans="1:45" s="5" customFormat="1" ht="16.5" customHeight="1" x14ac:dyDescent="0.15">
      <c r="A4" s="6"/>
      <c r="B4" s="435"/>
      <c r="C4" s="436"/>
      <c r="D4" s="346"/>
      <c r="E4" s="346"/>
      <c r="F4" s="346"/>
      <c r="G4" s="346"/>
      <c r="H4" s="346"/>
      <c r="I4" s="346"/>
      <c r="J4" s="346"/>
      <c r="K4" s="346"/>
      <c r="L4" s="346"/>
      <c r="M4" s="346"/>
      <c r="N4" s="347"/>
      <c r="O4" s="461"/>
      <c r="P4" s="461"/>
      <c r="Q4" s="461"/>
      <c r="R4" s="461"/>
      <c r="S4" s="461"/>
      <c r="T4" s="461"/>
      <c r="U4" s="461"/>
      <c r="V4" s="461"/>
      <c r="W4" s="461"/>
      <c r="X4" s="462"/>
      <c r="AB4" s="7"/>
      <c r="AC4" s="430" t="s">
        <v>54</v>
      </c>
      <c r="AD4" s="430"/>
      <c r="AE4" s="431">
        <v>44166</v>
      </c>
      <c r="AF4" s="431"/>
      <c r="AG4" s="431"/>
      <c r="AH4" s="432" t="s">
        <v>797</v>
      </c>
      <c r="AI4" s="432"/>
      <c r="AJ4" s="432"/>
      <c r="AK4" s="7"/>
      <c r="AL4" s="7"/>
      <c r="AM4" s="7"/>
      <c r="AN4" s="428"/>
      <c r="AO4" s="428"/>
      <c r="AP4" s="428"/>
      <c r="AQ4" s="429"/>
    </row>
    <row r="5" spans="1:45" s="17" customFormat="1" ht="16.5" customHeight="1" x14ac:dyDescent="0.15">
      <c r="A5" s="10"/>
      <c r="B5" s="11"/>
      <c r="C5" s="11"/>
      <c r="D5" s="11"/>
      <c r="E5" s="11"/>
      <c r="F5" s="12"/>
      <c r="G5" s="12"/>
      <c r="H5" s="12"/>
      <c r="I5" s="228"/>
      <c r="J5" s="228"/>
      <c r="K5" s="228"/>
      <c r="L5" s="228"/>
      <c r="M5" s="228"/>
      <c r="N5" s="228"/>
      <c r="O5" s="30"/>
      <c r="P5" s="30"/>
      <c r="Q5" s="30"/>
      <c r="R5" s="30"/>
      <c r="S5" s="30"/>
      <c r="T5" s="30"/>
      <c r="U5" s="30"/>
      <c r="V5" s="30"/>
      <c r="W5" s="30"/>
      <c r="X5" s="30"/>
      <c r="Y5" s="13"/>
      <c r="Z5" s="13"/>
      <c r="AA5" s="157"/>
      <c r="AB5" s="156"/>
      <c r="AC5" s="430" t="s">
        <v>55</v>
      </c>
      <c r="AD5" s="430"/>
      <c r="AE5" s="431"/>
      <c r="AF5" s="431"/>
      <c r="AG5" s="431"/>
      <c r="AH5" s="432"/>
      <c r="AI5" s="432"/>
      <c r="AJ5" s="432"/>
      <c r="AK5" s="15"/>
      <c r="AL5" s="15"/>
      <c r="AM5" s="15"/>
      <c r="AN5" s="15"/>
      <c r="AO5" s="15"/>
      <c r="AP5" s="15"/>
      <c r="AQ5" s="16"/>
    </row>
    <row r="6" spans="1:45" s="27" customFormat="1" ht="13.5" customHeight="1" x14ac:dyDescent="0.15">
      <c r="A6" s="18"/>
      <c r="B6" s="464" t="str">
        <f>Settings!D2</f>
        <v>Subsystem</v>
      </c>
      <c r="C6" s="465"/>
      <c r="D6" s="465"/>
      <c r="E6" s="465"/>
      <c r="F6" s="465"/>
      <c r="G6" s="465"/>
      <c r="H6" s="466"/>
      <c r="I6" s="467" t="s">
        <v>631</v>
      </c>
      <c r="J6" s="467"/>
      <c r="K6" s="467"/>
      <c r="L6" s="467"/>
      <c r="M6" s="467"/>
      <c r="N6" s="468"/>
      <c r="O6" s="30"/>
      <c r="P6" s="30"/>
      <c r="Q6" s="30"/>
      <c r="R6" s="30"/>
      <c r="S6" s="30"/>
      <c r="T6" s="30"/>
      <c r="U6" s="30"/>
      <c r="V6" s="30"/>
      <c r="W6" s="30"/>
      <c r="X6" s="30"/>
      <c r="Y6" s="20"/>
      <c r="Z6" s="30"/>
      <c r="AA6" s="30"/>
      <c r="AB6" s="30"/>
      <c r="AC6" s="30"/>
      <c r="AD6" s="30"/>
      <c r="AE6" s="30"/>
      <c r="AF6" s="30"/>
      <c r="AG6" s="30"/>
      <c r="AH6" s="30"/>
      <c r="AI6" s="30"/>
      <c r="AJ6" s="30"/>
      <c r="AK6" s="30"/>
      <c r="AL6" s="30"/>
      <c r="AM6" s="30"/>
      <c r="AN6" s="30"/>
      <c r="AO6" s="30"/>
      <c r="AP6" s="30"/>
      <c r="AQ6" s="26"/>
    </row>
    <row r="7" spans="1:45" ht="12" customHeight="1" x14ac:dyDescent="0.15">
      <c r="A7" s="18"/>
      <c r="B7" s="443" t="str">
        <f>Settings!E2</f>
        <v>Business Process</v>
      </c>
      <c r="C7" s="455"/>
      <c r="D7" s="455"/>
      <c r="E7" s="455"/>
      <c r="F7" s="455"/>
      <c r="G7" s="455"/>
      <c r="H7" s="456"/>
      <c r="I7" s="457" t="s">
        <v>632</v>
      </c>
      <c r="J7" s="457"/>
      <c r="K7" s="457"/>
      <c r="L7" s="457"/>
      <c r="M7" s="457"/>
      <c r="N7" s="458"/>
      <c r="O7" s="28"/>
      <c r="P7" s="28"/>
      <c r="Q7" s="20"/>
      <c r="R7" s="29"/>
      <c r="S7" s="19"/>
      <c r="U7" s="28"/>
      <c r="V7" s="28"/>
      <c r="W7" s="28"/>
      <c r="X7" s="29"/>
      <c r="Y7" s="29"/>
      <c r="AQ7" s="36"/>
    </row>
    <row r="8" spans="1:45" ht="12" customHeight="1" x14ac:dyDescent="0.15">
      <c r="A8" s="18"/>
      <c r="B8" s="449" t="s">
        <v>4</v>
      </c>
      <c r="C8" s="472"/>
      <c r="D8" s="472"/>
      <c r="E8" s="472"/>
      <c r="F8" s="472"/>
      <c r="G8" s="472"/>
      <c r="H8" s="473"/>
      <c r="I8" s="474" t="s">
        <v>666</v>
      </c>
      <c r="J8" s="475"/>
      <c r="K8" s="475"/>
      <c r="L8" s="475"/>
      <c r="M8" s="475"/>
      <c r="N8" s="476"/>
      <c r="O8" s="28"/>
      <c r="P8" s="28"/>
      <c r="Q8" s="20"/>
      <c r="R8" s="29"/>
      <c r="S8" s="19"/>
      <c r="T8" s="19"/>
      <c r="V8" s="19"/>
      <c r="W8" s="19"/>
      <c r="X8" s="29"/>
      <c r="Y8" s="29"/>
      <c r="AG8" s="45"/>
      <c r="AM8" s="45"/>
      <c r="AQ8" s="36"/>
    </row>
    <row r="9" spans="1:45" ht="12" customHeight="1" x14ac:dyDescent="0.15">
      <c r="A9" s="18"/>
      <c r="B9" s="443" t="s">
        <v>93</v>
      </c>
      <c r="C9" s="444"/>
      <c r="D9" s="444"/>
      <c r="E9" s="444"/>
      <c r="F9" s="444"/>
      <c r="G9" s="444"/>
      <c r="H9" s="445"/>
      <c r="I9" s="469"/>
      <c r="J9" s="470"/>
      <c r="K9" s="470"/>
      <c r="L9" s="470"/>
      <c r="M9" s="470"/>
      <c r="N9" s="471"/>
      <c r="O9" s="28"/>
      <c r="P9" s="28"/>
      <c r="Q9" s="41"/>
      <c r="R9" s="28"/>
      <c r="S9" s="19"/>
      <c r="T9" s="22"/>
      <c r="V9" s="19"/>
      <c r="W9" s="19"/>
      <c r="X9" s="28"/>
      <c r="Y9" s="28"/>
      <c r="AA9" s="45"/>
      <c r="AG9" s="45"/>
      <c r="AM9" s="45"/>
      <c r="AQ9" s="36"/>
    </row>
    <row r="10" spans="1:45" ht="12" customHeight="1" x14ac:dyDescent="0.15">
      <c r="A10" s="18"/>
      <c r="B10" s="449" t="s">
        <v>181</v>
      </c>
      <c r="C10" s="450"/>
      <c r="D10" s="450"/>
      <c r="E10" s="450"/>
      <c r="F10" s="450"/>
      <c r="G10" s="450"/>
      <c r="H10" s="451"/>
      <c r="I10" s="452" t="s">
        <v>570</v>
      </c>
      <c r="J10" s="453"/>
      <c r="K10" s="453"/>
      <c r="L10" s="453"/>
      <c r="M10" s="453"/>
      <c r="N10" s="454"/>
      <c r="O10" s="28"/>
      <c r="P10" s="41"/>
      <c r="Q10" s="158"/>
      <c r="R10" s="19"/>
      <c r="AM10" s="45"/>
      <c r="AQ10" s="48"/>
    </row>
    <row r="11" spans="1:45" ht="12" customHeight="1" x14ac:dyDescent="0.15">
      <c r="A11" s="18"/>
      <c r="B11" s="443" t="s">
        <v>182</v>
      </c>
      <c r="C11" s="444"/>
      <c r="D11" s="444"/>
      <c r="E11" s="444"/>
      <c r="F11" s="444"/>
      <c r="G11" s="444"/>
      <c r="H11" s="445"/>
      <c r="I11" s="446"/>
      <c r="J11" s="447"/>
      <c r="K11" s="447"/>
      <c r="L11" s="447"/>
      <c r="M11" s="447"/>
      <c r="N11" s="448"/>
      <c r="O11" s="28"/>
      <c r="P11" s="28"/>
      <c r="Q11" s="19"/>
      <c r="R11" s="19"/>
      <c r="S11" s="19"/>
      <c r="T11" s="22"/>
      <c r="V11" s="19"/>
      <c r="W11" s="19"/>
      <c r="X11" s="19"/>
      <c r="Y11" s="19"/>
      <c r="AQ11" s="36"/>
    </row>
    <row r="12" spans="1:45" ht="12" customHeight="1" x14ac:dyDescent="0.15">
      <c r="A12" s="51"/>
      <c r="B12" s="437" t="s">
        <v>5</v>
      </c>
      <c r="C12" s="438"/>
      <c r="D12" s="438"/>
      <c r="E12" s="438"/>
      <c r="F12" s="438"/>
      <c r="G12" s="438"/>
      <c r="H12" s="439"/>
      <c r="I12" s="440">
        <v>1E-3</v>
      </c>
      <c r="J12" s="441"/>
      <c r="K12" s="441"/>
      <c r="L12" s="441"/>
      <c r="M12" s="441"/>
      <c r="N12" s="442"/>
      <c r="O12" s="52" t="str">
        <f>Common_Setup_Scale</f>
        <v>KS</v>
      </c>
      <c r="P12" s="19"/>
      <c r="Q12" s="19"/>
      <c r="R12" s="19"/>
      <c r="S12" s="19"/>
      <c r="U12" s="28"/>
      <c r="V12" s="19"/>
      <c r="W12" s="19"/>
      <c r="X12" s="19"/>
      <c r="Y12" s="19"/>
      <c r="AQ12" s="36"/>
    </row>
    <row r="13" spans="1:45" ht="12" customHeight="1" x14ac:dyDescent="0.15">
      <c r="A13" s="51"/>
      <c r="B13" s="54"/>
      <c r="C13" s="19"/>
      <c r="D13" s="19"/>
      <c r="E13" s="19"/>
      <c r="F13" s="19"/>
      <c r="G13" s="19"/>
      <c r="H13" s="19"/>
      <c r="I13" s="19"/>
      <c r="J13" s="19"/>
      <c r="K13" s="19"/>
      <c r="L13" s="19"/>
      <c r="M13" s="19"/>
      <c r="N13" s="19"/>
      <c r="O13" s="19"/>
      <c r="P13" s="19"/>
      <c r="Q13" s="28"/>
      <c r="R13" s="19"/>
      <c r="S13" s="19"/>
      <c r="T13" s="19"/>
      <c r="V13" s="19"/>
      <c r="W13" s="19"/>
      <c r="X13" s="19"/>
      <c r="Y13" s="19"/>
      <c r="AA13" s="45"/>
      <c r="AG13" s="45"/>
      <c r="AM13" s="45"/>
      <c r="AQ13" s="36"/>
    </row>
    <row r="14" spans="1:45" ht="12" customHeight="1" x14ac:dyDescent="0.15">
      <c r="A14" s="51"/>
      <c r="B14" s="29" t="s">
        <v>6</v>
      </c>
      <c r="C14" s="28"/>
      <c r="D14" s="19"/>
      <c r="E14" s="19"/>
      <c r="F14" s="19"/>
      <c r="G14" s="19"/>
      <c r="H14" s="19"/>
      <c r="I14" s="19"/>
      <c r="J14" s="19"/>
      <c r="K14" s="19"/>
      <c r="L14" s="19"/>
      <c r="M14" s="19"/>
      <c r="N14" s="19"/>
      <c r="O14" s="19"/>
      <c r="P14" s="19"/>
      <c r="Q14" s="28"/>
      <c r="R14" s="19"/>
      <c r="S14" s="19"/>
      <c r="T14" s="21" t="s">
        <v>153</v>
      </c>
      <c r="V14" s="19"/>
      <c r="W14" s="19"/>
      <c r="X14" s="28"/>
      <c r="Y14" s="28"/>
      <c r="Z14" s="22" t="s">
        <v>57</v>
      </c>
      <c r="AA14" s="53"/>
      <c r="AB14" s="23"/>
      <c r="AC14" s="23"/>
      <c r="AD14" s="23"/>
      <c r="AE14" s="23"/>
      <c r="AF14" s="22" t="s">
        <v>58</v>
      </c>
      <c r="AG14" s="180"/>
      <c r="AH14" s="24"/>
      <c r="AI14" s="24"/>
      <c r="AJ14" s="24"/>
      <c r="AK14" s="24"/>
      <c r="AL14" s="25" t="s">
        <v>59</v>
      </c>
      <c r="AM14" s="180"/>
      <c r="AN14" s="24"/>
      <c r="AO14" s="24"/>
      <c r="AP14" s="24"/>
      <c r="AQ14" s="36"/>
    </row>
    <row r="15" spans="1:45" ht="12" customHeight="1" x14ac:dyDescent="0.15">
      <c r="A15" s="51"/>
      <c r="B15" s="354" t="s">
        <v>8</v>
      </c>
      <c r="C15" s="355"/>
      <c r="D15" s="355"/>
      <c r="E15" s="355"/>
      <c r="F15" s="355" t="s">
        <v>9</v>
      </c>
      <c r="G15" s="355"/>
      <c r="H15" s="355"/>
      <c r="I15" s="355" t="s">
        <v>10</v>
      </c>
      <c r="J15" s="355"/>
      <c r="K15" s="355"/>
      <c r="L15" s="355" t="s">
        <v>11</v>
      </c>
      <c r="M15" s="355"/>
      <c r="N15" s="355"/>
      <c r="O15" s="355" t="s">
        <v>12</v>
      </c>
      <c r="P15" s="355"/>
      <c r="Q15" s="356"/>
      <c r="R15" s="28"/>
      <c r="S15" s="19"/>
      <c r="T15" s="19" t="s">
        <v>154</v>
      </c>
      <c r="Z15" s="31"/>
      <c r="AA15" s="171"/>
      <c r="AB15" s="172"/>
      <c r="AC15" s="172"/>
      <c r="AD15" s="32"/>
      <c r="AE15" s="33"/>
      <c r="AF15" s="34"/>
      <c r="AG15" s="176"/>
      <c r="AH15" s="177"/>
      <c r="AI15" s="177"/>
      <c r="AJ15" s="35"/>
      <c r="AK15" s="28"/>
      <c r="AL15" s="34"/>
      <c r="AM15" s="171"/>
      <c r="AN15" s="177"/>
      <c r="AO15" s="177"/>
      <c r="AP15" s="35"/>
      <c r="AQ15" s="48"/>
    </row>
    <row r="16" spans="1:45" ht="12" customHeight="1" x14ac:dyDescent="0.15">
      <c r="A16" s="51"/>
      <c r="B16" s="404"/>
      <c r="C16" s="405"/>
      <c r="D16" s="405"/>
      <c r="E16" s="405"/>
      <c r="F16" s="410"/>
      <c r="G16" s="410"/>
      <c r="H16" s="410"/>
      <c r="I16" s="413"/>
      <c r="J16" s="413"/>
      <c r="K16" s="413"/>
      <c r="L16" s="416"/>
      <c r="M16" s="416"/>
      <c r="N16" s="416"/>
      <c r="O16" s="416"/>
      <c r="P16" s="416"/>
      <c r="Q16" s="419"/>
      <c r="R16" s="28"/>
      <c r="S16" s="19"/>
      <c r="T16" s="19"/>
      <c r="U16" s="19" t="s">
        <v>155</v>
      </c>
      <c r="V16" s="19"/>
      <c r="W16" s="19"/>
      <c r="X16" s="28"/>
      <c r="Y16" s="28"/>
      <c r="Z16" s="49"/>
      <c r="AA16" s="294">
        <f ca="1">SUM(start_basic:end_basic!CR2)</f>
        <v>25</v>
      </c>
      <c r="AB16" s="295"/>
      <c r="AC16" s="33" t="s">
        <v>25</v>
      </c>
      <c r="AD16" s="37"/>
      <c r="AE16" s="33"/>
      <c r="AF16" s="38"/>
      <c r="AG16" s="296">
        <f>SUM(start_business:end_business!CR2)</f>
        <v>0</v>
      </c>
      <c r="AH16" s="297"/>
      <c r="AI16" s="39" t="s">
        <v>25</v>
      </c>
      <c r="AJ16" s="40"/>
      <c r="AK16" s="28"/>
      <c r="AL16" s="38"/>
      <c r="AM16" s="294">
        <f ca="1">Basic_Test_Item_Number+Business_Test_Item_Number</f>
        <v>25</v>
      </c>
      <c r="AN16" s="309"/>
      <c r="AO16" s="39" t="s">
        <v>25</v>
      </c>
      <c r="AP16" s="40"/>
      <c r="AQ16" s="36"/>
    </row>
    <row r="17" spans="1:43" ht="12" customHeight="1" x14ac:dyDescent="0.15">
      <c r="A17" s="51"/>
      <c r="B17" s="406"/>
      <c r="C17" s="407"/>
      <c r="D17" s="407"/>
      <c r="E17" s="407"/>
      <c r="F17" s="411"/>
      <c r="G17" s="411"/>
      <c r="H17" s="411"/>
      <c r="I17" s="414"/>
      <c r="J17" s="414"/>
      <c r="K17" s="414"/>
      <c r="L17" s="417"/>
      <c r="M17" s="417"/>
      <c r="N17" s="417"/>
      <c r="O17" s="417"/>
      <c r="P17" s="417"/>
      <c r="Q17" s="420"/>
      <c r="S17" s="19"/>
      <c r="T17" s="19"/>
      <c r="U17" s="22" t="s">
        <v>156</v>
      </c>
      <c r="Z17" s="42"/>
      <c r="AA17" s="298">
        <f ca="1">IF(Development_Scale="","",Basic_Test_Item_Number/Development_Scale)</f>
        <v>25000</v>
      </c>
      <c r="AB17" s="299"/>
      <c r="AC17" s="33" t="str">
        <f>"Item/" &amp; $O$12</f>
        <v>Item/KS</v>
      </c>
      <c r="AD17" s="37"/>
      <c r="AE17" s="33"/>
      <c r="AF17" s="18"/>
      <c r="AG17" s="298">
        <f>IF(Development_Scale="","",Business_Test_Item_Number/Development_Scale)</f>
        <v>0</v>
      </c>
      <c r="AH17" s="300"/>
      <c r="AI17" s="39" t="s">
        <v>60</v>
      </c>
      <c r="AJ17" s="40" t="str">
        <f>$O$12</f>
        <v>KS</v>
      </c>
      <c r="AK17" s="28"/>
      <c r="AL17" s="18"/>
      <c r="AM17" s="298">
        <f ca="1">IF(Development_Scale="","",Total_Test_Item_Number/Development_Scale)</f>
        <v>25000</v>
      </c>
      <c r="AN17" s="300"/>
      <c r="AO17" s="33" t="str">
        <f>"Item/" &amp; $O$12</f>
        <v>Item/KS</v>
      </c>
      <c r="AP17" s="48"/>
      <c r="AQ17" s="36"/>
    </row>
    <row r="18" spans="1:43" ht="12" customHeight="1" x14ac:dyDescent="0.15">
      <c r="A18" s="51"/>
      <c r="B18" s="408"/>
      <c r="C18" s="409"/>
      <c r="D18" s="409"/>
      <c r="E18" s="409"/>
      <c r="F18" s="412"/>
      <c r="G18" s="412"/>
      <c r="H18" s="412"/>
      <c r="I18" s="415"/>
      <c r="J18" s="415"/>
      <c r="K18" s="415"/>
      <c r="L18" s="418"/>
      <c r="M18" s="418"/>
      <c r="N18" s="418"/>
      <c r="O18" s="418"/>
      <c r="P18" s="418"/>
      <c r="Q18" s="421"/>
      <c r="R18" s="28"/>
      <c r="S18" s="19"/>
      <c r="T18" s="19" t="s">
        <v>157</v>
      </c>
      <c r="U18" s="19"/>
      <c r="Z18" s="49"/>
      <c r="AA18" s="43"/>
      <c r="AB18" s="47"/>
      <c r="AC18" s="47"/>
      <c r="AD18" s="48"/>
      <c r="AF18" s="46"/>
      <c r="AG18" s="43"/>
      <c r="AH18" s="47"/>
      <c r="AI18" s="47"/>
      <c r="AJ18" s="48"/>
      <c r="AL18" s="46"/>
      <c r="AM18" s="43"/>
      <c r="AN18" s="47"/>
      <c r="AO18" s="47"/>
      <c r="AP18" s="58"/>
      <c r="AQ18" s="36"/>
    </row>
    <row r="19" spans="1:43" ht="12" customHeight="1" x14ac:dyDescent="0.15">
      <c r="A19" s="51"/>
      <c r="B19" s="28"/>
      <c r="C19" s="39"/>
      <c r="D19" s="39"/>
      <c r="E19" s="39"/>
      <c r="I19" s="39"/>
      <c r="J19" s="39"/>
      <c r="K19" s="28"/>
      <c r="L19" s="28"/>
      <c r="M19" s="28"/>
      <c r="N19" s="28"/>
      <c r="O19" s="28"/>
      <c r="P19" s="28"/>
      <c r="Q19" s="28"/>
      <c r="R19" s="28"/>
      <c r="U19" s="19" t="s">
        <v>158</v>
      </c>
      <c r="Z19" s="49"/>
      <c r="AA19" s="294">
        <f ca="1">SUM(start_basic:end_basic!CX6)</f>
        <v>1</v>
      </c>
      <c r="AB19" s="295"/>
      <c r="AC19" s="33" t="s">
        <v>25</v>
      </c>
      <c r="AD19" s="37"/>
      <c r="AE19" s="33"/>
      <c r="AF19" s="51"/>
      <c r="AG19" s="296">
        <f>SUM(start_business:end_business!CX6)</f>
        <v>0</v>
      </c>
      <c r="AH19" s="297"/>
      <c r="AI19" s="39" t="s">
        <v>25</v>
      </c>
      <c r="AJ19" s="40"/>
      <c r="AK19" s="28"/>
      <c r="AL19" s="51"/>
      <c r="AM19" s="294">
        <f ca="1">Basic_Defect_Number+Business_Defect_Number</f>
        <v>1</v>
      </c>
      <c r="AN19" s="309"/>
      <c r="AO19" s="39" t="s">
        <v>25</v>
      </c>
      <c r="AP19" s="61"/>
      <c r="AQ19" s="36"/>
    </row>
    <row r="20" spans="1:43" ht="12" customHeight="1" x14ac:dyDescent="0.15">
      <c r="A20" s="18"/>
      <c r="B20" s="29" t="s">
        <v>89</v>
      </c>
      <c r="C20" s="62"/>
      <c r="D20" s="62"/>
      <c r="E20" s="62"/>
      <c r="I20" s="28"/>
      <c r="J20" s="28"/>
      <c r="K20" s="28"/>
      <c r="L20" s="28"/>
      <c r="M20" s="28"/>
      <c r="N20" s="28"/>
      <c r="O20" s="28"/>
      <c r="P20" s="28"/>
      <c r="Q20" s="28"/>
      <c r="R20" s="28"/>
      <c r="U20" s="19" t="s">
        <v>159</v>
      </c>
      <c r="Z20" s="49"/>
      <c r="AA20" s="298">
        <f ca="1">IF(Development_Scale="","",Basic_Defect_Number/Development_Scale)</f>
        <v>1000</v>
      </c>
      <c r="AB20" s="299"/>
      <c r="AC20" s="33" t="str">
        <f>"Item/" &amp; $O$12</f>
        <v>Item/KS</v>
      </c>
      <c r="AD20" s="37"/>
      <c r="AE20" s="33"/>
      <c r="AF20" s="55"/>
      <c r="AG20" s="298">
        <f>IF(Development_Scale="","",Business_Defect_Number/Development_Scale)</f>
        <v>0</v>
      </c>
      <c r="AH20" s="300"/>
      <c r="AI20" s="39" t="s">
        <v>60</v>
      </c>
      <c r="AJ20" s="40" t="str">
        <f>$O$12</f>
        <v>KS</v>
      </c>
      <c r="AK20" s="28"/>
      <c r="AL20" s="55"/>
      <c r="AM20" s="298">
        <f ca="1">IF(Development_Scale="","",Total_Defect_Number/Development_Scale)</f>
        <v>1000</v>
      </c>
      <c r="AN20" s="300"/>
      <c r="AO20" s="33" t="str">
        <f>"Item/" &amp; $O$12</f>
        <v>Item/KS</v>
      </c>
      <c r="AP20" s="61"/>
      <c r="AQ20" s="36"/>
    </row>
    <row r="21" spans="1:43" ht="12" customHeight="1" x14ac:dyDescent="0.15">
      <c r="A21" s="51"/>
      <c r="B21" s="354" t="s">
        <v>8</v>
      </c>
      <c r="C21" s="355"/>
      <c r="D21" s="355"/>
      <c r="E21" s="355"/>
      <c r="F21" s="355" t="s">
        <v>9</v>
      </c>
      <c r="G21" s="355"/>
      <c r="H21" s="355"/>
      <c r="I21" s="355" t="s">
        <v>10</v>
      </c>
      <c r="J21" s="355"/>
      <c r="K21" s="355"/>
      <c r="L21" s="355" t="s">
        <v>11</v>
      </c>
      <c r="M21" s="355"/>
      <c r="N21" s="355"/>
      <c r="O21" s="355" t="s">
        <v>13</v>
      </c>
      <c r="P21" s="355"/>
      <c r="Q21" s="356"/>
      <c r="R21" s="28"/>
      <c r="T21" s="30" t="s">
        <v>160</v>
      </c>
      <c r="Z21" s="42"/>
      <c r="AA21" s="43"/>
      <c r="AB21" s="43"/>
      <c r="AC21" s="43"/>
      <c r="AD21" s="44"/>
      <c r="AE21" s="45"/>
      <c r="AF21" s="46"/>
      <c r="AG21" s="47"/>
      <c r="AH21" s="47"/>
      <c r="AI21" s="47"/>
      <c r="AJ21" s="48"/>
      <c r="AL21" s="46"/>
      <c r="AM21" s="47"/>
      <c r="AN21" s="47"/>
      <c r="AO21" s="47"/>
      <c r="AP21" s="48"/>
      <c r="AQ21" s="36"/>
    </row>
    <row r="22" spans="1:43" ht="12" customHeight="1" x14ac:dyDescent="0.15">
      <c r="A22" s="51"/>
      <c r="B22" s="404"/>
      <c r="C22" s="405"/>
      <c r="D22" s="405"/>
      <c r="E22" s="405"/>
      <c r="F22" s="410"/>
      <c r="G22" s="410"/>
      <c r="H22" s="410"/>
      <c r="I22" s="413"/>
      <c r="J22" s="413"/>
      <c r="K22" s="413"/>
      <c r="L22" s="416"/>
      <c r="M22" s="416"/>
      <c r="N22" s="416"/>
      <c r="O22" s="416"/>
      <c r="P22" s="416"/>
      <c r="Q22" s="419"/>
      <c r="R22" s="28"/>
      <c r="U22" s="202" t="str">
        <f ca="1">IF(INDIRECT("'Code Table'!C4")="","",INDIRECT("'Code Table'!C4"))</f>
        <v>RD</v>
      </c>
      <c r="Z22" s="49"/>
      <c r="AA22" s="424">
        <f ca="1">IF(Cause_Phase_1="","",SUM(start_basic:end_basic!ET10))</f>
        <v>0</v>
      </c>
      <c r="AB22" s="425"/>
      <c r="AC22" s="33" t="s">
        <v>25</v>
      </c>
      <c r="AD22" s="56"/>
      <c r="AE22" s="57"/>
      <c r="AF22" s="51"/>
      <c r="AG22" s="426">
        <f ca="1">IF(Cause_Phase_1="","",SUM(start_business:end_business!ET10))</f>
        <v>0</v>
      </c>
      <c r="AH22" s="427"/>
      <c r="AI22" s="33" t="s">
        <v>25</v>
      </c>
      <c r="AJ22" s="58"/>
      <c r="AK22" s="28"/>
      <c r="AL22" s="51"/>
      <c r="AM22" s="294">
        <f ca="1">IF(Cause_Phase_1="","",SUM(Basic_Cause_Phase_1,Business_Cause_Phase_1))</f>
        <v>0</v>
      </c>
      <c r="AN22" s="309"/>
      <c r="AO22" s="33" t="s">
        <v>28</v>
      </c>
      <c r="AP22" s="58"/>
      <c r="AQ22" s="36"/>
    </row>
    <row r="23" spans="1:43" ht="12" customHeight="1" x14ac:dyDescent="0.15">
      <c r="A23" s="51"/>
      <c r="B23" s="406"/>
      <c r="C23" s="407"/>
      <c r="D23" s="407"/>
      <c r="E23" s="407"/>
      <c r="F23" s="411"/>
      <c r="G23" s="411"/>
      <c r="H23" s="411"/>
      <c r="I23" s="414"/>
      <c r="J23" s="414"/>
      <c r="K23" s="414"/>
      <c r="L23" s="417"/>
      <c r="M23" s="417"/>
      <c r="N23" s="417"/>
      <c r="O23" s="417"/>
      <c r="P23" s="417"/>
      <c r="Q23" s="420"/>
      <c r="R23" s="28"/>
      <c r="U23" s="202" t="str">
        <f ca="1">IF(INDIRECT("'Code Table'!C5")="","",INDIRECT("'Code Table'!C5"))</f>
        <v>UI</v>
      </c>
      <c r="Z23" s="49"/>
      <c r="AA23" s="305">
        <f ca="1">IF(Cause_Phase_2="","",SUM(start_basic:end_basic!EU10))</f>
        <v>0</v>
      </c>
      <c r="AB23" s="306"/>
      <c r="AC23" s="33" t="s">
        <v>25</v>
      </c>
      <c r="AD23" s="59"/>
      <c r="AE23" s="60"/>
      <c r="AF23" s="51"/>
      <c r="AG23" s="301">
        <f ca="1">IF(Cause_Phase_2="","",SUM(start_business:end_business!EU10))</f>
        <v>0</v>
      </c>
      <c r="AH23" s="302"/>
      <c r="AI23" s="33" t="s">
        <v>25</v>
      </c>
      <c r="AJ23" s="61"/>
      <c r="AK23" s="28"/>
      <c r="AL23" s="51"/>
      <c r="AM23" s="305">
        <f ca="1">IF(Cause_Phase_2="","",SUM(Basic_Cause_Phase_2,Business_Cause_Phase_2))</f>
        <v>0</v>
      </c>
      <c r="AN23" s="306"/>
      <c r="AO23" s="33" t="s">
        <v>25</v>
      </c>
      <c r="AP23" s="61"/>
      <c r="AQ23" s="36"/>
    </row>
    <row r="24" spans="1:43" ht="12" customHeight="1" x14ac:dyDescent="0.15">
      <c r="A24" s="51"/>
      <c r="B24" s="408"/>
      <c r="C24" s="409"/>
      <c r="D24" s="409"/>
      <c r="E24" s="409"/>
      <c r="F24" s="412"/>
      <c r="G24" s="412"/>
      <c r="H24" s="412"/>
      <c r="I24" s="415"/>
      <c r="J24" s="415"/>
      <c r="K24" s="415"/>
      <c r="L24" s="418"/>
      <c r="M24" s="418"/>
      <c r="N24" s="418"/>
      <c r="O24" s="418"/>
      <c r="P24" s="418"/>
      <c r="Q24" s="421"/>
      <c r="R24" s="28"/>
      <c r="S24" s="19"/>
      <c r="T24" s="19"/>
      <c r="U24" s="202" t="str">
        <f ca="1">IF(INDIRECT("'Code Table'!C6")="","",INDIRECT("'Code Table'!C6"))</f>
        <v>SS</v>
      </c>
      <c r="V24" s="19"/>
      <c r="W24" s="19"/>
      <c r="X24" s="28"/>
      <c r="Y24" s="28"/>
      <c r="Z24" s="49"/>
      <c r="AA24" s="305">
        <f ca="1">IF(Cause_Phase_3="","",SUM(start_basic:end_basic!EV10))</f>
        <v>0</v>
      </c>
      <c r="AB24" s="306"/>
      <c r="AC24" s="33" t="s">
        <v>25</v>
      </c>
      <c r="AD24" s="59"/>
      <c r="AE24" s="60"/>
      <c r="AF24" s="51"/>
      <c r="AG24" s="307">
        <f ca="1">IF(Cause_Phase_3="","",SUM(start_business:end_business!EV10))</f>
        <v>0</v>
      </c>
      <c r="AH24" s="308"/>
      <c r="AI24" s="33" t="s">
        <v>25</v>
      </c>
      <c r="AJ24" s="61"/>
      <c r="AK24" s="28"/>
      <c r="AL24" s="51"/>
      <c r="AM24" s="305">
        <f ca="1">IF(Cause_Phase_3="","",SUM(Basic_Cause_Phase_3,Business_Cause_Phase_3))</f>
        <v>0</v>
      </c>
      <c r="AN24" s="306"/>
      <c r="AO24" s="33" t="s">
        <v>25</v>
      </c>
      <c r="AP24" s="61"/>
      <c r="AQ24" s="36"/>
    </row>
    <row r="25" spans="1:43" ht="12" customHeight="1" x14ac:dyDescent="0.15">
      <c r="A25" s="51"/>
      <c r="B25" s="28"/>
      <c r="C25" s="28"/>
      <c r="D25" s="28"/>
      <c r="E25" s="28"/>
      <c r="I25" s="28"/>
      <c r="J25" s="28"/>
      <c r="K25" s="28"/>
      <c r="L25" s="28"/>
      <c r="M25" s="28"/>
      <c r="N25" s="28"/>
      <c r="O25" s="28"/>
      <c r="P25" s="28"/>
      <c r="Q25" s="28"/>
      <c r="R25" s="28"/>
      <c r="S25" s="54"/>
      <c r="T25" s="54"/>
      <c r="U25" s="202" t="str">
        <f ca="1">IF(INDIRECT("'Code Table'!C7")="","",INDIRECT("'Code Table'!C7"))</f>
        <v>PS</v>
      </c>
      <c r="V25" s="19"/>
      <c r="W25" s="28"/>
      <c r="X25" s="28"/>
      <c r="Y25" s="28"/>
      <c r="Z25" s="49"/>
      <c r="AA25" s="305">
        <f ca="1">IF(Cause_Phase_4="","",SUM(start_basic:end_basic!EW10))</f>
        <v>0</v>
      </c>
      <c r="AB25" s="306"/>
      <c r="AC25" s="33" t="s">
        <v>25</v>
      </c>
      <c r="AD25" s="59"/>
      <c r="AE25" s="60"/>
      <c r="AF25" s="51"/>
      <c r="AG25" s="307">
        <f ca="1">IF(Cause_Phase_4="","",SUM(start_business:end_business!EW10))</f>
        <v>0</v>
      </c>
      <c r="AH25" s="308"/>
      <c r="AI25" s="33" t="s">
        <v>25</v>
      </c>
      <c r="AJ25" s="61"/>
      <c r="AK25" s="28"/>
      <c r="AL25" s="51"/>
      <c r="AM25" s="305">
        <f ca="1">IF(Cause_Phase_4="","",SUM(Basic_Cause_Phase_4,Business_Cause_Phase_4))</f>
        <v>0</v>
      </c>
      <c r="AN25" s="306"/>
      <c r="AO25" s="33" t="s">
        <v>25</v>
      </c>
      <c r="AP25" s="61"/>
      <c r="AQ25" s="36"/>
    </row>
    <row r="26" spans="1:43" ht="12" customHeight="1" x14ac:dyDescent="0.15">
      <c r="A26" s="51"/>
      <c r="B26" s="29" t="s">
        <v>7</v>
      </c>
      <c r="C26" s="28"/>
      <c r="D26" s="28"/>
      <c r="E26" s="28"/>
      <c r="I26" s="28"/>
      <c r="J26" s="28"/>
      <c r="K26" s="28"/>
      <c r="L26" s="28"/>
      <c r="M26" s="28"/>
      <c r="N26" s="28"/>
      <c r="O26" s="28"/>
      <c r="P26" s="28"/>
      <c r="Q26" s="28"/>
      <c r="R26" s="28"/>
      <c r="S26" s="54"/>
      <c r="T26" s="54"/>
      <c r="U26" s="202" t="str">
        <f ca="1">IF(INDIRECT("'Code Table'!C8")="","",INDIRECT("'Code Table'!C8"))</f>
        <v>PG</v>
      </c>
      <c r="V26" s="19"/>
      <c r="W26" s="28"/>
      <c r="X26" s="28"/>
      <c r="Y26" s="28"/>
      <c r="Z26" s="49"/>
      <c r="AA26" s="305">
        <f ca="1">IF(Cause_Phase_5="","",SUM(start_basic:end_basic!EX10))</f>
        <v>0</v>
      </c>
      <c r="AB26" s="306"/>
      <c r="AC26" s="33" t="s">
        <v>25</v>
      </c>
      <c r="AD26" s="44"/>
      <c r="AE26" s="43"/>
      <c r="AF26" s="51"/>
      <c r="AG26" s="307">
        <f ca="1">IF(Cause_Phase_5="","",SUM(start_business:end_business!EX10))</f>
        <v>0</v>
      </c>
      <c r="AH26" s="308"/>
      <c r="AI26" s="33" t="s">
        <v>25</v>
      </c>
      <c r="AJ26" s="36"/>
      <c r="AK26" s="28"/>
      <c r="AL26" s="51"/>
      <c r="AM26" s="305">
        <f ca="1">IF(Cause_Phase_5="","",SUM(Basic_Cause_Phase_5,Business_Cause_Phase_5))</f>
        <v>0</v>
      </c>
      <c r="AN26" s="306"/>
      <c r="AO26" s="33" t="s">
        <v>25</v>
      </c>
      <c r="AP26" s="36"/>
      <c r="AQ26" s="36"/>
    </row>
    <row r="27" spans="1:43" ht="12" customHeight="1" x14ac:dyDescent="0.15">
      <c r="A27" s="51"/>
      <c r="B27" s="354" t="s">
        <v>8</v>
      </c>
      <c r="C27" s="355"/>
      <c r="D27" s="355"/>
      <c r="E27" s="355"/>
      <c r="F27" s="355" t="s">
        <v>9</v>
      </c>
      <c r="G27" s="355"/>
      <c r="H27" s="355"/>
      <c r="I27" s="355" t="s">
        <v>10</v>
      </c>
      <c r="J27" s="355"/>
      <c r="K27" s="355"/>
      <c r="L27" s="355" t="s">
        <v>11</v>
      </c>
      <c r="M27" s="355"/>
      <c r="N27" s="355"/>
      <c r="O27" s="355" t="s">
        <v>13</v>
      </c>
      <c r="P27" s="355"/>
      <c r="Q27" s="356"/>
      <c r="R27" s="28"/>
      <c r="S27" s="54"/>
      <c r="T27" s="54"/>
      <c r="U27" s="202" t="str">
        <f ca="1">IF(INDIRECT("'Code Table'!C9")="","",INDIRECT("'Code Table'!C9"))</f>
        <v>PT</v>
      </c>
      <c r="V27" s="54"/>
      <c r="W27" s="54"/>
      <c r="X27" s="54"/>
      <c r="Y27" s="54"/>
      <c r="Z27" s="49"/>
      <c r="AA27" s="305">
        <f ca="1">IF(Cause_Phase_6="","",SUM(start_basic:end_basic!EY10))</f>
        <v>0</v>
      </c>
      <c r="AB27" s="306"/>
      <c r="AC27" s="33" t="s">
        <v>25</v>
      </c>
      <c r="AD27" s="44"/>
      <c r="AE27" s="43"/>
      <c r="AF27" s="51"/>
      <c r="AG27" s="422">
        <f ca="1">IF(Cause_Phase_6="","",SUM(start_business:end_business!EY10))</f>
        <v>0</v>
      </c>
      <c r="AH27" s="423"/>
      <c r="AI27" s="33" t="s">
        <v>25</v>
      </c>
      <c r="AJ27" s="36"/>
      <c r="AK27" s="28"/>
      <c r="AL27" s="51"/>
      <c r="AM27" s="305">
        <f ca="1">IF(Cause_Phase_6="","",SUM(Basic_Cause_Phase_6,Business_Cause_Phase_6))</f>
        <v>0</v>
      </c>
      <c r="AN27" s="306"/>
      <c r="AO27" s="33" t="s">
        <v>25</v>
      </c>
      <c r="AP27" s="36"/>
      <c r="AQ27" s="36"/>
    </row>
    <row r="28" spans="1:43" ht="12" customHeight="1" x14ac:dyDescent="0.15">
      <c r="A28" s="51"/>
      <c r="B28" s="404"/>
      <c r="C28" s="405"/>
      <c r="D28" s="405"/>
      <c r="E28" s="405"/>
      <c r="F28" s="410"/>
      <c r="G28" s="410"/>
      <c r="H28" s="410"/>
      <c r="I28" s="413"/>
      <c r="J28" s="413"/>
      <c r="K28" s="413"/>
      <c r="L28" s="416"/>
      <c r="M28" s="416"/>
      <c r="N28" s="416"/>
      <c r="O28" s="416"/>
      <c r="P28" s="416"/>
      <c r="Q28" s="419"/>
      <c r="R28" s="28"/>
      <c r="S28" s="19"/>
      <c r="T28" s="19"/>
      <c r="U28" s="202" t="str">
        <f ca="1">IF(INDIRECT("'Code Table'!C10")="","",INDIRECT("'Code Table'!C10"))</f>
        <v>PTU</v>
      </c>
      <c r="V28" s="54"/>
      <c r="W28" s="54"/>
      <c r="X28" s="54"/>
      <c r="Y28" s="54"/>
      <c r="Z28" s="49"/>
      <c r="AA28" s="305">
        <f ca="1">IF(Cause_Phase_7="","",SUM(start_basic:end_basic!EZ10))</f>
        <v>0</v>
      </c>
      <c r="AB28" s="306"/>
      <c r="AC28" s="33" t="s">
        <v>25</v>
      </c>
      <c r="AD28" s="59"/>
      <c r="AE28" s="60"/>
      <c r="AF28" s="51"/>
      <c r="AG28" s="301">
        <f ca="1">IF(Cause_Phase_7="","",SUM(start_business:end_business!EZ10))</f>
        <v>0</v>
      </c>
      <c r="AH28" s="302"/>
      <c r="AI28" s="33" t="s">
        <v>25</v>
      </c>
      <c r="AJ28" s="61"/>
      <c r="AK28" s="28"/>
      <c r="AL28" s="51"/>
      <c r="AM28" s="305">
        <f ca="1">IF(Cause_Phase_7="","",SUM(Basic_Cause_Phase_7,Business_Cause_Phase_7))</f>
        <v>0</v>
      </c>
      <c r="AN28" s="306"/>
      <c r="AO28" s="33" t="s">
        <v>25</v>
      </c>
      <c r="AP28" s="61"/>
      <c r="AQ28" s="36"/>
    </row>
    <row r="29" spans="1:43" ht="12" customHeight="1" x14ac:dyDescent="0.15">
      <c r="A29" s="51"/>
      <c r="B29" s="406"/>
      <c r="C29" s="407"/>
      <c r="D29" s="407"/>
      <c r="E29" s="407"/>
      <c r="F29" s="411"/>
      <c r="G29" s="411"/>
      <c r="H29" s="411"/>
      <c r="I29" s="414"/>
      <c r="J29" s="414"/>
      <c r="K29" s="414"/>
      <c r="L29" s="417"/>
      <c r="M29" s="417"/>
      <c r="N29" s="417"/>
      <c r="O29" s="417"/>
      <c r="P29" s="417"/>
      <c r="Q29" s="420"/>
      <c r="R29" s="28"/>
      <c r="S29" s="54"/>
      <c r="T29" s="54"/>
      <c r="U29" s="202" t="str">
        <f ca="1">IF(INDIRECT("'Code Table'!C11")="","",INDIRECT("'Code Table'!C11"))</f>
        <v>IT</v>
      </c>
      <c r="V29" s="54"/>
      <c r="W29" s="54"/>
      <c r="X29" s="54"/>
      <c r="Y29" s="54"/>
      <c r="Z29" s="49"/>
      <c r="AA29" s="305">
        <f ca="1">IF(Cause_Phase_8="","",SUM(start_basic:end_basic!FA10))</f>
        <v>0</v>
      </c>
      <c r="AB29" s="306"/>
      <c r="AC29" s="33" t="s">
        <v>25</v>
      </c>
      <c r="AD29" s="59"/>
      <c r="AE29" s="60"/>
      <c r="AF29" s="51"/>
      <c r="AG29" s="301">
        <f ca="1">IF(Cause_Phase_8="","",SUM(start_business:end_business!FA10))</f>
        <v>0</v>
      </c>
      <c r="AH29" s="302"/>
      <c r="AI29" s="33" t="s">
        <v>25</v>
      </c>
      <c r="AJ29" s="61"/>
      <c r="AK29" s="28"/>
      <c r="AL29" s="51"/>
      <c r="AM29" s="305">
        <f ca="1">IF(Cause_Phase_8="","",SUM(Basic_Cause_Phase_8,Business_Cause_Phase_8))</f>
        <v>0</v>
      </c>
      <c r="AN29" s="306"/>
      <c r="AO29" s="33" t="s">
        <v>25</v>
      </c>
      <c r="AP29" s="61"/>
      <c r="AQ29" s="36"/>
    </row>
    <row r="30" spans="1:43" ht="12" customHeight="1" x14ac:dyDescent="0.15">
      <c r="A30" s="51"/>
      <c r="B30" s="408"/>
      <c r="C30" s="409"/>
      <c r="D30" s="409"/>
      <c r="E30" s="409"/>
      <c r="F30" s="412"/>
      <c r="G30" s="412"/>
      <c r="H30" s="412"/>
      <c r="I30" s="415"/>
      <c r="J30" s="415"/>
      <c r="K30" s="415"/>
      <c r="L30" s="418"/>
      <c r="M30" s="418"/>
      <c r="N30" s="418"/>
      <c r="O30" s="418"/>
      <c r="P30" s="418"/>
      <c r="Q30" s="421"/>
      <c r="R30" s="28"/>
      <c r="S30" s="54"/>
      <c r="T30" s="54"/>
      <c r="U30" s="202" t="str">
        <f ca="1">IF(INDIRECT("'Code Table'!C12")="","",INDIRECT("'Code Table'!C12"))</f>
        <v>IT2</v>
      </c>
      <c r="V30" s="54"/>
      <c r="W30" s="54"/>
      <c r="X30" s="54"/>
      <c r="Y30" s="54"/>
      <c r="Z30" s="49"/>
      <c r="AA30" s="305">
        <f ca="1">IF(Cause_Phase_9="","",SUM(start_basic:end_basic!FB10))</f>
        <v>0</v>
      </c>
      <c r="AB30" s="306"/>
      <c r="AC30" s="33" t="s">
        <v>25</v>
      </c>
      <c r="AD30" s="44"/>
      <c r="AE30" s="43"/>
      <c r="AF30" s="51"/>
      <c r="AG30" s="301">
        <f ca="1">IF(Cause_Phase_9="","",SUM(start_business:end_business!FB10))</f>
        <v>0</v>
      </c>
      <c r="AH30" s="302"/>
      <c r="AI30" s="33" t="s">
        <v>25</v>
      </c>
      <c r="AJ30" s="36"/>
      <c r="AK30" s="28"/>
      <c r="AL30" s="51"/>
      <c r="AM30" s="305">
        <f ca="1">IF(Cause_Phase_9="","",SUM(Basic_Cause_Phase_9,Business_Cause_Phase_9))</f>
        <v>0</v>
      </c>
      <c r="AN30" s="306"/>
      <c r="AO30" s="33" t="s">
        <v>25</v>
      </c>
      <c r="AP30" s="36"/>
      <c r="AQ30" s="36"/>
    </row>
    <row r="31" spans="1:43" ht="12" customHeight="1" x14ac:dyDescent="0.15">
      <c r="A31" s="51"/>
      <c r="B31" s="28"/>
      <c r="C31" s="28"/>
      <c r="D31" s="28"/>
      <c r="E31" s="28"/>
      <c r="F31" s="28"/>
      <c r="G31" s="28"/>
      <c r="H31" s="28"/>
      <c r="I31" s="28"/>
      <c r="J31" s="28"/>
      <c r="K31" s="28"/>
      <c r="L31" s="28"/>
      <c r="M31" s="28"/>
      <c r="N31" s="28"/>
      <c r="O31" s="28"/>
      <c r="P31" s="28"/>
      <c r="Q31" s="28"/>
      <c r="R31" s="28"/>
      <c r="S31" s="54"/>
      <c r="T31" s="54"/>
      <c r="U31" s="202" t="str">
        <f ca="1">IF(INDIRECT("'Code Table'!C13")="","",INDIRECT("'Code Table'!C13"))</f>
        <v>IT3</v>
      </c>
      <c r="V31" s="19"/>
      <c r="W31" s="28"/>
      <c r="X31" s="28"/>
      <c r="Y31" s="28"/>
      <c r="Z31" s="49"/>
      <c r="AA31" s="292">
        <f ca="1">IF(Cause_Phase_10="","",SUM(start_basic:end_basic!FC10))</f>
        <v>0</v>
      </c>
      <c r="AB31" s="293"/>
      <c r="AC31" s="33" t="s">
        <v>25</v>
      </c>
      <c r="AD31" s="44"/>
      <c r="AE31" s="43"/>
      <c r="AF31" s="51"/>
      <c r="AG31" s="303">
        <f ca="1">IF(Cause_Phase_10="","",SUM(start_business:end_business!FC10))</f>
        <v>0</v>
      </c>
      <c r="AH31" s="304"/>
      <c r="AI31" s="33" t="s">
        <v>25</v>
      </c>
      <c r="AJ31" s="36"/>
      <c r="AK31" s="28"/>
      <c r="AL31" s="51"/>
      <c r="AM31" s="292">
        <f ca="1">IF(Cause_Phase_10="","",SUM(Basic_Cause_Phase_10,Business_Cause_Phase_10))</f>
        <v>0</v>
      </c>
      <c r="AN31" s="293"/>
      <c r="AO31" s="33" t="s">
        <v>25</v>
      </c>
      <c r="AP31" s="36"/>
      <c r="AQ31" s="36"/>
    </row>
    <row r="32" spans="1:43" ht="12" customHeight="1" x14ac:dyDescent="0.15">
      <c r="A32" s="51"/>
      <c r="B32" s="29" t="s">
        <v>14</v>
      </c>
      <c r="C32" s="28"/>
      <c r="D32" s="28"/>
      <c r="E32" s="28"/>
      <c r="F32" s="28"/>
      <c r="G32" s="28"/>
      <c r="H32" s="28"/>
      <c r="I32" s="28"/>
      <c r="J32" s="28"/>
      <c r="K32" s="28"/>
      <c r="L32" s="28"/>
      <c r="M32" s="28"/>
      <c r="N32" s="28"/>
      <c r="O32" s="28"/>
      <c r="P32" s="28"/>
      <c r="Q32" s="28"/>
      <c r="R32" s="28"/>
      <c r="S32" s="19"/>
      <c r="T32" s="19" t="s">
        <v>37</v>
      </c>
      <c r="V32" s="47"/>
      <c r="W32" s="47"/>
      <c r="X32" s="47"/>
      <c r="Y32" s="47"/>
      <c r="Z32" s="67"/>
      <c r="AA32" s="173"/>
      <c r="AB32" s="173"/>
      <c r="AC32" s="174"/>
      <c r="AD32" s="175"/>
      <c r="AE32" s="53"/>
      <c r="AF32" s="70"/>
      <c r="AG32" s="178"/>
      <c r="AH32" s="178"/>
      <c r="AI32" s="174"/>
      <c r="AJ32" s="179"/>
      <c r="AK32" s="28"/>
      <c r="AL32" s="70"/>
      <c r="AM32" s="178"/>
      <c r="AN32" s="178"/>
      <c r="AO32" s="174"/>
      <c r="AP32" s="179"/>
      <c r="AQ32" s="36"/>
    </row>
    <row r="33" spans="1:43" ht="12" customHeight="1" x14ac:dyDescent="0.15">
      <c r="A33" s="51"/>
      <c r="B33" s="22" t="s">
        <v>85</v>
      </c>
      <c r="C33" s="22"/>
      <c r="D33" s="28"/>
      <c r="E33" s="28"/>
      <c r="F33" s="28"/>
      <c r="G33" s="28"/>
      <c r="H33" s="28"/>
      <c r="I33" s="28"/>
      <c r="J33" s="28"/>
      <c r="K33" s="28"/>
      <c r="L33" s="28"/>
      <c r="M33" s="28"/>
      <c r="N33" s="28"/>
      <c r="O33" s="28"/>
      <c r="P33" s="28"/>
      <c r="Q33" s="28"/>
      <c r="R33" s="28"/>
      <c r="S33" s="54"/>
      <c r="T33" s="54"/>
      <c r="U33" s="19" t="s">
        <v>148</v>
      </c>
      <c r="V33" s="28"/>
      <c r="W33" s="28"/>
      <c r="X33" s="28"/>
      <c r="Y33" s="28"/>
      <c r="Z33" s="54"/>
      <c r="AA33" s="54"/>
      <c r="AB33" s="54"/>
      <c r="AC33" s="54"/>
      <c r="AD33" s="54"/>
      <c r="AE33" s="54"/>
      <c r="AF33" s="54"/>
      <c r="AG33" s="54"/>
      <c r="AH33" s="54"/>
      <c r="AI33" s="54"/>
      <c r="AJ33" s="54"/>
      <c r="AK33" s="54"/>
      <c r="AL33" s="54"/>
      <c r="AM33" s="54"/>
      <c r="AN33" s="54"/>
      <c r="AO33" s="54"/>
      <c r="AP33" s="54"/>
      <c r="AQ33" s="36"/>
    </row>
    <row r="34" spans="1:43" ht="12" customHeight="1" x14ac:dyDescent="0.15">
      <c r="A34" s="51"/>
      <c r="B34" s="401" t="s">
        <v>16</v>
      </c>
      <c r="C34" s="402"/>
      <c r="D34" s="403"/>
      <c r="E34" s="355" t="s">
        <v>17</v>
      </c>
      <c r="F34" s="355"/>
      <c r="G34" s="355"/>
      <c r="H34" s="355" t="s">
        <v>18</v>
      </c>
      <c r="I34" s="355"/>
      <c r="J34" s="355"/>
      <c r="K34" s="355" t="s">
        <v>19</v>
      </c>
      <c r="L34" s="355"/>
      <c r="M34" s="355"/>
      <c r="N34" s="355" t="s">
        <v>20</v>
      </c>
      <c r="O34" s="355"/>
      <c r="P34" s="356"/>
      <c r="Q34" s="28"/>
      <c r="R34" s="28"/>
      <c r="S34" s="54"/>
      <c r="T34" s="28"/>
      <c r="U34" s="28"/>
      <c r="V34" s="28"/>
      <c r="W34" s="28"/>
      <c r="X34" s="28"/>
      <c r="Y34" s="28"/>
      <c r="Z34" s="28"/>
      <c r="AA34" s="28"/>
      <c r="AB34" s="28"/>
      <c r="AC34" s="28"/>
      <c r="AD34" s="28"/>
      <c r="AE34" s="28"/>
      <c r="AF34" s="28"/>
      <c r="AG34" s="28"/>
      <c r="AH34" s="28"/>
      <c r="AI34" s="28"/>
      <c r="AJ34" s="28"/>
      <c r="AK34" s="28"/>
      <c r="AL34" s="28"/>
      <c r="AM34" s="28"/>
      <c r="AN34" s="28"/>
      <c r="AO34" s="28"/>
      <c r="AQ34" s="36"/>
    </row>
    <row r="35" spans="1:43" ht="12" customHeight="1" x14ac:dyDescent="0.15">
      <c r="A35" s="51"/>
      <c r="B35" s="381">
        <v>44166</v>
      </c>
      <c r="C35" s="382"/>
      <c r="D35" s="383"/>
      <c r="E35" s="381">
        <v>44166</v>
      </c>
      <c r="F35" s="382"/>
      <c r="G35" s="383"/>
      <c r="H35" s="390" t="s">
        <v>797</v>
      </c>
      <c r="I35" s="391"/>
      <c r="J35" s="391"/>
      <c r="K35" s="400"/>
      <c r="L35" s="394"/>
      <c r="M35" s="394"/>
      <c r="N35" s="390"/>
      <c r="O35" s="391"/>
      <c r="P35" s="397"/>
      <c r="Q35" s="28"/>
      <c r="R35" s="28"/>
      <c r="S35" s="54"/>
      <c r="T35" s="28" t="s">
        <v>162</v>
      </c>
      <c r="U35" s="28"/>
      <c r="V35" s="28"/>
      <c r="W35" s="28"/>
      <c r="X35" s="28"/>
      <c r="Y35" s="43"/>
      <c r="Z35" s="43"/>
      <c r="AA35" s="43"/>
      <c r="AB35" s="43"/>
      <c r="AC35" s="43"/>
      <c r="AD35" s="43"/>
      <c r="AE35" s="28"/>
      <c r="AF35" s="28"/>
      <c r="AG35" s="47"/>
      <c r="AH35" s="47"/>
      <c r="AI35" s="28"/>
      <c r="AJ35" s="28"/>
      <c r="AK35" s="28"/>
      <c r="AL35" s="28"/>
      <c r="AM35" s="28"/>
      <c r="AN35" s="28"/>
      <c r="AO35" s="28"/>
      <c r="AQ35" s="36"/>
    </row>
    <row r="36" spans="1:43" ht="12" customHeight="1" x14ac:dyDescent="0.15">
      <c r="A36" s="51"/>
      <c r="B36" s="384"/>
      <c r="C36" s="385"/>
      <c r="D36" s="386"/>
      <c r="E36" s="384"/>
      <c r="F36" s="385"/>
      <c r="G36" s="386"/>
      <c r="H36" s="392"/>
      <c r="I36" s="392"/>
      <c r="J36" s="392"/>
      <c r="K36" s="395"/>
      <c r="L36" s="395"/>
      <c r="M36" s="395"/>
      <c r="N36" s="392"/>
      <c r="O36" s="392"/>
      <c r="P36" s="398"/>
      <c r="Q36" s="28"/>
      <c r="R36" s="28"/>
      <c r="S36" s="54"/>
      <c r="T36" s="28"/>
      <c r="W36" s="154" t="s">
        <v>35</v>
      </c>
      <c r="X36" s="77"/>
      <c r="Y36" s="78"/>
      <c r="Z36" s="79"/>
      <c r="AA36" s="78"/>
      <c r="AB36" s="78"/>
      <c r="AC36" s="78"/>
      <c r="AD36" s="78"/>
      <c r="AE36" s="78"/>
      <c r="AF36" s="78"/>
      <c r="AG36" s="78"/>
      <c r="AH36" s="78"/>
      <c r="AI36" s="28"/>
      <c r="AJ36" s="28"/>
      <c r="AK36" s="28"/>
      <c r="AL36" s="28"/>
      <c r="AM36" s="28"/>
      <c r="AN36" s="28"/>
      <c r="AO36" s="28"/>
      <c r="AQ36" s="36"/>
    </row>
    <row r="37" spans="1:43" ht="12" customHeight="1" x14ac:dyDescent="0.15">
      <c r="A37" s="51"/>
      <c r="B37" s="387"/>
      <c r="C37" s="388"/>
      <c r="D37" s="389"/>
      <c r="E37" s="387"/>
      <c r="F37" s="388"/>
      <c r="G37" s="389"/>
      <c r="H37" s="393"/>
      <c r="I37" s="393"/>
      <c r="J37" s="393"/>
      <c r="K37" s="396"/>
      <c r="L37" s="396"/>
      <c r="M37" s="396"/>
      <c r="N37" s="393"/>
      <c r="O37" s="393"/>
      <c r="P37" s="399"/>
      <c r="Q37" s="28"/>
      <c r="R37" s="28"/>
      <c r="S37" s="54"/>
      <c r="T37" s="28"/>
      <c r="W37" s="154" t="s">
        <v>35</v>
      </c>
      <c r="X37" s="80"/>
      <c r="Y37" s="81"/>
      <c r="Z37" s="82"/>
      <c r="AA37" s="81"/>
      <c r="AB37" s="81"/>
      <c r="AC37" s="81"/>
      <c r="AD37" s="81"/>
      <c r="AE37" s="81"/>
      <c r="AF37" s="81"/>
      <c r="AG37" s="81"/>
      <c r="AH37" s="81"/>
      <c r="AI37" s="28"/>
      <c r="AJ37" s="28"/>
      <c r="AK37" s="28"/>
      <c r="AL37" s="28"/>
      <c r="AM37" s="28"/>
      <c r="AN37" s="28"/>
      <c r="AO37" s="28"/>
      <c r="AQ37" s="36"/>
    </row>
    <row r="38" spans="1:43" ht="12" customHeight="1" x14ac:dyDescent="0.15">
      <c r="A38" s="51"/>
      <c r="B38" s="22" t="s">
        <v>15</v>
      </c>
      <c r="C38" s="22"/>
      <c r="D38" s="28"/>
      <c r="E38" s="28"/>
      <c r="F38" s="28"/>
      <c r="G38" s="28"/>
      <c r="H38" s="28"/>
      <c r="I38" s="28"/>
      <c r="J38" s="28"/>
      <c r="K38" s="28"/>
      <c r="L38" s="28"/>
      <c r="M38" s="28"/>
      <c r="N38" s="28"/>
      <c r="O38" s="28"/>
      <c r="P38" s="28"/>
      <c r="Q38" s="28"/>
      <c r="R38" s="28"/>
      <c r="S38" s="54"/>
      <c r="T38" s="28"/>
      <c r="W38" s="154" t="s">
        <v>35</v>
      </c>
      <c r="X38" s="80"/>
      <c r="Y38" s="81"/>
      <c r="Z38" s="82"/>
      <c r="AA38" s="81"/>
      <c r="AB38" s="81"/>
      <c r="AC38" s="81"/>
      <c r="AD38" s="81"/>
      <c r="AE38" s="81"/>
      <c r="AF38" s="81"/>
      <c r="AG38" s="81"/>
      <c r="AH38" s="81"/>
      <c r="AI38" s="28"/>
      <c r="AJ38" s="28"/>
      <c r="AK38" s="28"/>
      <c r="AL38" s="28"/>
      <c r="AM38" s="28"/>
      <c r="AN38" s="28"/>
      <c r="AO38" s="28"/>
      <c r="AQ38" s="36"/>
    </row>
    <row r="39" spans="1:43" ht="12" customHeight="1" x14ac:dyDescent="0.15">
      <c r="A39" s="51"/>
      <c r="B39" s="354" t="s">
        <v>16</v>
      </c>
      <c r="C39" s="355"/>
      <c r="D39" s="355"/>
      <c r="E39" s="355" t="s">
        <v>17</v>
      </c>
      <c r="F39" s="355"/>
      <c r="G39" s="355"/>
      <c r="H39" s="355" t="s">
        <v>18</v>
      </c>
      <c r="I39" s="355"/>
      <c r="J39" s="355"/>
      <c r="K39" s="355" t="s">
        <v>19</v>
      </c>
      <c r="L39" s="355"/>
      <c r="M39" s="355"/>
      <c r="N39" s="355" t="s">
        <v>20</v>
      </c>
      <c r="O39" s="355"/>
      <c r="P39" s="356"/>
      <c r="Q39" s="28"/>
      <c r="R39" s="28"/>
      <c r="S39" s="28"/>
      <c r="T39" s="28"/>
      <c r="U39" s="28"/>
      <c r="V39" s="28"/>
      <c r="W39" s="28"/>
      <c r="X39" s="28"/>
      <c r="Y39" s="28"/>
      <c r="Z39" s="28"/>
      <c r="AA39" s="28"/>
      <c r="AB39" s="28"/>
      <c r="AC39" s="28"/>
      <c r="AD39" s="28"/>
      <c r="AE39" s="28"/>
      <c r="AF39" s="28"/>
      <c r="AG39" s="28"/>
      <c r="AH39" s="28"/>
      <c r="AI39" s="28"/>
      <c r="AJ39" s="28"/>
      <c r="AK39" s="28"/>
      <c r="AL39" s="28"/>
      <c r="AM39" s="28"/>
      <c r="AN39" s="28"/>
      <c r="AO39" s="28"/>
      <c r="AQ39" s="36"/>
    </row>
    <row r="40" spans="1:43" ht="12" customHeight="1" x14ac:dyDescent="0.15">
      <c r="A40" s="51"/>
      <c r="B40" s="381">
        <v>44166</v>
      </c>
      <c r="C40" s="382"/>
      <c r="D40" s="383"/>
      <c r="E40" s="381">
        <v>44166</v>
      </c>
      <c r="F40" s="382"/>
      <c r="G40" s="383"/>
      <c r="H40" s="390" t="s">
        <v>797</v>
      </c>
      <c r="I40" s="391"/>
      <c r="J40" s="391"/>
      <c r="K40" s="394"/>
      <c r="L40" s="394"/>
      <c r="M40" s="394"/>
      <c r="N40" s="391"/>
      <c r="O40" s="391"/>
      <c r="P40" s="397"/>
      <c r="Q40" s="28"/>
      <c r="R40" s="28"/>
      <c r="S40" s="28"/>
      <c r="T40" s="28" t="s">
        <v>163</v>
      </c>
      <c r="U40" s="47"/>
      <c r="V40" s="47"/>
      <c r="W40" s="47"/>
      <c r="X40" s="47"/>
      <c r="Y40" s="47"/>
      <c r="Z40" s="47"/>
      <c r="AA40" s="47"/>
      <c r="AB40" s="47"/>
      <c r="AC40" s="47"/>
      <c r="AD40" s="47"/>
      <c r="AE40" s="47"/>
      <c r="AF40" s="47"/>
      <c r="AG40" s="47"/>
      <c r="AH40" s="47"/>
      <c r="AI40" s="47"/>
      <c r="AJ40" s="47"/>
      <c r="AK40" s="47"/>
      <c r="AL40" s="47"/>
      <c r="AM40" s="47"/>
      <c r="AN40" s="47"/>
      <c r="AO40" s="47"/>
      <c r="AQ40" s="36"/>
    </row>
    <row r="41" spans="1:43" ht="12" customHeight="1" x14ac:dyDescent="0.15">
      <c r="A41" s="51"/>
      <c r="B41" s="384"/>
      <c r="C41" s="385"/>
      <c r="D41" s="386"/>
      <c r="E41" s="384"/>
      <c r="F41" s="385"/>
      <c r="G41" s="386"/>
      <c r="H41" s="392"/>
      <c r="I41" s="392"/>
      <c r="J41" s="392"/>
      <c r="K41" s="395"/>
      <c r="L41" s="395"/>
      <c r="M41" s="395"/>
      <c r="N41" s="392"/>
      <c r="O41" s="392"/>
      <c r="P41" s="398"/>
      <c r="Q41" s="28"/>
      <c r="R41" s="28"/>
      <c r="S41" s="28"/>
      <c r="T41" s="329"/>
      <c r="U41" s="330"/>
      <c r="V41" s="330"/>
      <c r="W41" s="330"/>
      <c r="X41" s="330"/>
      <c r="Y41" s="330"/>
      <c r="Z41" s="330"/>
      <c r="AA41" s="330"/>
      <c r="AB41" s="330"/>
      <c r="AC41" s="330"/>
      <c r="AD41" s="330"/>
      <c r="AE41" s="330"/>
      <c r="AF41" s="330"/>
      <c r="AG41" s="330"/>
      <c r="AH41" s="330"/>
      <c r="AI41" s="330"/>
      <c r="AJ41" s="330"/>
      <c r="AK41" s="330"/>
      <c r="AL41" s="330"/>
      <c r="AM41" s="330"/>
      <c r="AN41" s="330"/>
      <c r="AO41" s="331"/>
      <c r="AQ41" s="36"/>
    </row>
    <row r="42" spans="1:43" ht="12" customHeight="1" x14ac:dyDescent="0.15">
      <c r="A42" s="51"/>
      <c r="B42" s="387"/>
      <c r="C42" s="388"/>
      <c r="D42" s="389"/>
      <c r="E42" s="387"/>
      <c r="F42" s="388"/>
      <c r="G42" s="389"/>
      <c r="H42" s="393"/>
      <c r="I42" s="393"/>
      <c r="J42" s="393"/>
      <c r="K42" s="396"/>
      <c r="L42" s="396"/>
      <c r="M42" s="396"/>
      <c r="N42" s="393"/>
      <c r="O42" s="393"/>
      <c r="P42" s="399"/>
      <c r="Q42" s="28"/>
      <c r="R42" s="28"/>
      <c r="S42" s="28"/>
      <c r="T42" s="332"/>
      <c r="U42" s="333"/>
      <c r="V42" s="333"/>
      <c r="W42" s="333"/>
      <c r="X42" s="333"/>
      <c r="Y42" s="333"/>
      <c r="Z42" s="333"/>
      <c r="AA42" s="333"/>
      <c r="AB42" s="333"/>
      <c r="AC42" s="333"/>
      <c r="AD42" s="333"/>
      <c r="AE42" s="333"/>
      <c r="AF42" s="333"/>
      <c r="AG42" s="333"/>
      <c r="AH42" s="333"/>
      <c r="AI42" s="333"/>
      <c r="AJ42" s="333"/>
      <c r="AK42" s="333"/>
      <c r="AL42" s="333"/>
      <c r="AM42" s="333"/>
      <c r="AN42" s="333"/>
      <c r="AO42" s="334"/>
      <c r="AQ42" s="36"/>
    </row>
    <row r="43" spans="1:43" ht="12" customHeight="1" x14ac:dyDescent="0.15">
      <c r="A43" s="51"/>
      <c r="B43" s="28" t="s">
        <v>21</v>
      </c>
      <c r="C43" s="28"/>
      <c r="D43" s="28"/>
      <c r="E43" s="28"/>
      <c r="F43" s="28"/>
      <c r="G43" s="28"/>
      <c r="H43" s="28"/>
      <c r="I43" s="28"/>
      <c r="J43" s="28"/>
      <c r="K43" s="28"/>
      <c r="L43" s="28"/>
      <c r="M43" s="28"/>
      <c r="N43" s="28"/>
      <c r="O43" s="28"/>
      <c r="P43" s="28"/>
      <c r="Q43" s="28"/>
      <c r="R43" s="28"/>
      <c r="S43" s="28"/>
      <c r="T43" s="332"/>
      <c r="U43" s="333"/>
      <c r="V43" s="333"/>
      <c r="W43" s="333"/>
      <c r="X43" s="333"/>
      <c r="Y43" s="333"/>
      <c r="Z43" s="333"/>
      <c r="AA43" s="333"/>
      <c r="AB43" s="333"/>
      <c r="AC43" s="333"/>
      <c r="AD43" s="333"/>
      <c r="AE43" s="333"/>
      <c r="AF43" s="333"/>
      <c r="AG43" s="333"/>
      <c r="AH43" s="333"/>
      <c r="AI43" s="333"/>
      <c r="AJ43" s="333"/>
      <c r="AK43" s="333"/>
      <c r="AL43" s="333"/>
      <c r="AM43" s="333"/>
      <c r="AN43" s="333"/>
      <c r="AO43" s="334"/>
      <c r="AQ43" s="36"/>
    </row>
    <row r="44" spans="1:43" ht="12" customHeight="1" x14ac:dyDescent="0.15">
      <c r="A44" s="51"/>
      <c r="B44" s="354" t="s">
        <v>22</v>
      </c>
      <c r="C44" s="355"/>
      <c r="D44" s="355"/>
      <c r="E44" s="355" t="s">
        <v>23</v>
      </c>
      <c r="F44" s="355"/>
      <c r="G44" s="355"/>
      <c r="H44" s="355"/>
      <c r="I44" s="355"/>
      <c r="J44" s="355"/>
      <c r="K44" s="355"/>
      <c r="L44" s="355"/>
      <c r="M44" s="355"/>
      <c r="N44" s="355"/>
      <c r="O44" s="355"/>
      <c r="P44" s="356"/>
      <c r="Q44" s="28"/>
      <c r="R44" s="28"/>
      <c r="S44" s="28"/>
      <c r="T44" s="332"/>
      <c r="U44" s="333"/>
      <c r="V44" s="333"/>
      <c r="W44" s="333"/>
      <c r="X44" s="333"/>
      <c r="Y44" s="333"/>
      <c r="Z44" s="333"/>
      <c r="AA44" s="333"/>
      <c r="AB44" s="333"/>
      <c r="AC44" s="333"/>
      <c r="AD44" s="333"/>
      <c r="AE44" s="333"/>
      <c r="AF44" s="333"/>
      <c r="AG44" s="333"/>
      <c r="AH44" s="333"/>
      <c r="AI44" s="333"/>
      <c r="AJ44" s="333"/>
      <c r="AK44" s="333"/>
      <c r="AL44" s="333"/>
      <c r="AM44" s="333"/>
      <c r="AN44" s="333"/>
      <c r="AO44" s="334"/>
      <c r="AQ44" s="36"/>
    </row>
    <row r="45" spans="1:43" ht="12" customHeight="1" x14ac:dyDescent="0.15">
      <c r="A45" s="51"/>
      <c r="B45" s="373"/>
      <c r="C45" s="374"/>
      <c r="D45" s="375"/>
      <c r="E45" s="361"/>
      <c r="F45" s="333"/>
      <c r="G45" s="333"/>
      <c r="H45" s="333"/>
      <c r="I45" s="333"/>
      <c r="J45" s="333"/>
      <c r="K45" s="333"/>
      <c r="L45" s="333"/>
      <c r="M45" s="333"/>
      <c r="N45" s="333"/>
      <c r="O45" s="333"/>
      <c r="P45" s="334"/>
      <c r="Q45" s="28"/>
      <c r="R45" s="28"/>
      <c r="S45" s="28"/>
      <c r="T45" s="332"/>
      <c r="U45" s="333"/>
      <c r="V45" s="333"/>
      <c r="W45" s="333"/>
      <c r="X45" s="333"/>
      <c r="Y45" s="333"/>
      <c r="Z45" s="333"/>
      <c r="AA45" s="333"/>
      <c r="AB45" s="333"/>
      <c r="AC45" s="333"/>
      <c r="AD45" s="333"/>
      <c r="AE45" s="333"/>
      <c r="AF45" s="333"/>
      <c r="AG45" s="333"/>
      <c r="AH45" s="333"/>
      <c r="AI45" s="333"/>
      <c r="AJ45" s="333"/>
      <c r="AK45" s="333"/>
      <c r="AL45" s="333"/>
      <c r="AM45" s="333"/>
      <c r="AN45" s="333"/>
      <c r="AO45" s="334"/>
      <c r="AP45" s="28"/>
      <c r="AQ45" s="36"/>
    </row>
    <row r="46" spans="1:43" ht="12" customHeight="1" x14ac:dyDescent="0.15">
      <c r="A46" s="73"/>
      <c r="B46" s="373"/>
      <c r="C46" s="374"/>
      <c r="D46" s="375"/>
      <c r="E46" s="361"/>
      <c r="F46" s="333"/>
      <c r="G46" s="333"/>
      <c r="H46" s="333"/>
      <c r="I46" s="333"/>
      <c r="J46" s="333"/>
      <c r="K46" s="333"/>
      <c r="L46" s="333"/>
      <c r="M46" s="333"/>
      <c r="N46" s="333"/>
      <c r="O46" s="333"/>
      <c r="P46" s="334"/>
      <c r="Q46" s="28"/>
      <c r="R46" s="28"/>
      <c r="S46" s="28"/>
      <c r="T46" s="332"/>
      <c r="U46" s="333"/>
      <c r="V46" s="333"/>
      <c r="W46" s="333"/>
      <c r="X46" s="333"/>
      <c r="Y46" s="333"/>
      <c r="Z46" s="333"/>
      <c r="AA46" s="333"/>
      <c r="AB46" s="333"/>
      <c r="AC46" s="333"/>
      <c r="AD46" s="333"/>
      <c r="AE46" s="333"/>
      <c r="AF46" s="333"/>
      <c r="AG46" s="333"/>
      <c r="AH46" s="333"/>
      <c r="AI46" s="333"/>
      <c r="AJ46" s="333"/>
      <c r="AK46" s="333"/>
      <c r="AL46" s="333"/>
      <c r="AM46" s="333"/>
      <c r="AN46" s="333"/>
      <c r="AO46" s="334"/>
      <c r="AP46" s="28"/>
      <c r="AQ46" s="36"/>
    </row>
    <row r="47" spans="1:43" ht="12" customHeight="1" x14ac:dyDescent="0.15">
      <c r="A47" s="73"/>
      <c r="B47" s="376"/>
      <c r="C47" s="377"/>
      <c r="D47" s="378"/>
      <c r="E47" s="362"/>
      <c r="F47" s="336"/>
      <c r="G47" s="336"/>
      <c r="H47" s="336"/>
      <c r="I47" s="336"/>
      <c r="J47" s="336"/>
      <c r="K47" s="336"/>
      <c r="L47" s="336"/>
      <c r="M47" s="336"/>
      <c r="N47" s="336"/>
      <c r="O47" s="336"/>
      <c r="P47" s="337"/>
      <c r="Q47" s="28"/>
      <c r="R47" s="28"/>
      <c r="S47" s="28"/>
      <c r="T47" s="335"/>
      <c r="U47" s="336"/>
      <c r="V47" s="336"/>
      <c r="W47" s="336"/>
      <c r="X47" s="336"/>
      <c r="Y47" s="336"/>
      <c r="Z47" s="336"/>
      <c r="AA47" s="336"/>
      <c r="AB47" s="336"/>
      <c r="AC47" s="336"/>
      <c r="AD47" s="336"/>
      <c r="AE47" s="336"/>
      <c r="AF47" s="336"/>
      <c r="AG47" s="336"/>
      <c r="AH47" s="336"/>
      <c r="AI47" s="336"/>
      <c r="AJ47" s="336"/>
      <c r="AK47" s="336"/>
      <c r="AL47" s="336"/>
      <c r="AM47" s="336"/>
      <c r="AN47" s="336"/>
      <c r="AO47" s="337"/>
      <c r="AP47" s="47"/>
      <c r="AQ47" s="36"/>
    </row>
    <row r="48" spans="1:43" ht="12" customHeight="1" x14ac:dyDescent="0.15">
      <c r="A48" s="73"/>
      <c r="B48" s="24"/>
      <c r="C48" s="25" t="s">
        <v>86</v>
      </c>
      <c r="D48" s="24"/>
      <c r="E48" s="24"/>
      <c r="F48" s="24"/>
      <c r="G48" s="24"/>
      <c r="H48" s="24"/>
      <c r="I48" s="24"/>
      <c r="J48" s="24"/>
      <c r="K48" s="24"/>
      <c r="L48" s="24"/>
      <c r="M48" s="24"/>
      <c r="N48" s="24"/>
      <c r="O48" s="24"/>
      <c r="P48" s="24"/>
      <c r="Q48" s="28"/>
      <c r="R48" s="28"/>
      <c r="S48" s="28"/>
      <c r="T48" s="28"/>
      <c r="U48" s="28"/>
      <c r="V48" s="28"/>
      <c r="W48" s="28"/>
      <c r="X48" s="28"/>
      <c r="Y48" s="28"/>
      <c r="Z48" s="28"/>
      <c r="AA48" s="28"/>
      <c r="AB48" s="28"/>
      <c r="AC48" s="28"/>
      <c r="AD48" s="28"/>
      <c r="AE48" s="28"/>
      <c r="AF48" s="28"/>
      <c r="AG48" s="28"/>
      <c r="AH48" s="28"/>
      <c r="AI48" s="28"/>
      <c r="AJ48" s="28"/>
      <c r="AK48" s="28"/>
      <c r="AL48" s="28"/>
      <c r="AM48" s="28"/>
      <c r="AN48" s="28"/>
      <c r="AO48" s="28"/>
      <c r="AP48" s="47"/>
      <c r="AQ48" s="36"/>
    </row>
    <row r="49" spans="1:43" ht="12" customHeight="1" x14ac:dyDescent="0.15">
      <c r="A49" s="73"/>
      <c r="B49" s="24"/>
      <c r="C49" s="25"/>
      <c r="D49" s="24"/>
      <c r="E49" s="24"/>
      <c r="F49" s="24"/>
      <c r="G49" s="24"/>
      <c r="H49" s="24"/>
      <c r="I49" s="24"/>
      <c r="J49" s="24"/>
      <c r="K49" s="24"/>
      <c r="L49" s="24"/>
      <c r="M49" s="24"/>
      <c r="N49" s="24"/>
      <c r="O49" s="24"/>
      <c r="P49" s="24"/>
      <c r="Q49" s="28"/>
      <c r="R49" s="28"/>
      <c r="S49" s="28"/>
      <c r="T49" s="29" t="s">
        <v>164</v>
      </c>
      <c r="U49" s="28"/>
      <c r="V49" s="28"/>
      <c r="W49" s="28"/>
      <c r="X49" s="28"/>
      <c r="Y49" s="28"/>
      <c r="Z49" s="28"/>
      <c r="AA49" s="28"/>
      <c r="AB49" s="28"/>
      <c r="AC49" s="28"/>
      <c r="AD49" s="28"/>
      <c r="AE49" s="28"/>
      <c r="AF49" s="28"/>
      <c r="AG49" s="28"/>
      <c r="AH49" s="28"/>
      <c r="AI49" s="28"/>
      <c r="AJ49" s="28"/>
      <c r="AK49" s="28"/>
      <c r="AL49" s="47"/>
      <c r="AM49" s="47"/>
      <c r="AN49" s="47"/>
      <c r="AO49" s="28"/>
      <c r="AP49" s="47"/>
      <c r="AQ49" s="36"/>
    </row>
    <row r="50" spans="1:43" ht="12" customHeight="1" x14ac:dyDescent="0.15">
      <c r="A50" s="73"/>
      <c r="B50" s="28" t="s">
        <v>36</v>
      </c>
      <c r="C50" s="28"/>
      <c r="D50" s="24"/>
      <c r="E50" s="28"/>
      <c r="F50" s="28"/>
      <c r="G50" s="28"/>
      <c r="H50" s="28"/>
      <c r="I50" s="28"/>
      <c r="J50" s="28"/>
      <c r="K50" s="28"/>
      <c r="L50" s="28"/>
      <c r="M50" s="28"/>
      <c r="N50" s="28"/>
      <c r="O50" s="28"/>
      <c r="P50" s="28"/>
      <c r="Q50" s="28"/>
      <c r="R50" s="28"/>
      <c r="S50" s="28"/>
      <c r="T50" s="338" t="s">
        <v>46</v>
      </c>
      <c r="U50" s="339"/>
      <c r="V50" s="339"/>
      <c r="W50" s="339"/>
      <c r="X50" s="339"/>
      <c r="Y50" s="339"/>
      <c r="Z50" s="339"/>
      <c r="AA50" s="339"/>
      <c r="AB50" s="339"/>
      <c r="AC50" s="365" t="s">
        <v>47</v>
      </c>
      <c r="AD50" s="365"/>
      <c r="AE50" s="365"/>
      <c r="AF50" s="365"/>
      <c r="AG50" s="365"/>
      <c r="AH50" s="365"/>
      <c r="AI50" s="365"/>
      <c r="AJ50" s="365"/>
      <c r="AK50" s="365"/>
      <c r="AL50" s="365"/>
      <c r="AM50" s="365"/>
      <c r="AN50" s="365"/>
      <c r="AO50" s="28"/>
      <c r="AP50" s="47"/>
      <c r="AQ50" s="36"/>
    </row>
    <row r="51" spans="1:43" ht="12" customHeight="1" x14ac:dyDescent="0.15">
      <c r="A51" s="73"/>
      <c r="B51" s="354"/>
      <c r="C51" s="355"/>
      <c r="D51" s="355" t="s">
        <v>32</v>
      </c>
      <c r="E51" s="355"/>
      <c r="F51" s="355"/>
      <c r="G51" s="355" t="s">
        <v>33</v>
      </c>
      <c r="H51" s="355"/>
      <c r="I51" s="355"/>
      <c r="J51" s="355" t="s">
        <v>34</v>
      </c>
      <c r="K51" s="355"/>
      <c r="L51" s="355"/>
      <c r="M51" s="355"/>
      <c r="N51" s="355"/>
      <c r="O51" s="355"/>
      <c r="P51" s="356"/>
      <c r="Q51" s="28"/>
      <c r="R51" s="28"/>
      <c r="S51" s="28"/>
      <c r="T51" s="366" t="s">
        <v>48</v>
      </c>
      <c r="U51" s="367"/>
      <c r="V51" s="368" t="s">
        <v>49</v>
      </c>
      <c r="W51" s="368"/>
      <c r="X51" s="368"/>
      <c r="Y51" s="369" t="s">
        <v>50</v>
      </c>
      <c r="Z51" s="370"/>
      <c r="AA51" s="371" t="s">
        <v>52</v>
      </c>
      <c r="AB51" s="372"/>
      <c r="AC51" s="350" t="s">
        <v>48</v>
      </c>
      <c r="AD51" s="351"/>
      <c r="AE51" s="351" t="s">
        <v>49</v>
      </c>
      <c r="AF51" s="351"/>
      <c r="AG51" s="351"/>
      <c r="AH51" s="351" t="s">
        <v>50</v>
      </c>
      <c r="AI51" s="351"/>
      <c r="AJ51" s="351"/>
      <c r="AK51" s="351"/>
      <c r="AL51" s="351"/>
      <c r="AM51" s="379" t="s">
        <v>52</v>
      </c>
      <c r="AN51" s="380"/>
      <c r="AO51" s="28"/>
      <c r="AP51" s="47"/>
      <c r="AQ51" s="48"/>
    </row>
    <row r="52" spans="1:43" ht="12" customHeight="1" x14ac:dyDescent="0.15">
      <c r="A52" s="73"/>
      <c r="B52" s="357" t="s">
        <v>24</v>
      </c>
      <c r="C52" s="358"/>
      <c r="D52" s="359"/>
      <c r="E52" s="360"/>
      <c r="F52" s="74" t="s">
        <v>28</v>
      </c>
      <c r="G52" s="359"/>
      <c r="H52" s="360"/>
      <c r="I52" s="74" t="s">
        <v>29</v>
      </c>
      <c r="J52" s="361"/>
      <c r="K52" s="333"/>
      <c r="L52" s="333"/>
      <c r="M52" s="333"/>
      <c r="N52" s="333"/>
      <c r="O52" s="333"/>
      <c r="P52" s="334"/>
      <c r="Q52" s="28"/>
      <c r="R52" s="28"/>
      <c r="S52" s="28"/>
      <c r="T52" s="311"/>
      <c r="U52" s="312"/>
      <c r="V52" s="313"/>
      <c r="W52" s="313"/>
      <c r="X52" s="313"/>
      <c r="Y52" s="314"/>
      <c r="Z52" s="315"/>
      <c r="AA52" s="320"/>
      <c r="AB52" s="321"/>
      <c r="AC52" s="311"/>
      <c r="AD52" s="312"/>
      <c r="AE52" s="313"/>
      <c r="AF52" s="313"/>
      <c r="AG52" s="313"/>
      <c r="AH52" s="326"/>
      <c r="AI52" s="326"/>
      <c r="AJ52" s="326"/>
      <c r="AK52" s="326"/>
      <c r="AL52" s="326"/>
      <c r="AM52" s="327"/>
      <c r="AN52" s="328"/>
      <c r="AO52" s="28"/>
      <c r="AP52" s="47"/>
      <c r="AQ52" s="36"/>
    </row>
    <row r="53" spans="1:43" ht="12" customHeight="1" x14ac:dyDescent="0.15">
      <c r="A53" s="73"/>
      <c r="B53" s="363" t="s">
        <v>26</v>
      </c>
      <c r="C53" s="364"/>
      <c r="D53" s="348"/>
      <c r="E53" s="349"/>
      <c r="F53" s="75" t="s">
        <v>2</v>
      </c>
      <c r="G53" s="348"/>
      <c r="H53" s="349"/>
      <c r="I53" s="75" t="s">
        <v>2</v>
      </c>
      <c r="J53" s="361"/>
      <c r="K53" s="333"/>
      <c r="L53" s="333"/>
      <c r="M53" s="333"/>
      <c r="N53" s="333"/>
      <c r="O53" s="333"/>
      <c r="P53" s="334"/>
      <c r="Q53" s="28"/>
      <c r="R53" s="28"/>
      <c r="S53" s="28"/>
      <c r="T53" s="311"/>
      <c r="U53" s="312"/>
      <c r="V53" s="313"/>
      <c r="W53" s="313"/>
      <c r="X53" s="313"/>
      <c r="Y53" s="316"/>
      <c r="Z53" s="317"/>
      <c r="AA53" s="322"/>
      <c r="AB53" s="323"/>
      <c r="AC53" s="311"/>
      <c r="AD53" s="312"/>
      <c r="AE53" s="313"/>
      <c r="AF53" s="313"/>
      <c r="AG53" s="313"/>
      <c r="AH53" s="326"/>
      <c r="AI53" s="326"/>
      <c r="AJ53" s="326"/>
      <c r="AK53" s="326"/>
      <c r="AL53" s="326"/>
      <c r="AM53" s="327"/>
      <c r="AN53" s="328"/>
      <c r="AO53" s="28"/>
      <c r="AP53" s="47"/>
      <c r="AQ53" s="36"/>
    </row>
    <row r="54" spans="1:43" ht="12" customHeight="1" x14ac:dyDescent="0.15">
      <c r="A54" s="73"/>
      <c r="B54" s="350" t="s">
        <v>27</v>
      </c>
      <c r="C54" s="351"/>
      <c r="D54" s="352"/>
      <c r="E54" s="353"/>
      <c r="F54" s="76" t="s">
        <v>30</v>
      </c>
      <c r="G54" s="352"/>
      <c r="H54" s="353"/>
      <c r="I54" s="76" t="s">
        <v>31</v>
      </c>
      <c r="J54" s="362"/>
      <c r="K54" s="336"/>
      <c r="L54" s="336"/>
      <c r="M54" s="336"/>
      <c r="N54" s="336"/>
      <c r="O54" s="336"/>
      <c r="P54" s="337"/>
      <c r="Q54" s="28"/>
      <c r="R54" s="28"/>
      <c r="S54" s="28"/>
      <c r="T54" s="311"/>
      <c r="U54" s="312"/>
      <c r="V54" s="313"/>
      <c r="W54" s="313"/>
      <c r="X54" s="313"/>
      <c r="Y54" s="318"/>
      <c r="Z54" s="319"/>
      <c r="AA54" s="324"/>
      <c r="AB54" s="325"/>
      <c r="AC54" s="311"/>
      <c r="AD54" s="312"/>
      <c r="AE54" s="313"/>
      <c r="AF54" s="313"/>
      <c r="AG54" s="313"/>
      <c r="AH54" s="326"/>
      <c r="AI54" s="326"/>
      <c r="AJ54" s="326"/>
      <c r="AK54" s="326"/>
      <c r="AL54" s="326"/>
      <c r="AM54" s="327"/>
      <c r="AN54" s="328"/>
      <c r="AO54" s="28"/>
      <c r="AP54" s="47"/>
      <c r="AQ54" s="36"/>
    </row>
    <row r="55" spans="1:43" ht="12" customHeight="1" x14ac:dyDescent="0.15">
      <c r="A55" s="73"/>
      <c r="B55" s="19"/>
      <c r="C55" s="28"/>
      <c r="D55" s="28"/>
      <c r="E55" s="28"/>
      <c r="F55" s="28"/>
      <c r="G55" s="28"/>
      <c r="H55" s="28"/>
      <c r="I55" s="28"/>
      <c r="J55" s="28"/>
      <c r="K55" s="28"/>
      <c r="L55" s="28"/>
      <c r="M55" s="28"/>
      <c r="N55" s="28"/>
      <c r="O55" s="28"/>
      <c r="P55" s="28"/>
      <c r="Q55" s="28"/>
      <c r="R55" s="28"/>
      <c r="S55" s="28"/>
      <c r="T55" s="28"/>
      <c r="U55" s="47"/>
      <c r="V55" s="47"/>
      <c r="W55" s="47"/>
      <c r="X55" s="47"/>
      <c r="Y55" s="47"/>
      <c r="Z55" s="47"/>
      <c r="AA55" s="47"/>
      <c r="AB55" s="47"/>
      <c r="AC55" s="47"/>
      <c r="AD55" s="47"/>
      <c r="AE55" s="47"/>
      <c r="AF55" s="47"/>
      <c r="AG55" s="47"/>
      <c r="AH55" s="47"/>
      <c r="AI55" s="47"/>
      <c r="AJ55" s="47"/>
      <c r="AK55" s="47"/>
      <c r="AL55" s="47"/>
      <c r="AM55" s="47"/>
      <c r="AN55" s="47"/>
      <c r="AO55" s="47"/>
      <c r="AP55" s="47"/>
      <c r="AQ55" s="36"/>
    </row>
    <row r="56" spans="1:43" x14ac:dyDescent="0.15">
      <c r="A56" s="209"/>
      <c r="B56" s="210"/>
      <c r="C56" s="211"/>
      <c r="D56" s="211"/>
      <c r="E56" s="211"/>
      <c r="F56" s="211"/>
      <c r="G56" s="211"/>
      <c r="H56" s="212"/>
      <c r="I56" s="212"/>
      <c r="J56" s="212"/>
      <c r="K56" s="212"/>
      <c r="L56" s="211"/>
      <c r="M56" s="211"/>
      <c r="N56" s="211"/>
      <c r="O56" s="212"/>
      <c r="P56" s="212"/>
      <c r="Q56" s="212"/>
      <c r="R56" s="212"/>
      <c r="S56" s="213"/>
      <c r="T56" s="214"/>
      <c r="U56" s="213"/>
      <c r="V56" s="213"/>
      <c r="W56" s="213"/>
      <c r="X56" s="213"/>
      <c r="Y56" s="213"/>
      <c r="Z56" s="213"/>
      <c r="AA56" s="213"/>
      <c r="AB56" s="213"/>
      <c r="AC56" s="213"/>
      <c r="AD56" s="213"/>
      <c r="AE56" s="213"/>
      <c r="AF56" s="213"/>
      <c r="AG56" s="213"/>
      <c r="AH56" s="213"/>
      <c r="AI56" s="213"/>
      <c r="AJ56" s="213"/>
      <c r="AK56" s="213"/>
      <c r="AL56" s="213"/>
      <c r="AM56" s="213"/>
      <c r="AN56" s="213"/>
      <c r="AO56" s="213"/>
      <c r="AP56" s="213"/>
      <c r="AQ56" s="213"/>
    </row>
    <row r="57" spans="1:43" x14ac:dyDescent="0.15">
      <c r="A57" s="215"/>
      <c r="B57" s="340" t="str">
        <f>PT_Specification</f>
        <v>PT</v>
      </c>
      <c r="C57" s="341"/>
      <c r="D57" s="344" t="s">
        <v>149</v>
      </c>
      <c r="E57" s="344"/>
      <c r="F57" s="344"/>
      <c r="G57" s="344"/>
      <c r="H57" s="344"/>
      <c r="I57" s="344"/>
      <c r="J57" s="344"/>
      <c r="K57" s="344"/>
      <c r="L57" s="344"/>
      <c r="M57" s="344"/>
      <c r="N57" s="345"/>
      <c r="O57" s="84"/>
      <c r="P57" s="84"/>
      <c r="Q57" s="84"/>
      <c r="R57" s="84"/>
      <c r="S57" s="47"/>
      <c r="T57" s="47"/>
      <c r="U57" s="47"/>
      <c r="V57" s="47"/>
      <c r="W57" s="47"/>
      <c r="X57" s="47"/>
      <c r="Y57" s="47"/>
      <c r="Z57" s="47"/>
      <c r="AA57" s="47"/>
      <c r="AB57" s="47"/>
      <c r="AC57" s="47"/>
      <c r="AD57" s="47"/>
      <c r="AE57" s="47"/>
      <c r="AF57" s="47"/>
      <c r="AG57" s="47"/>
      <c r="AH57" s="47"/>
      <c r="AI57" s="47"/>
      <c r="AJ57" s="47"/>
      <c r="AK57" s="47"/>
      <c r="AL57" s="47"/>
      <c r="AM57" s="47"/>
      <c r="AN57" s="47"/>
      <c r="AO57" s="47"/>
      <c r="AP57" s="47"/>
      <c r="AQ57" s="47"/>
    </row>
    <row r="58" spans="1:43" x14ac:dyDescent="0.15">
      <c r="A58" s="215"/>
      <c r="B58" s="342"/>
      <c r="C58" s="343"/>
      <c r="D58" s="346"/>
      <c r="E58" s="346"/>
      <c r="F58" s="346"/>
      <c r="G58" s="346"/>
      <c r="H58" s="346"/>
      <c r="I58" s="346"/>
      <c r="J58" s="346"/>
      <c r="K58" s="346"/>
      <c r="L58" s="346"/>
      <c r="M58" s="346"/>
      <c r="N58" s="347"/>
      <c r="O58" s="50"/>
      <c r="P58" s="50"/>
      <c r="Q58" s="50"/>
      <c r="R58" s="50"/>
      <c r="S58" s="47"/>
      <c r="T58" s="47"/>
      <c r="U58" s="47"/>
      <c r="V58" s="47"/>
      <c r="W58" s="47"/>
      <c r="X58" s="47"/>
      <c r="Y58" s="47"/>
      <c r="Z58" s="47"/>
      <c r="AA58" s="47"/>
      <c r="AB58" s="47"/>
      <c r="AC58" s="47"/>
      <c r="AD58" s="47"/>
      <c r="AE58" s="47"/>
      <c r="AF58" s="47"/>
      <c r="AG58" s="47"/>
      <c r="AH58" s="47"/>
      <c r="AI58" s="47"/>
      <c r="AJ58" s="47"/>
      <c r="AK58" s="47"/>
      <c r="AL58" s="47"/>
      <c r="AM58" s="47"/>
      <c r="AN58" s="47"/>
      <c r="AO58" s="47"/>
      <c r="AP58" s="47"/>
      <c r="AQ58" s="47"/>
    </row>
    <row r="59" spans="1:43" x14ac:dyDescent="0.15">
      <c r="B59" s="83"/>
      <c r="C59" s="50"/>
      <c r="D59" s="50"/>
      <c r="E59" s="50"/>
      <c r="F59" s="43"/>
      <c r="G59" s="50"/>
      <c r="H59" s="50"/>
      <c r="I59" s="50"/>
      <c r="J59" s="50"/>
      <c r="K59" s="50"/>
      <c r="L59" s="50"/>
      <c r="M59" s="50"/>
      <c r="N59" s="50"/>
      <c r="O59" s="50"/>
      <c r="P59" s="50"/>
      <c r="Q59" s="50"/>
      <c r="R59" s="50"/>
    </row>
    <row r="60" spans="1:43" x14ac:dyDescent="0.15">
      <c r="B60" s="21" t="s">
        <v>150</v>
      </c>
      <c r="C60" s="21"/>
      <c r="D60" s="50"/>
      <c r="E60" s="50"/>
      <c r="F60" s="43"/>
      <c r="G60" s="50"/>
      <c r="H60" s="50"/>
      <c r="N60" s="22" t="s">
        <v>151</v>
      </c>
      <c r="O60" s="50"/>
      <c r="P60" s="50"/>
      <c r="Q60" s="50"/>
      <c r="R60" s="50"/>
      <c r="T60" s="22" t="s">
        <v>152</v>
      </c>
      <c r="U60" s="50"/>
      <c r="V60" s="50"/>
      <c r="W60" s="50"/>
      <c r="Z60" s="25" t="s">
        <v>59</v>
      </c>
    </row>
    <row r="61" spans="1:43" x14ac:dyDescent="0.15">
      <c r="B61" s="19" t="s">
        <v>161</v>
      </c>
      <c r="D61" s="19"/>
      <c r="E61" s="19"/>
      <c r="F61" s="19"/>
      <c r="G61" s="28"/>
      <c r="H61" s="28"/>
      <c r="N61" s="162"/>
      <c r="O61" s="163"/>
      <c r="P61" s="163"/>
      <c r="Q61" s="164"/>
      <c r="R61" s="165"/>
      <c r="T61" s="166"/>
      <c r="U61" s="167"/>
      <c r="V61" s="167"/>
      <c r="W61" s="164"/>
      <c r="X61" s="168"/>
      <c r="Z61" s="166"/>
      <c r="AA61" s="167"/>
      <c r="AB61" s="167"/>
      <c r="AC61" s="164"/>
      <c r="AD61" s="168"/>
    </row>
    <row r="62" spans="1:43" x14ac:dyDescent="0.15">
      <c r="B62" s="54"/>
      <c r="C62" s="19" t="s">
        <v>285</v>
      </c>
      <c r="E62" s="19"/>
      <c r="F62" s="28"/>
      <c r="G62" s="28"/>
      <c r="H62" s="28"/>
      <c r="N62" s="49"/>
      <c r="O62" s="294">
        <f ca="1">IF(Cause_Type_Name_1="","",SUM(start_basic:end_basic!DD10))</f>
        <v>0</v>
      </c>
      <c r="P62" s="295"/>
      <c r="Q62" s="33" t="s">
        <v>25</v>
      </c>
      <c r="R62" s="56"/>
      <c r="T62" s="51"/>
      <c r="U62" s="294">
        <f ca="1">IF(Cause_Type_Name_1="","",SUM(start_business:end_business!DD10))</f>
        <v>0</v>
      </c>
      <c r="V62" s="295"/>
      <c r="W62" s="33" t="s">
        <v>25</v>
      </c>
      <c r="X62" s="58"/>
      <c r="Z62" s="51"/>
      <c r="AA62" s="294">
        <f ca="1">IF(Cause_Type_Name_1="","",SUM(Basic_Cause_Type_1,Business_Cause_Type_1))</f>
        <v>0</v>
      </c>
      <c r="AB62" s="309"/>
      <c r="AC62" s="33" t="s">
        <v>25</v>
      </c>
      <c r="AD62" s="58"/>
    </row>
    <row r="63" spans="1:43" x14ac:dyDescent="0.15">
      <c r="B63" s="54"/>
      <c r="C63" s="19" t="s">
        <v>38</v>
      </c>
      <c r="E63" s="19"/>
      <c r="F63" s="28"/>
      <c r="G63" s="28"/>
      <c r="H63" s="28"/>
      <c r="N63" s="49"/>
      <c r="O63" s="305">
        <f ca="1">IF(Cause_Type_Name_2="","",SUM(start_basic:end_basic!DE10))</f>
        <v>0</v>
      </c>
      <c r="P63" s="306"/>
      <c r="Q63" s="33" t="s">
        <v>25</v>
      </c>
      <c r="R63" s="59"/>
      <c r="T63" s="51"/>
      <c r="U63" s="305">
        <f ca="1">IF(Cause_Type_Name_2="","",SUM(start_business:end_business!DE10))</f>
        <v>0</v>
      </c>
      <c r="V63" s="306"/>
      <c r="W63" s="33" t="s">
        <v>25</v>
      </c>
      <c r="X63" s="61"/>
      <c r="Z63" s="51"/>
      <c r="AA63" s="305">
        <f ca="1">IF(Cause_Type_Name_2="","",SUM(Basic_Cause_Type_2,Business_Cause_Type_2))</f>
        <v>0</v>
      </c>
      <c r="AB63" s="306"/>
      <c r="AC63" s="33" t="s">
        <v>25</v>
      </c>
      <c r="AD63" s="61"/>
    </row>
    <row r="64" spans="1:43" x14ac:dyDescent="0.15">
      <c r="B64" s="54"/>
      <c r="C64" s="19" t="s">
        <v>273</v>
      </c>
      <c r="H64" s="28"/>
      <c r="N64" s="49"/>
      <c r="O64" s="305">
        <f ca="1">IF(Cause_Type_Name_3="","",SUM(start_basic:end_basic!DF10))</f>
        <v>0</v>
      </c>
      <c r="P64" s="306"/>
      <c r="Q64" s="33" t="s">
        <v>25</v>
      </c>
      <c r="R64" s="59"/>
      <c r="T64" s="51"/>
      <c r="U64" s="305">
        <f ca="1">IF(Cause_Type_Name_3="","",SUM(start_business:end_business!DF10))</f>
        <v>0</v>
      </c>
      <c r="V64" s="306"/>
      <c r="W64" s="33" t="s">
        <v>25</v>
      </c>
      <c r="X64" s="61"/>
      <c r="Z64" s="51"/>
      <c r="AA64" s="305">
        <f ca="1">IF(Cause_Type_Name_3="","",SUM(Basic_Cause_Type_3,Business_Cause_Type_3))</f>
        <v>0</v>
      </c>
      <c r="AB64" s="306"/>
      <c r="AC64" s="33" t="s">
        <v>25</v>
      </c>
      <c r="AD64" s="61"/>
    </row>
    <row r="65" spans="2:33" x14ac:dyDescent="0.15">
      <c r="B65" s="54"/>
      <c r="C65" s="19" t="s">
        <v>335</v>
      </c>
      <c r="E65" s="19"/>
      <c r="F65" s="28"/>
      <c r="G65" s="28"/>
      <c r="H65" s="28"/>
      <c r="N65" s="49"/>
      <c r="O65" s="305">
        <f ca="1">IF(Cause_Type_Name_4="","",SUM(start_basic:end_basic!DG10))</f>
        <v>0</v>
      </c>
      <c r="P65" s="306"/>
      <c r="Q65" s="33" t="s">
        <v>25</v>
      </c>
      <c r="R65" s="59"/>
      <c r="T65" s="51"/>
      <c r="U65" s="305">
        <f ca="1">IF(Cause_Type_Name_4="","",SUM(start_business:end_business!DG10))</f>
        <v>0</v>
      </c>
      <c r="V65" s="306"/>
      <c r="W65" s="33" t="s">
        <v>25</v>
      </c>
      <c r="X65" s="61"/>
      <c r="Z65" s="51"/>
      <c r="AA65" s="305">
        <f ca="1">IF(Cause_Type_Name_4="","",SUM(Basic_Cause_Type_4,Business_Cause_Type_4))</f>
        <v>0</v>
      </c>
      <c r="AB65" s="306"/>
      <c r="AC65" s="33" t="s">
        <v>25</v>
      </c>
      <c r="AD65" s="61"/>
    </row>
    <row r="66" spans="2:33" x14ac:dyDescent="0.15">
      <c r="B66" s="54"/>
      <c r="C66" s="19" t="s">
        <v>274</v>
      </c>
      <c r="E66" s="19"/>
      <c r="F66" s="28"/>
      <c r="G66" s="28"/>
      <c r="H66" s="28"/>
      <c r="N66" s="49"/>
      <c r="O66" s="305">
        <f ca="1">IF(Cause_Type_Name_5="","",SUM(start_basic:end_basic!DH10))</f>
        <v>0</v>
      </c>
      <c r="P66" s="306"/>
      <c r="Q66" s="33" t="s">
        <v>25</v>
      </c>
      <c r="R66" s="44"/>
      <c r="T66" s="51"/>
      <c r="U66" s="305">
        <f ca="1">IF(Cause_Type_Name_5="","",SUM(start_business:end_business!DH10))</f>
        <v>0</v>
      </c>
      <c r="V66" s="306"/>
      <c r="W66" s="33" t="s">
        <v>25</v>
      </c>
      <c r="X66" s="36"/>
      <c r="Z66" s="51"/>
      <c r="AA66" s="305">
        <f ca="1">IF(Cause_Type_Name_5="","",SUM(Basic_Cause_Type_5,Business_Cause_Type_5))</f>
        <v>0</v>
      </c>
      <c r="AB66" s="306"/>
      <c r="AC66" s="33" t="s">
        <v>25</v>
      </c>
      <c r="AD66" s="36"/>
    </row>
    <row r="67" spans="2:33" x14ac:dyDescent="0.15">
      <c r="B67" s="54"/>
      <c r="C67" s="19" t="s">
        <v>39</v>
      </c>
      <c r="E67" s="19"/>
      <c r="F67" s="28"/>
      <c r="G67" s="28"/>
      <c r="H67" s="28"/>
      <c r="N67" s="49"/>
      <c r="O67" s="305">
        <f ca="1">IF(Cause_Type_Name_6="","",SUM(start_basic:end_basic!DI10))</f>
        <v>0</v>
      </c>
      <c r="P67" s="306"/>
      <c r="Q67" s="33" t="s">
        <v>25</v>
      </c>
      <c r="R67" s="44"/>
      <c r="T67" s="51"/>
      <c r="U67" s="305">
        <f ca="1">IF(Cause_Type_Name_6="","",SUM(start_business:end_business!DI10))</f>
        <v>0</v>
      </c>
      <c r="V67" s="306"/>
      <c r="W67" s="33" t="s">
        <v>25</v>
      </c>
      <c r="X67" s="36"/>
      <c r="Z67" s="51"/>
      <c r="AA67" s="305">
        <f ca="1">IF(Cause_Type_Name_6="","",SUM(Basic_Cause_Type_6,Business_Cause_Type_6))</f>
        <v>0</v>
      </c>
      <c r="AB67" s="306"/>
      <c r="AC67" s="33" t="s">
        <v>25</v>
      </c>
      <c r="AD67" s="36"/>
    </row>
    <row r="68" spans="2:33" x14ac:dyDescent="0.15">
      <c r="B68" s="54"/>
      <c r="C68" s="19" t="s">
        <v>275</v>
      </c>
      <c r="E68" s="19"/>
      <c r="F68" s="28"/>
      <c r="G68" s="28"/>
      <c r="H68" s="28"/>
      <c r="N68" s="49"/>
      <c r="O68" s="305">
        <f ca="1">IF(Cause_Type_Name_7="","",SUM(start_basic:end_basic!DJ10))</f>
        <v>0</v>
      </c>
      <c r="P68" s="306"/>
      <c r="Q68" s="33" t="s">
        <v>25</v>
      </c>
      <c r="R68" s="44"/>
      <c r="T68" s="51"/>
      <c r="U68" s="305">
        <f ca="1">IF(Cause_Type_Name_7="","",SUM(start_business:end_business!DJ10))</f>
        <v>0</v>
      </c>
      <c r="V68" s="306"/>
      <c r="W68" s="33" t="s">
        <v>25</v>
      </c>
      <c r="X68" s="36"/>
      <c r="Z68" s="51"/>
      <c r="AA68" s="305">
        <f ca="1">IF(Cause_Type_Name_7="","",SUM(Basic_Cause_Type_7,Business_Cause_Type_7))</f>
        <v>0</v>
      </c>
      <c r="AB68" s="306"/>
      <c r="AC68" s="33" t="s">
        <v>25</v>
      </c>
      <c r="AD68" s="36"/>
    </row>
    <row r="69" spans="2:33" x14ac:dyDescent="0.15">
      <c r="B69" s="54"/>
      <c r="C69" s="19" t="s">
        <v>40</v>
      </c>
      <c r="E69" s="19"/>
      <c r="F69" s="28"/>
      <c r="G69" s="28"/>
      <c r="H69" s="28"/>
      <c r="N69" s="49"/>
      <c r="O69" s="305">
        <f ca="1">IF(Cause_Type_Name_8="","",SUM(start_basic:end_basic!DK10))</f>
        <v>0</v>
      </c>
      <c r="P69" s="306"/>
      <c r="Q69" s="33" t="s">
        <v>25</v>
      </c>
      <c r="R69" s="63"/>
      <c r="T69" s="51"/>
      <c r="U69" s="305">
        <f ca="1">IF(Cause_Type_Name_8="","",SUM(start_business:end_business!DK10))</f>
        <v>0</v>
      </c>
      <c r="V69" s="306"/>
      <c r="W69" s="33" t="s">
        <v>25</v>
      </c>
      <c r="X69" s="64"/>
      <c r="Z69" s="51"/>
      <c r="AA69" s="305">
        <f ca="1">IF(Cause_Type_Name_8="","",SUM(Basic_Cause_Type_8,Business_Cause_Type_8))</f>
        <v>0</v>
      </c>
      <c r="AB69" s="306"/>
      <c r="AC69" s="33" t="s">
        <v>25</v>
      </c>
      <c r="AD69" s="64"/>
    </row>
    <row r="70" spans="2:33" x14ac:dyDescent="0.15">
      <c r="B70" s="54"/>
      <c r="C70" s="19" t="s">
        <v>82</v>
      </c>
      <c r="E70" s="19"/>
      <c r="F70" s="28"/>
      <c r="G70" s="28"/>
      <c r="H70" s="28"/>
      <c r="N70" s="49"/>
      <c r="O70" s="305">
        <f ca="1">IF(Cause_Type_Name_9="","",SUM(start_basic:end_basic!DL10))</f>
        <v>0</v>
      </c>
      <c r="P70" s="306"/>
      <c r="Q70" s="33" t="s">
        <v>25</v>
      </c>
      <c r="R70" s="63"/>
      <c r="T70" s="51"/>
      <c r="U70" s="305">
        <f ca="1">IF(Cause_Type_Name_9="","",SUM(start_business:end_business!DL10))</f>
        <v>0</v>
      </c>
      <c r="V70" s="306"/>
      <c r="W70" s="33" t="s">
        <v>25</v>
      </c>
      <c r="X70" s="64"/>
      <c r="Z70" s="51"/>
      <c r="AA70" s="305">
        <f ca="1">IF(Cause_Type_Name_9="","",SUM(Basic_Cause_Type_9,Business_Cause_Type_9))</f>
        <v>0</v>
      </c>
      <c r="AB70" s="306"/>
      <c r="AC70" s="33" t="s">
        <v>25</v>
      </c>
      <c r="AD70" s="64"/>
    </row>
    <row r="71" spans="2:33" x14ac:dyDescent="0.15">
      <c r="B71" s="54"/>
      <c r="C71" s="19" t="s">
        <v>276</v>
      </c>
      <c r="D71" s="65"/>
      <c r="E71" s="19"/>
      <c r="F71" s="28"/>
      <c r="G71" s="28"/>
      <c r="H71" s="28"/>
      <c r="N71" s="49"/>
      <c r="O71" s="305">
        <f ca="1">IF(Cause_Type_Name_10="","",SUM(start_basic:end_basic!DM10))</f>
        <v>0</v>
      </c>
      <c r="P71" s="306"/>
      <c r="Q71" s="33" t="s">
        <v>25</v>
      </c>
      <c r="R71" s="63"/>
      <c r="T71" s="51"/>
      <c r="U71" s="305">
        <f ca="1">IF(Cause_Type_Name_10="","",SUM(start_business:end_business!DM10))</f>
        <v>0</v>
      </c>
      <c r="V71" s="306"/>
      <c r="W71" s="33" t="s">
        <v>25</v>
      </c>
      <c r="X71" s="64"/>
      <c r="Z71" s="51"/>
      <c r="AA71" s="305">
        <f ca="1">IF(Cause_Type_Name_10="","",SUM(Basic_Cause_Type_10,Business_Cause_Type_10))</f>
        <v>0</v>
      </c>
      <c r="AB71" s="306"/>
      <c r="AC71" s="33" t="s">
        <v>25</v>
      </c>
      <c r="AD71" s="64"/>
    </row>
    <row r="72" spans="2:33" x14ac:dyDescent="0.15">
      <c r="B72" s="54"/>
      <c r="C72" s="19" t="s">
        <v>41</v>
      </c>
      <c r="D72" s="65"/>
      <c r="E72" s="19"/>
      <c r="F72" s="28"/>
      <c r="G72" s="28"/>
      <c r="H72" s="28"/>
      <c r="N72" s="49"/>
      <c r="O72" s="305">
        <f ca="1">IF(Cause_Type_Name_11="","",SUM(start_basic:end_basic!DN10))</f>
        <v>0</v>
      </c>
      <c r="P72" s="306"/>
      <c r="Q72" s="33" t="s">
        <v>25</v>
      </c>
      <c r="R72" s="63"/>
      <c r="T72" s="51"/>
      <c r="U72" s="305">
        <f ca="1">IF(Cause_Type_Name_11="","",SUM(start_business:end_business!DN10))</f>
        <v>0</v>
      </c>
      <c r="V72" s="306"/>
      <c r="W72" s="33" t="s">
        <v>25</v>
      </c>
      <c r="X72" s="64"/>
      <c r="Z72" s="51"/>
      <c r="AA72" s="305">
        <f ca="1">IF(Cause_Type_Name_11="","",SUM(Basic_Cause_Type_11,Business_Cause_Type_11))</f>
        <v>0</v>
      </c>
      <c r="AB72" s="306"/>
      <c r="AC72" s="33" t="s">
        <v>25</v>
      </c>
      <c r="AD72" s="64"/>
    </row>
    <row r="73" spans="2:33" x14ac:dyDescent="0.15">
      <c r="B73" s="54"/>
      <c r="C73" s="19" t="s">
        <v>42</v>
      </c>
      <c r="D73" s="47"/>
      <c r="E73" s="47"/>
      <c r="F73" s="47"/>
      <c r="G73" s="47"/>
      <c r="H73" s="28"/>
      <c r="N73" s="49"/>
      <c r="O73" s="305">
        <f ca="1">IF(Cause_Type_Name_12="","",SUM(start_basic:end_basic!DO10))</f>
        <v>0</v>
      </c>
      <c r="P73" s="306"/>
      <c r="Q73" s="33" t="s">
        <v>25</v>
      </c>
      <c r="R73" s="63"/>
      <c r="T73" s="51"/>
      <c r="U73" s="305">
        <f ca="1">IF(Cause_Type_Name_12="","",SUM(start_business:end_business!DO10))</f>
        <v>0</v>
      </c>
      <c r="V73" s="306"/>
      <c r="W73" s="33" t="s">
        <v>25</v>
      </c>
      <c r="X73" s="64"/>
      <c r="Z73" s="51"/>
      <c r="AA73" s="305">
        <f ca="1">IF(Cause_Type_Name_12="","",SUM(Basic_Cause_Type_12,Business_Cause_Type_12))</f>
        <v>0</v>
      </c>
      <c r="AB73" s="306"/>
      <c r="AC73" s="33" t="s">
        <v>25</v>
      </c>
      <c r="AD73" s="64"/>
    </row>
    <row r="74" spans="2:33" x14ac:dyDescent="0.15">
      <c r="B74" s="54"/>
      <c r="C74" s="19" t="s">
        <v>43</v>
      </c>
      <c r="D74" s="47"/>
      <c r="E74" s="19"/>
      <c r="F74" s="28"/>
      <c r="G74" s="28"/>
      <c r="H74" s="28"/>
      <c r="N74" s="49"/>
      <c r="O74" s="305">
        <f ca="1">IF(Cause_Type_Name_13="","",SUM(start_basic:end_basic!DP10))</f>
        <v>0</v>
      </c>
      <c r="P74" s="306"/>
      <c r="Q74" s="33" t="s">
        <v>25</v>
      </c>
      <c r="R74" s="63"/>
      <c r="T74" s="51"/>
      <c r="U74" s="305">
        <f ca="1">IF(Cause_Type_Name_13="","",SUM(start_business:end_business!DP10))</f>
        <v>0</v>
      </c>
      <c r="V74" s="306"/>
      <c r="W74" s="33" t="s">
        <v>25</v>
      </c>
      <c r="X74" s="64"/>
      <c r="Z74" s="51"/>
      <c r="AA74" s="305">
        <f ca="1">IF(Cause_Type_Name_13="","",SUM(Basic_Cause_Type_13,Business_Cause_Type_13))</f>
        <v>0</v>
      </c>
      <c r="AB74" s="306"/>
      <c r="AC74" s="33" t="s">
        <v>25</v>
      </c>
      <c r="AD74" s="64"/>
    </row>
    <row r="75" spans="2:33" x14ac:dyDescent="0.15">
      <c r="B75" s="54"/>
      <c r="C75" s="19" t="s">
        <v>44</v>
      </c>
      <c r="D75" s="47"/>
      <c r="E75" s="19"/>
      <c r="F75" s="28"/>
      <c r="G75" s="28"/>
      <c r="H75" s="28"/>
      <c r="N75" s="49"/>
      <c r="O75" s="305">
        <f ca="1">IF(Cause_Type_Name_14="","",SUM(start_basic:end_basic!DQ10))</f>
        <v>0</v>
      </c>
      <c r="P75" s="306"/>
      <c r="Q75" s="33" t="s">
        <v>25</v>
      </c>
      <c r="R75" s="63"/>
      <c r="T75" s="51"/>
      <c r="U75" s="305">
        <f ca="1">IF(Cause_Type_Name_14="","",SUM(start_business:end_business!DQ10))</f>
        <v>0</v>
      </c>
      <c r="V75" s="306"/>
      <c r="W75" s="33" t="s">
        <v>25</v>
      </c>
      <c r="X75" s="64"/>
      <c r="Z75" s="51"/>
      <c r="AA75" s="305">
        <f ca="1">IF(Cause_Type_Name_14="","",SUM(Basic_Cause_Type_14,Business_Cause_Type_14))</f>
        <v>0</v>
      </c>
      <c r="AB75" s="306"/>
      <c r="AC75" s="33" t="s">
        <v>25</v>
      </c>
      <c r="AD75" s="64"/>
      <c r="AE75" s="43"/>
      <c r="AF75" s="43"/>
      <c r="AG75" s="43"/>
    </row>
    <row r="76" spans="2:33" x14ac:dyDescent="0.15">
      <c r="B76" s="28"/>
      <c r="C76" s="19" t="s">
        <v>83</v>
      </c>
      <c r="D76" s="47"/>
      <c r="E76" s="19"/>
      <c r="F76" s="28"/>
      <c r="G76" s="28"/>
      <c r="H76" s="28"/>
      <c r="N76" s="49"/>
      <c r="O76" s="305">
        <f ca="1">IF(Cause_Type_Name_15="","",SUM(start_basic:end_basic!DR10))</f>
        <v>0</v>
      </c>
      <c r="P76" s="306"/>
      <c r="Q76" s="33" t="s">
        <v>25</v>
      </c>
      <c r="R76" s="63"/>
      <c r="T76" s="51"/>
      <c r="U76" s="305">
        <f ca="1">IF(Cause_Type_Name_15="","",SUM(start_business:end_business!DR10))</f>
        <v>0</v>
      </c>
      <c r="V76" s="306"/>
      <c r="W76" s="33" t="s">
        <v>25</v>
      </c>
      <c r="X76" s="64"/>
      <c r="Z76" s="51"/>
      <c r="AA76" s="305">
        <f ca="1">IF(Cause_Type_Name_15="","",SUM(Basic_Cause_Type_15,Business_Cause_Type_15))</f>
        <v>0</v>
      </c>
      <c r="AB76" s="306"/>
      <c r="AC76" s="33" t="s">
        <v>25</v>
      </c>
      <c r="AD76" s="64"/>
      <c r="AE76" s="43"/>
      <c r="AF76" s="43"/>
      <c r="AG76" s="43"/>
    </row>
    <row r="77" spans="2:33" x14ac:dyDescent="0.15">
      <c r="B77" s="28"/>
      <c r="C77" s="19" t="s">
        <v>277</v>
      </c>
      <c r="D77" s="65"/>
      <c r="E77" s="19"/>
      <c r="F77" s="28"/>
      <c r="G77" s="28"/>
      <c r="H77" s="28"/>
      <c r="N77" s="49"/>
      <c r="O77" s="305">
        <f ca="1">IF(Cause_Type_Name_16="","",SUM(start_basic:end_basic!DS10))</f>
        <v>0</v>
      </c>
      <c r="P77" s="306"/>
      <c r="Q77" s="33" t="s">
        <v>25</v>
      </c>
      <c r="R77" s="63"/>
      <c r="T77" s="51"/>
      <c r="U77" s="305">
        <f ca="1">IF(Cause_Type_Name_16="","",SUM(start_business:end_business!DS10))</f>
        <v>0</v>
      </c>
      <c r="V77" s="306"/>
      <c r="W77" s="33" t="s">
        <v>25</v>
      </c>
      <c r="X77" s="64"/>
      <c r="Z77" s="51"/>
      <c r="AA77" s="305">
        <f ca="1">IF(Cause_Type_Name_16="","",SUM(Basic_Cause_Type_16,Business_Cause_Type_16))</f>
        <v>0</v>
      </c>
      <c r="AB77" s="306"/>
      <c r="AC77" s="33" t="s">
        <v>25</v>
      </c>
      <c r="AD77" s="64"/>
      <c r="AE77" s="43"/>
      <c r="AF77" s="43"/>
      <c r="AG77" s="43"/>
    </row>
    <row r="78" spans="2:33" x14ac:dyDescent="0.15">
      <c r="B78" s="28"/>
      <c r="C78" s="19" t="s">
        <v>484</v>
      </c>
      <c r="D78" s="47"/>
      <c r="E78" s="47"/>
      <c r="F78" s="47"/>
      <c r="G78" s="47"/>
      <c r="H78" s="28"/>
      <c r="N78" s="49"/>
      <c r="O78" s="305">
        <f ca="1">IF(Cause_Type_Name_17="","",SUM(start_basic:end_basic!DT10))</f>
        <v>0</v>
      </c>
      <c r="P78" s="306"/>
      <c r="Q78" s="33" t="s">
        <v>25</v>
      </c>
      <c r="R78" s="63"/>
      <c r="T78" s="51"/>
      <c r="U78" s="305">
        <f ca="1">IF(Cause_Type_Name_17="","",SUM(start_business:end_business!DT10))</f>
        <v>0</v>
      </c>
      <c r="V78" s="306"/>
      <c r="W78" s="33" t="s">
        <v>25</v>
      </c>
      <c r="X78" s="64"/>
      <c r="Z78" s="51"/>
      <c r="AA78" s="305">
        <f ca="1">IF(Cause_Type_Name_17="","",SUM(Basic_Cause_Type_17,Business_Cause_Type_17))</f>
        <v>0</v>
      </c>
      <c r="AB78" s="306"/>
      <c r="AC78" s="33" t="s">
        <v>25</v>
      </c>
      <c r="AD78" s="64"/>
      <c r="AE78" s="43"/>
      <c r="AF78" s="43"/>
      <c r="AG78" s="43"/>
    </row>
    <row r="79" spans="2:33" x14ac:dyDescent="0.15">
      <c r="B79" s="28"/>
      <c r="C79" s="19" t="s">
        <v>494</v>
      </c>
      <c r="D79" s="47"/>
      <c r="E79" s="19"/>
      <c r="F79" s="28"/>
      <c r="G79" s="28"/>
      <c r="H79" s="28"/>
      <c r="N79" s="49"/>
      <c r="O79" s="305">
        <f ca="1">IF(Cause_Type_Name_18="","",SUM(start_basic:end_basic!DU10))</f>
        <v>0</v>
      </c>
      <c r="P79" s="306"/>
      <c r="Q79" s="33" t="s">
        <v>25</v>
      </c>
      <c r="R79" s="63"/>
      <c r="T79" s="51"/>
      <c r="U79" s="305">
        <f ca="1">IF(Cause_Type_Name_18="","",SUM(start_business:end_business!DU10))</f>
        <v>0</v>
      </c>
      <c r="V79" s="306"/>
      <c r="W79" s="33" t="s">
        <v>25</v>
      </c>
      <c r="X79" s="64"/>
      <c r="Z79" s="51"/>
      <c r="AA79" s="305">
        <f ca="1">IF(Cause_Type_Name_18="","",SUM(Basic_Cause_Type_18,Business_Cause_Type_18))</f>
        <v>0</v>
      </c>
      <c r="AB79" s="306"/>
      <c r="AC79" s="33" t="s">
        <v>25</v>
      </c>
      <c r="AD79" s="64"/>
      <c r="AE79" s="43"/>
      <c r="AF79" s="43"/>
      <c r="AG79" s="43"/>
    </row>
    <row r="80" spans="2:33" x14ac:dyDescent="0.15">
      <c r="B80" s="28"/>
      <c r="C80" s="19" t="s">
        <v>506</v>
      </c>
      <c r="D80" s="47"/>
      <c r="E80" s="19"/>
      <c r="F80" s="28"/>
      <c r="G80" s="28"/>
      <c r="H80" s="28"/>
      <c r="N80" s="49"/>
      <c r="O80" s="305">
        <f ca="1">IF(Cause_Type_Name_19="","",SUM(start_basic:end_basic!DV10))</f>
        <v>0</v>
      </c>
      <c r="P80" s="306"/>
      <c r="Q80" s="33" t="s">
        <v>25</v>
      </c>
      <c r="R80" s="63"/>
      <c r="T80" s="51"/>
      <c r="U80" s="305">
        <f ca="1">IF(Cause_Type_Name_19="","",SUM(start_business:end_business!DV10))</f>
        <v>0</v>
      </c>
      <c r="V80" s="306"/>
      <c r="W80" s="33" t="s">
        <v>25</v>
      </c>
      <c r="X80" s="64"/>
      <c r="Z80" s="51"/>
      <c r="AA80" s="305">
        <f ca="1">IF(Cause_Type_Name_19="","",SUM(Basic_Cause_Type_19,Business_Cause_Type_19))</f>
        <v>0</v>
      </c>
      <c r="AB80" s="306"/>
      <c r="AC80" s="33" t="s">
        <v>25</v>
      </c>
      <c r="AD80" s="64"/>
      <c r="AE80" s="43"/>
      <c r="AF80" s="43"/>
      <c r="AG80" s="43"/>
    </row>
    <row r="81" spans="2:33" x14ac:dyDescent="0.15">
      <c r="B81" s="28"/>
      <c r="C81" s="19" t="s">
        <v>518</v>
      </c>
      <c r="D81" s="66"/>
      <c r="E81" s="19"/>
      <c r="F81" s="19"/>
      <c r="G81" s="28"/>
      <c r="H81" s="28"/>
      <c r="N81" s="49"/>
      <c r="O81" s="305">
        <f ca="1">IF(Cause_Type_Name_20="","",SUM(start_basic:end_basic!DW10))</f>
        <v>0</v>
      </c>
      <c r="P81" s="306"/>
      <c r="Q81" s="33" t="s">
        <v>25</v>
      </c>
      <c r="R81" s="63"/>
      <c r="T81" s="51"/>
      <c r="U81" s="305">
        <f ca="1">IF(Cause_Type_Name_20="","",SUM(start_business:end_business!DW10))</f>
        <v>0</v>
      </c>
      <c r="V81" s="306"/>
      <c r="W81" s="33" t="s">
        <v>25</v>
      </c>
      <c r="X81" s="64"/>
      <c r="Z81" s="51"/>
      <c r="AA81" s="305">
        <f ca="1">IF(Cause_Type_Name_20="","",SUM(Basic_Cause_Type_20,Business_Cause_Type_20))</f>
        <v>0</v>
      </c>
      <c r="AB81" s="306"/>
      <c r="AC81" s="33" t="s">
        <v>25</v>
      </c>
      <c r="AD81" s="64"/>
      <c r="AE81" s="43"/>
      <c r="AF81" s="43"/>
      <c r="AG81" s="43"/>
    </row>
    <row r="82" spans="2:33" x14ac:dyDescent="0.15">
      <c r="B82" s="28"/>
      <c r="C82" s="43" t="s">
        <v>45</v>
      </c>
      <c r="D82" s="28"/>
      <c r="E82" s="28"/>
      <c r="F82" s="28"/>
      <c r="G82" s="28"/>
      <c r="H82" s="28"/>
      <c r="N82" s="49"/>
      <c r="O82" s="305">
        <f ca="1">IF(Cause_Type_Name_21="","",SUM(start_basic:end_basic!DX10))</f>
        <v>0</v>
      </c>
      <c r="P82" s="306"/>
      <c r="Q82" s="33" t="s">
        <v>25</v>
      </c>
      <c r="R82" s="56"/>
      <c r="T82" s="51"/>
      <c r="U82" s="305">
        <f ca="1">IF(Cause_Type_Name_21="","",SUM(start_business:end_business!DX10))</f>
        <v>0</v>
      </c>
      <c r="V82" s="306"/>
      <c r="W82" s="33" t="s">
        <v>25</v>
      </c>
      <c r="X82" s="58"/>
      <c r="Z82" s="51"/>
      <c r="AA82" s="305">
        <f ca="1">IF(Cause_Type_Name_21="","",SUM(Basic_Cause_Type_21,Business_Cause_Type_21))</f>
        <v>0</v>
      </c>
      <c r="AB82" s="306"/>
      <c r="AC82" s="33" t="s">
        <v>25</v>
      </c>
      <c r="AD82" s="58"/>
      <c r="AE82" s="43"/>
      <c r="AF82" s="43"/>
      <c r="AG82" s="43"/>
    </row>
    <row r="83" spans="2:33" x14ac:dyDescent="0.15">
      <c r="B83" s="43"/>
      <c r="C83" s="43" t="s">
        <v>278</v>
      </c>
      <c r="D83" s="43"/>
      <c r="E83" s="43"/>
      <c r="F83" s="43"/>
      <c r="G83" s="43"/>
      <c r="H83" s="43"/>
      <c r="N83" s="49"/>
      <c r="O83" s="305">
        <f ca="1">IF(Cause_Type_Name_22="","",SUM(start_basic:end_basic!DY10))</f>
        <v>0</v>
      </c>
      <c r="P83" s="306"/>
      <c r="Q83" s="33" t="s">
        <v>25</v>
      </c>
      <c r="R83" s="59"/>
      <c r="T83" s="51"/>
      <c r="U83" s="305">
        <f ca="1">IF(Cause_Type_Name_22="","",SUM(start_business:end_business!DY10))</f>
        <v>0</v>
      </c>
      <c r="V83" s="306"/>
      <c r="W83" s="33" t="s">
        <v>25</v>
      </c>
      <c r="X83" s="61"/>
      <c r="Z83" s="51"/>
      <c r="AA83" s="305">
        <f ca="1">IF(Cause_Type_Name_22="","",SUM(Basic_Cause_Type_22,Business_Cause_Type_22))</f>
        <v>0</v>
      </c>
      <c r="AB83" s="306"/>
      <c r="AC83" s="33" t="s">
        <v>25</v>
      </c>
      <c r="AD83" s="61"/>
      <c r="AE83" s="43"/>
      <c r="AF83" s="43"/>
      <c r="AG83" s="43"/>
    </row>
    <row r="84" spans="2:33" x14ac:dyDescent="0.15">
      <c r="B84" s="43"/>
      <c r="C84" s="43" t="s">
        <v>279</v>
      </c>
      <c r="D84" s="43"/>
      <c r="E84" s="43"/>
      <c r="F84" s="43"/>
      <c r="G84" s="43"/>
      <c r="H84" s="43"/>
      <c r="N84" s="49"/>
      <c r="O84" s="305">
        <f ca="1">IF(Cause_Type_Name_23="","",SUM(start_basic:end_basic!DZ10))</f>
        <v>0</v>
      </c>
      <c r="P84" s="306"/>
      <c r="Q84" s="33" t="s">
        <v>25</v>
      </c>
      <c r="R84" s="59"/>
      <c r="T84" s="51"/>
      <c r="U84" s="305">
        <f ca="1">IF(Cause_Type_Name_23="","",SUM(start_business:end_business!DZ10))</f>
        <v>0</v>
      </c>
      <c r="V84" s="306"/>
      <c r="W84" s="33" t="s">
        <v>25</v>
      </c>
      <c r="X84" s="61"/>
      <c r="Z84" s="51"/>
      <c r="AA84" s="305">
        <f ca="1">IF(Cause_Type_Name_23="","",SUM(Basic_Cause_Type_23,Business_Cause_Type_23))</f>
        <v>0</v>
      </c>
      <c r="AB84" s="306"/>
      <c r="AC84" s="33" t="s">
        <v>25</v>
      </c>
      <c r="AD84" s="61"/>
      <c r="AE84" s="43"/>
      <c r="AF84" s="43"/>
      <c r="AG84" s="43"/>
    </row>
    <row r="85" spans="2:33" x14ac:dyDescent="0.15">
      <c r="B85" s="43"/>
      <c r="C85" s="43" t="s">
        <v>280</v>
      </c>
      <c r="D85" s="43"/>
      <c r="E85" s="43"/>
      <c r="F85" s="43"/>
      <c r="G85" s="43"/>
      <c r="H85" s="43"/>
      <c r="N85" s="49"/>
      <c r="O85" s="305">
        <f ca="1">IF(Cause_Type_Name_24="","",SUM(start_basic:end_basic!EA10))</f>
        <v>0</v>
      </c>
      <c r="P85" s="306"/>
      <c r="Q85" s="33" t="s">
        <v>25</v>
      </c>
      <c r="R85" s="59"/>
      <c r="T85" s="51"/>
      <c r="U85" s="305">
        <f ca="1">IF(Cause_Type_Name_24="","",SUM(start_business:end_business!EA10))</f>
        <v>0</v>
      </c>
      <c r="V85" s="306"/>
      <c r="W85" s="33" t="s">
        <v>25</v>
      </c>
      <c r="X85" s="61"/>
      <c r="Z85" s="51"/>
      <c r="AA85" s="305">
        <f ca="1">IF(Cause_Type_Name_24="","",SUM(Basic_Cause_Type_24,Business_Cause_Type_24))</f>
        <v>0</v>
      </c>
      <c r="AB85" s="306"/>
      <c r="AC85" s="33" t="s">
        <v>25</v>
      </c>
      <c r="AD85" s="61"/>
      <c r="AE85" s="43"/>
      <c r="AF85" s="43"/>
      <c r="AG85" s="43"/>
    </row>
    <row r="86" spans="2:33" x14ac:dyDescent="0.15">
      <c r="B86" s="43"/>
      <c r="C86" s="43"/>
      <c r="D86" s="43"/>
      <c r="E86" s="43"/>
      <c r="F86" s="43"/>
      <c r="G86" s="43"/>
      <c r="H86" s="43"/>
      <c r="N86" s="49"/>
      <c r="O86" s="305" t="str">
        <f>IF(Cause_Type_Name_25="","",SUM(start_basic:end_basic!EB10))</f>
        <v/>
      </c>
      <c r="P86" s="306"/>
      <c r="Q86" s="33" t="s">
        <v>25</v>
      </c>
      <c r="R86" s="44"/>
      <c r="T86" s="51"/>
      <c r="U86" s="305" t="str">
        <f>IF(Cause_Type_Name_25="","",SUM(start_business:end_business!EB10))</f>
        <v/>
      </c>
      <c r="V86" s="306"/>
      <c r="W86" s="33" t="s">
        <v>25</v>
      </c>
      <c r="X86" s="36"/>
      <c r="Z86" s="51"/>
      <c r="AA86" s="305" t="str">
        <f>IF(Cause_Type_Name_25="","",SUM(Basic_Cause_Type_25,Business_Cause_Type_25))</f>
        <v/>
      </c>
      <c r="AB86" s="306"/>
      <c r="AC86" s="33" t="s">
        <v>25</v>
      </c>
      <c r="AD86" s="36"/>
      <c r="AE86" s="43"/>
      <c r="AF86" s="43"/>
      <c r="AG86" s="43"/>
    </row>
    <row r="87" spans="2:33" x14ac:dyDescent="0.15">
      <c r="B87" s="43"/>
      <c r="C87" s="43"/>
      <c r="D87" s="43"/>
      <c r="E87" s="43"/>
      <c r="F87" s="43"/>
      <c r="G87" s="43"/>
      <c r="H87" s="43"/>
      <c r="N87" s="49"/>
      <c r="O87" s="305" t="str">
        <f>IF(Cause_Type_Name_26="","",SUM(start_basic:end_basic!EC10))</f>
        <v/>
      </c>
      <c r="P87" s="306"/>
      <c r="Q87" s="33" t="s">
        <v>25</v>
      </c>
      <c r="R87" s="44"/>
      <c r="T87" s="51"/>
      <c r="U87" s="305" t="str">
        <f>IF(Cause_Type_Name_26="","",SUM(start_business:end_business!EC10))</f>
        <v/>
      </c>
      <c r="V87" s="306"/>
      <c r="W87" s="33" t="s">
        <v>25</v>
      </c>
      <c r="X87" s="36"/>
      <c r="Z87" s="51"/>
      <c r="AA87" s="305" t="str">
        <f>IF(Cause_Type_Name_26="","",SUM(Basic_Cause_Type_26,Business_Cause_Type_26))</f>
        <v/>
      </c>
      <c r="AB87" s="306"/>
      <c r="AC87" s="33" t="s">
        <v>25</v>
      </c>
      <c r="AD87" s="36"/>
      <c r="AE87" s="43"/>
      <c r="AF87" s="43"/>
      <c r="AG87" s="43"/>
    </row>
    <row r="88" spans="2:33" x14ac:dyDescent="0.15">
      <c r="B88" s="43"/>
      <c r="C88" s="43"/>
      <c r="D88" s="43"/>
      <c r="E88" s="43"/>
      <c r="F88" s="43"/>
      <c r="G88" s="43"/>
      <c r="H88" s="43"/>
      <c r="N88" s="49"/>
      <c r="O88" s="305" t="str">
        <f>IF(Cause_Type_Name_27="","",SUM(start_basic:end_basic!ED10))</f>
        <v/>
      </c>
      <c r="P88" s="306"/>
      <c r="Q88" s="33" t="s">
        <v>25</v>
      </c>
      <c r="R88" s="44"/>
      <c r="T88" s="51"/>
      <c r="U88" s="305" t="str">
        <f>IF(Cause_Type_Name_27="","",SUM(start_business:end_business!ED10))</f>
        <v/>
      </c>
      <c r="V88" s="306"/>
      <c r="W88" s="33" t="s">
        <v>25</v>
      </c>
      <c r="X88" s="36"/>
      <c r="Z88" s="51"/>
      <c r="AA88" s="305" t="str">
        <f>IF(Cause_Type_Name_27="","",SUM(Basic_Cause_Type_27,Business_Cause_Type_27))</f>
        <v/>
      </c>
      <c r="AB88" s="306"/>
      <c r="AC88" s="33" t="s">
        <v>25</v>
      </c>
      <c r="AD88" s="36"/>
      <c r="AE88" s="43"/>
      <c r="AF88" s="43"/>
      <c r="AG88" s="43"/>
    </row>
    <row r="89" spans="2:33" x14ac:dyDescent="0.15">
      <c r="B89" s="43"/>
      <c r="C89" s="43"/>
      <c r="D89" s="43"/>
      <c r="E89" s="43"/>
      <c r="F89" s="43"/>
      <c r="G89" s="43"/>
      <c r="H89" s="43"/>
      <c r="N89" s="49"/>
      <c r="O89" s="305" t="str">
        <f>IF(Cause_Type_Name_28="","",SUM(start_basic:end_basic!EE10))</f>
        <v/>
      </c>
      <c r="P89" s="306"/>
      <c r="Q89" s="33" t="s">
        <v>25</v>
      </c>
      <c r="R89" s="63"/>
      <c r="T89" s="51"/>
      <c r="U89" s="305" t="str">
        <f>IF(Cause_Type_Name_28="","",SUM(start_business:end_business!EE10))</f>
        <v/>
      </c>
      <c r="V89" s="306"/>
      <c r="W89" s="33" t="s">
        <v>25</v>
      </c>
      <c r="X89" s="64"/>
      <c r="Z89" s="51"/>
      <c r="AA89" s="305" t="str">
        <f>IF(Cause_Type_Name_28="","",SUM(Basic_Cause_Type_28,Business_Cause_Type_28))</f>
        <v/>
      </c>
      <c r="AB89" s="306"/>
      <c r="AC89" s="33" t="s">
        <v>25</v>
      </c>
      <c r="AD89" s="64"/>
      <c r="AE89" s="43"/>
      <c r="AF89" s="43"/>
      <c r="AG89" s="43"/>
    </row>
    <row r="90" spans="2:33" x14ac:dyDescent="0.15">
      <c r="B90" s="43"/>
      <c r="C90" s="43"/>
      <c r="D90" s="43"/>
      <c r="E90" s="43"/>
      <c r="F90" s="43"/>
      <c r="G90" s="43"/>
      <c r="H90" s="43"/>
      <c r="N90" s="49"/>
      <c r="O90" s="305" t="str">
        <f>IF(Cause_Type_Name_29="","",SUM(start_basic:end_basic!EF10))</f>
        <v/>
      </c>
      <c r="P90" s="306"/>
      <c r="Q90" s="33" t="s">
        <v>25</v>
      </c>
      <c r="R90" s="63"/>
      <c r="T90" s="51"/>
      <c r="U90" s="305" t="str">
        <f>IF(Cause_Type_Name_29="","",SUM(start_business:end_business!EF10))</f>
        <v/>
      </c>
      <c r="V90" s="306"/>
      <c r="W90" s="33" t="s">
        <v>25</v>
      </c>
      <c r="X90" s="64"/>
      <c r="Z90" s="51"/>
      <c r="AA90" s="305" t="str">
        <f>IF(Cause_Type_Name_29="","",SUM(Basic_Cause_Type_29,Business_Cause_Type_29))</f>
        <v/>
      </c>
      <c r="AB90" s="306"/>
      <c r="AC90" s="33" t="s">
        <v>25</v>
      </c>
      <c r="AD90" s="64"/>
      <c r="AE90" s="43"/>
      <c r="AF90" s="43"/>
      <c r="AG90" s="43"/>
    </row>
    <row r="91" spans="2:33" x14ac:dyDescent="0.15">
      <c r="B91" s="43"/>
      <c r="C91" s="43"/>
      <c r="D91" s="43"/>
      <c r="E91" s="43"/>
      <c r="F91" s="43"/>
      <c r="G91" s="43"/>
      <c r="H91" s="43"/>
      <c r="N91" s="49"/>
      <c r="O91" s="305" t="str">
        <f>IF(Cause_Type_Name_30="","",SUM(start_basic:end_basic!EG10))</f>
        <v/>
      </c>
      <c r="P91" s="306"/>
      <c r="Q91" s="33" t="s">
        <v>25</v>
      </c>
      <c r="R91" s="63"/>
      <c r="T91" s="51"/>
      <c r="U91" s="305" t="str">
        <f>IF(Cause_Type_Name_30="","",SUM(start_business:end_business!EG10))</f>
        <v/>
      </c>
      <c r="V91" s="306"/>
      <c r="W91" s="33" t="s">
        <v>25</v>
      </c>
      <c r="X91" s="64"/>
      <c r="Z91" s="51"/>
      <c r="AA91" s="305" t="str">
        <f>IF(Cause_Type_Name_30="","",SUM(Basic_Cause_Type_30,Business_Cause_Type_30))</f>
        <v/>
      </c>
      <c r="AB91" s="306"/>
      <c r="AC91" s="33" t="s">
        <v>25</v>
      </c>
      <c r="AD91" s="64"/>
      <c r="AE91" s="43"/>
      <c r="AF91" s="43"/>
      <c r="AG91" s="43"/>
    </row>
    <row r="92" spans="2:33" x14ac:dyDescent="0.15">
      <c r="B92" s="43"/>
      <c r="C92" s="43"/>
      <c r="D92" s="43"/>
      <c r="E92" s="43"/>
      <c r="F92" s="43"/>
      <c r="G92" s="43"/>
      <c r="H92" s="43"/>
      <c r="N92" s="49"/>
      <c r="O92" s="305" t="str">
        <f>IF(Cause_Type_Name_31="","",SUM(start_basic:end_basic!EH10))</f>
        <v/>
      </c>
      <c r="P92" s="306"/>
      <c r="Q92" s="33" t="s">
        <v>25</v>
      </c>
      <c r="R92" s="63"/>
      <c r="T92" s="51"/>
      <c r="U92" s="305" t="str">
        <f>IF(Cause_Type_Name_31="","",SUM(start_business:end_business!EH10))</f>
        <v/>
      </c>
      <c r="V92" s="306"/>
      <c r="W92" s="33" t="s">
        <v>25</v>
      </c>
      <c r="X92" s="64"/>
      <c r="Z92" s="51"/>
      <c r="AA92" s="305" t="str">
        <f>IF(Cause_Type_Name_31="","",SUM(Basic_Cause_Type_31,Business_Cause_Type_31))</f>
        <v/>
      </c>
      <c r="AB92" s="306"/>
      <c r="AC92" s="33" t="s">
        <v>25</v>
      </c>
      <c r="AD92" s="64"/>
      <c r="AE92" s="43"/>
      <c r="AF92" s="43"/>
      <c r="AG92" s="43"/>
    </row>
    <row r="93" spans="2:33" x14ac:dyDescent="0.15">
      <c r="C93" s="45"/>
      <c r="N93" s="49"/>
      <c r="O93" s="305" t="str">
        <f>IF(Cause_Type_Name_32="","",SUM(start_basic:end_basic!EI10))</f>
        <v/>
      </c>
      <c r="P93" s="306"/>
      <c r="Q93" s="33" t="s">
        <v>25</v>
      </c>
      <c r="R93" s="63"/>
      <c r="T93" s="51"/>
      <c r="U93" s="305" t="str">
        <f>IF(Cause_Type_Name_32="","",SUM(start_business:end_business!EI10))</f>
        <v/>
      </c>
      <c r="V93" s="306"/>
      <c r="W93" s="33" t="s">
        <v>25</v>
      </c>
      <c r="X93" s="64"/>
      <c r="Z93" s="51"/>
      <c r="AA93" s="305" t="str">
        <f>IF(Cause_Type_Name_32="","",SUM(Basic_Cause_Type_32,Business_Cause_Type_32))</f>
        <v/>
      </c>
      <c r="AB93" s="306"/>
      <c r="AC93" s="33" t="s">
        <v>25</v>
      </c>
      <c r="AD93" s="64"/>
    </row>
    <row r="94" spans="2:33" x14ac:dyDescent="0.15">
      <c r="C94" s="45"/>
      <c r="N94" s="49"/>
      <c r="O94" s="305" t="str">
        <f>IF(Cause_Type_Name_33="","",SUM(start_basic:end_basic!EJ10))</f>
        <v/>
      </c>
      <c r="P94" s="306"/>
      <c r="Q94" s="33" t="s">
        <v>25</v>
      </c>
      <c r="R94" s="63"/>
      <c r="T94" s="51"/>
      <c r="U94" s="305" t="str">
        <f>IF(Cause_Type_Name_33="","",SUM(start_business:end_business!EJ10))</f>
        <v/>
      </c>
      <c r="V94" s="306"/>
      <c r="W94" s="33" t="s">
        <v>25</v>
      </c>
      <c r="X94" s="64"/>
      <c r="Z94" s="51"/>
      <c r="AA94" s="305" t="str">
        <f>IF(Cause_Type_Name_33="","",SUM(Basic_Cause_Type_33,Business_Cause_Type_33))</f>
        <v/>
      </c>
      <c r="AB94" s="306"/>
      <c r="AC94" s="33" t="s">
        <v>25</v>
      </c>
      <c r="AD94" s="64"/>
    </row>
    <row r="95" spans="2:33" x14ac:dyDescent="0.15">
      <c r="C95" s="45"/>
      <c r="N95" s="49"/>
      <c r="O95" s="305" t="str">
        <f>IF(Cause_Type_Name_34="","",SUM(start_basic:end_basic!EK10))</f>
        <v/>
      </c>
      <c r="P95" s="306"/>
      <c r="Q95" s="33" t="s">
        <v>25</v>
      </c>
      <c r="R95" s="63"/>
      <c r="T95" s="51"/>
      <c r="U95" s="305" t="str">
        <f>IF(Cause_Type_Name_34="","",SUM(start_business:end_business!EK10))</f>
        <v/>
      </c>
      <c r="V95" s="306"/>
      <c r="W95" s="33" t="s">
        <v>25</v>
      </c>
      <c r="X95" s="64"/>
      <c r="Z95" s="51"/>
      <c r="AA95" s="305" t="str">
        <f>IF(Cause_Type_Name_34="","",SUM(Basic_Cause_Type_34,Business_Cause_Type_34))</f>
        <v/>
      </c>
      <c r="AB95" s="306"/>
      <c r="AC95" s="33" t="s">
        <v>25</v>
      </c>
      <c r="AD95" s="64"/>
    </row>
    <row r="96" spans="2:33" x14ac:dyDescent="0.15">
      <c r="C96" s="45"/>
      <c r="N96" s="49"/>
      <c r="O96" s="305" t="str">
        <f>IF(Cause_Type_Name_35="","",SUM(start_basic:end_basic!EL10))</f>
        <v/>
      </c>
      <c r="P96" s="306"/>
      <c r="Q96" s="33" t="s">
        <v>25</v>
      </c>
      <c r="R96" s="63"/>
      <c r="T96" s="51"/>
      <c r="U96" s="305" t="str">
        <f>IF(Cause_Type_Name_35="","",SUM(start_business:end_business!EL10))</f>
        <v/>
      </c>
      <c r="V96" s="306"/>
      <c r="W96" s="33" t="s">
        <v>25</v>
      </c>
      <c r="X96" s="64"/>
      <c r="Z96" s="51"/>
      <c r="AA96" s="305" t="str">
        <f>IF(Cause_Type_Name_35="","",SUM(Basic_Cause_Type_35,Business_Cause_Type_35))</f>
        <v/>
      </c>
      <c r="AB96" s="306"/>
      <c r="AC96" s="33" t="s">
        <v>25</v>
      </c>
      <c r="AD96" s="64"/>
    </row>
    <row r="97" spans="1:43" x14ac:dyDescent="0.15">
      <c r="C97" s="45"/>
      <c r="N97" s="49"/>
      <c r="O97" s="305" t="str">
        <f>IF(Cause_Type_Name_36="","",SUM(start_basic:end_basic!EM10))</f>
        <v/>
      </c>
      <c r="P97" s="306"/>
      <c r="Q97" s="33" t="s">
        <v>25</v>
      </c>
      <c r="R97" s="63"/>
      <c r="T97" s="51"/>
      <c r="U97" s="305" t="str">
        <f>IF(Cause_Type_Name_36="","",SUM(start_business:end_business!EM10))</f>
        <v/>
      </c>
      <c r="V97" s="306"/>
      <c r="W97" s="33" t="s">
        <v>25</v>
      </c>
      <c r="X97" s="64"/>
      <c r="Z97" s="51"/>
      <c r="AA97" s="305" t="str">
        <f>IF(Cause_Type_Name_36="","",SUM(Basic_Cause_Type_36,Business_Cause_Type_36))</f>
        <v/>
      </c>
      <c r="AB97" s="306"/>
      <c r="AC97" s="33" t="s">
        <v>25</v>
      </c>
      <c r="AD97" s="64"/>
    </row>
    <row r="98" spans="1:43" x14ac:dyDescent="0.15">
      <c r="C98" s="45"/>
      <c r="N98" s="49"/>
      <c r="O98" s="305" t="str">
        <f>IF(Cause_Type_Name_37="","",SUM(start_basic:end_basic!EN10))</f>
        <v/>
      </c>
      <c r="P98" s="306"/>
      <c r="Q98" s="33" t="s">
        <v>25</v>
      </c>
      <c r="R98" s="63"/>
      <c r="T98" s="51"/>
      <c r="U98" s="305" t="str">
        <f>IF(Cause_Type_Name_37="","",SUM(start_business:end_business!EN10))</f>
        <v/>
      </c>
      <c r="V98" s="306"/>
      <c r="W98" s="33" t="s">
        <v>25</v>
      </c>
      <c r="X98" s="64"/>
      <c r="Z98" s="51"/>
      <c r="AA98" s="305" t="str">
        <f>IF(Cause_Type_Name_37="","",SUM(Basic_Cause_Type_37,Business_Cause_Type_37))</f>
        <v/>
      </c>
      <c r="AB98" s="306"/>
      <c r="AC98" s="33" t="s">
        <v>25</v>
      </c>
      <c r="AD98" s="64"/>
    </row>
    <row r="99" spans="1:43" x14ac:dyDescent="0.15">
      <c r="C99" s="45"/>
      <c r="N99" s="49"/>
      <c r="O99" s="305" t="str">
        <f>IF(Cause_Type_Name_38="","",SUM(start_basic:end_basic!EO10))</f>
        <v/>
      </c>
      <c r="P99" s="306"/>
      <c r="Q99" s="33" t="s">
        <v>25</v>
      </c>
      <c r="R99" s="63"/>
      <c r="T99" s="51"/>
      <c r="U99" s="305" t="str">
        <f>IF(Cause_Type_Name_38="","",SUM(start_business:end_business!EO10))</f>
        <v/>
      </c>
      <c r="V99" s="306"/>
      <c r="W99" s="33" t="s">
        <v>25</v>
      </c>
      <c r="X99" s="64"/>
      <c r="Z99" s="51"/>
      <c r="AA99" s="305" t="str">
        <f>IF(Cause_Type_Name_38="","",SUM(Basic_Cause_Type_38,Business_Cause_Type_38))</f>
        <v/>
      </c>
      <c r="AB99" s="306"/>
      <c r="AC99" s="33" t="s">
        <v>25</v>
      </c>
      <c r="AD99" s="64"/>
    </row>
    <row r="100" spans="1:43" x14ac:dyDescent="0.15">
      <c r="C100" s="45"/>
      <c r="N100" s="49"/>
      <c r="O100" s="305" t="str">
        <f>IF(Cause_Type_Name_39="","",SUM(start_basic:end_basic!EP10))</f>
        <v/>
      </c>
      <c r="P100" s="306"/>
      <c r="Q100" s="33" t="s">
        <v>25</v>
      </c>
      <c r="R100" s="63"/>
      <c r="T100" s="51"/>
      <c r="U100" s="305" t="str">
        <f>IF(Cause_Type_Name_39="","",SUM(start_business:end_business!EP10))</f>
        <v/>
      </c>
      <c r="V100" s="306"/>
      <c r="W100" s="33" t="s">
        <v>25</v>
      </c>
      <c r="X100" s="64"/>
      <c r="Z100" s="51"/>
      <c r="AA100" s="305" t="str">
        <f>IF(Cause_Type_Name_39="","",SUM(Basic_Cause_Type_39,Business_Cause_Type_39))</f>
        <v/>
      </c>
      <c r="AB100" s="306"/>
      <c r="AC100" s="33" t="s">
        <v>25</v>
      </c>
      <c r="AD100" s="64"/>
    </row>
    <row r="101" spans="1:43" x14ac:dyDescent="0.15">
      <c r="C101" s="45"/>
      <c r="N101" s="49"/>
      <c r="O101" s="292" t="str">
        <f>IF(Cause_Type_Name_40="","",SUM(start_basic:end_basic!EQ10))</f>
        <v/>
      </c>
      <c r="P101" s="310"/>
      <c r="Q101" s="33" t="s">
        <v>25</v>
      </c>
      <c r="R101" s="63"/>
      <c r="T101" s="51"/>
      <c r="U101" s="292" t="str">
        <f>IF(Cause_Type_Name_40="","",SUM(start_business:end_business!EQ10))</f>
        <v/>
      </c>
      <c r="V101" s="310"/>
      <c r="W101" s="33" t="s">
        <v>25</v>
      </c>
      <c r="X101" s="64"/>
      <c r="Z101" s="51"/>
      <c r="AA101" s="292" t="str">
        <f>IF(Cause_Type_Name_40="","",SUM(Basic_Cause_Type_40,Business_Cause_Type_40))</f>
        <v/>
      </c>
      <c r="AB101" s="293"/>
      <c r="AC101" s="33" t="s">
        <v>25</v>
      </c>
      <c r="AD101" s="64"/>
    </row>
    <row r="102" spans="1:43" x14ac:dyDescent="0.15">
      <c r="N102" s="67"/>
      <c r="O102" s="68"/>
      <c r="P102" s="68"/>
      <c r="Q102" s="68"/>
      <c r="R102" s="69"/>
      <c r="T102" s="70"/>
      <c r="U102" s="71"/>
      <c r="V102" s="71"/>
      <c r="W102" s="71"/>
      <c r="X102" s="72"/>
      <c r="Z102" s="70"/>
      <c r="AA102" s="71"/>
      <c r="AB102" s="71"/>
      <c r="AC102" s="71"/>
      <c r="AD102" s="72"/>
    </row>
    <row r="103" spans="1:43" x14ac:dyDescent="0.15">
      <c r="A103" s="169"/>
      <c r="B103" s="170"/>
      <c r="C103" s="170"/>
      <c r="D103" s="170"/>
      <c r="E103" s="170"/>
      <c r="F103" s="170"/>
      <c r="G103" s="170"/>
      <c r="H103" s="170"/>
      <c r="I103" s="170"/>
      <c r="J103" s="170"/>
      <c r="K103" s="170"/>
      <c r="L103" s="170"/>
      <c r="M103" s="170"/>
      <c r="N103" s="170"/>
      <c r="O103" s="170"/>
      <c r="P103" s="170"/>
      <c r="Q103" s="170"/>
      <c r="R103" s="170"/>
      <c r="S103" s="170"/>
      <c r="T103" s="170"/>
      <c r="U103" s="170"/>
      <c r="V103" s="170"/>
      <c r="W103" s="170"/>
      <c r="X103" s="170"/>
      <c r="Y103" s="170"/>
      <c r="Z103" s="170"/>
      <c r="AA103" s="170"/>
      <c r="AB103" s="170"/>
      <c r="AC103" s="170"/>
      <c r="AD103" s="170"/>
      <c r="AE103" s="170"/>
      <c r="AF103" s="170"/>
      <c r="AG103" s="170"/>
      <c r="AH103" s="170"/>
      <c r="AI103" s="170"/>
      <c r="AJ103" s="170"/>
      <c r="AK103" s="170"/>
      <c r="AL103" s="170"/>
      <c r="AM103" s="170"/>
      <c r="AN103" s="170"/>
      <c r="AO103" s="170"/>
      <c r="AP103" s="170"/>
      <c r="AQ103" s="170"/>
    </row>
  </sheetData>
  <sheetProtection selectLockedCells="1"/>
  <mergeCells count="279">
    <mergeCell ref="AC5:AD5"/>
    <mergeCell ref="AE5:AG5"/>
    <mergeCell ref="AH5:AJ5"/>
    <mergeCell ref="B6:H6"/>
    <mergeCell ref="I6:N6"/>
    <mergeCell ref="B9:H9"/>
    <mergeCell ref="I9:N9"/>
    <mergeCell ref="B8:H8"/>
    <mergeCell ref="I8:N8"/>
    <mergeCell ref="AN3:AQ3"/>
    <mergeCell ref="AC4:AD4"/>
    <mergeCell ref="AE4:AG4"/>
    <mergeCell ref="AH4:AJ4"/>
    <mergeCell ref="AN4:AQ4"/>
    <mergeCell ref="D3:N4"/>
    <mergeCell ref="B3:C4"/>
    <mergeCell ref="B15:E15"/>
    <mergeCell ref="F15:H15"/>
    <mergeCell ref="I15:K15"/>
    <mergeCell ref="L15:N15"/>
    <mergeCell ref="O15:Q15"/>
    <mergeCell ref="B12:H12"/>
    <mergeCell ref="I12:N12"/>
    <mergeCell ref="B11:H11"/>
    <mergeCell ref="I11:N11"/>
    <mergeCell ref="B10:H10"/>
    <mergeCell ref="I10:N10"/>
    <mergeCell ref="B7:H7"/>
    <mergeCell ref="I7:N7"/>
    <mergeCell ref="O3:X4"/>
    <mergeCell ref="AC3:AD3"/>
    <mergeCell ref="AE3:AG3"/>
    <mergeCell ref="AH3:AJ3"/>
    <mergeCell ref="AA20:AB20"/>
    <mergeCell ref="AG20:AH20"/>
    <mergeCell ref="AM20:AN20"/>
    <mergeCell ref="B16:E18"/>
    <mergeCell ref="F16:H18"/>
    <mergeCell ref="I16:K18"/>
    <mergeCell ref="L16:N18"/>
    <mergeCell ref="O16:Q18"/>
    <mergeCell ref="AM16:AN16"/>
    <mergeCell ref="B22:E24"/>
    <mergeCell ref="F22:H24"/>
    <mergeCell ref="I22:K24"/>
    <mergeCell ref="L22:N24"/>
    <mergeCell ref="O22:Q24"/>
    <mergeCell ref="AA22:AB22"/>
    <mergeCell ref="AG22:AH22"/>
    <mergeCell ref="AM22:AN22"/>
    <mergeCell ref="B21:E21"/>
    <mergeCell ref="F21:H21"/>
    <mergeCell ref="I21:K21"/>
    <mergeCell ref="L21:N21"/>
    <mergeCell ref="O21:Q21"/>
    <mergeCell ref="AM24:AN24"/>
    <mergeCell ref="AG24:AH24"/>
    <mergeCell ref="B28:E30"/>
    <mergeCell ref="F28:H30"/>
    <mergeCell ref="I28:K30"/>
    <mergeCell ref="L28:N30"/>
    <mergeCell ref="O28:Q30"/>
    <mergeCell ref="AA26:AB26"/>
    <mergeCell ref="AG26:AH26"/>
    <mergeCell ref="AM26:AN26"/>
    <mergeCell ref="B27:E27"/>
    <mergeCell ref="F27:H27"/>
    <mergeCell ref="I27:K27"/>
    <mergeCell ref="L27:N27"/>
    <mergeCell ref="O27:Q27"/>
    <mergeCell ref="AA27:AB27"/>
    <mergeCell ref="AG27:AH27"/>
    <mergeCell ref="AM27:AN27"/>
    <mergeCell ref="AA28:AB28"/>
    <mergeCell ref="AA29:AB29"/>
    <mergeCell ref="AA30:AB30"/>
    <mergeCell ref="B35:D37"/>
    <mergeCell ref="E35:G37"/>
    <mergeCell ref="H35:J37"/>
    <mergeCell ref="K35:M37"/>
    <mergeCell ref="N35:P37"/>
    <mergeCell ref="B34:D34"/>
    <mergeCell ref="E34:G34"/>
    <mergeCell ref="H34:J34"/>
    <mergeCell ref="K34:M34"/>
    <mergeCell ref="N34:P34"/>
    <mergeCell ref="B40:D42"/>
    <mergeCell ref="E40:G42"/>
    <mergeCell ref="H40:J42"/>
    <mergeCell ref="K40:M42"/>
    <mergeCell ref="N40:P42"/>
    <mergeCell ref="B39:D39"/>
    <mergeCell ref="E39:G39"/>
    <mergeCell ref="H39:J39"/>
    <mergeCell ref="K39:M39"/>
    <mergeCell ref="N39:P39"/>
    <mergeCell ref="AC50:AN50"/>
    <mergeCell ref="T51:U51"/>
    <mergeCell ref="V51:X51"/>
    <mergeCell ref="Y51:Z51"/>
    <mergeCell ref="AA51:AB51"/>
    <mergeCell ref="AC51:AD51"/>
    <mergeCell ref="AE51:AG51"/>
    <mergeCell ref="AH51:AL51"/>
    <mergeCell ref="B44:D44"/>
    <mergeCell ref="E44:P44"/>
    <mergeCell ref="B45:D47"/>
    <mergeCell ref="E45:P47"/>
    <mergeCell ref="AM51:AN51"/>
    <mergeCell ref="D53:E53"/>
    <mergeCell ref="G53:H53"/>
    <mergeCell ref="B54:C54"/>
    <mergeCell ref="D54:E54"/>
    <mergeCell ref="G54:H54"/>
    <mergeCell ref="B51:C51"/>
    <mergeCell ref="D51:F51"/>
    <mergeCell ref="G51:I51"/>
    <mergeCell ref="J51:P51"/>
    <mergeCell ref="B52:C52"/>
    <mergeCell ref="D52:E52"/>
    <mergeCell ref="G52:H52"/>
    <mergeCell ref="J52:P54"/>
    <mergeCell ref="B53:C53"/>
    <mergeCell ref="B57:C58"/>
    <mergeCell ref="D57:N58"/>
    <mergeCell ref="O62:P62"/>
    <mergeCell ref="U62:V62"/>
    <mergeCell ref="AA62:AB62"/>
    <mergeCell ref="O63:P63"/>
    <mergeCell ref="U63:V63"/>
    <mergeCell ref="AA63:AB63"/>
    <mergeCell ref="O64:P64"/>
    <mergeCell ref="U64:V64"/>
    <mergeCell ref="AA64:AB64"/>
    <mergeCell ref="O65:P65"/>
    <mergeCell ref="U65:V65"/>
    <mergeCell ref="AA65:AB65"/>
    <mergeCell ref="O66:P66"/>
    <mergeCell ref="U66:V66"/>
    <mergeCell ref="AA66:AB66"/>
    <mergeCell ref="O67:P67"/>
    <mergeCell ref="U67:V67"/>
    <mergeCell ref="AA67:AB67"/>
    <mergeCell ref="O68:P68"/>
    <mergeCell ref="U68:V68"/>
    <mergeCell ref="AA68:AB68"/>
    <mergeCell ref="O69:P69"/>
    <mergeCell ref="U69:V69"/>
    <mergeCell ref="AA69:AB69"/>
    <mergeCell ref="O70:P70"/>
    <mergeCell ref="U70:V70"/>
    <mergeCell ref="AA70:AB70"/>
    <mergeCell ref="AC52:AD54"/>
    <mergeCell ref="AE52:AG54"/>
    <mergeCell ref="AH52:AL54"/>
    <mergeCell ref="AM52:AN54"/>
    <mergeCell ref="T41:AO47"/>
    <mergeCell ref="O80:P80"/>
    <mergeCell ref="U80:V80"/>
    <mergeCell ref="AA80:AB80"/>
    <mergeCell ref="O81:P81"/>
    <mergeCell ref="U81:V81"/>
    <mergeCell ref="AA81:AB81"/>
    <mergeCell ref="T50:AB50"/>
    <mergeCell ref="O77:P77"/>
    <mergeCell ref="U77:V77"/>
    <mergeCell ref="AA77:AB77"/>
    <mergeCell ref="O78:P78"/>
    <mergeCell ref="U78:V78"/>
    <mergeCell ref="AA78:AB78"/>
    <mergeCell ref="O79:P79"/>
    <mergeCell ref="U79:V79"/>
    <mergeCell ref="AA79:AB79"/>
    <mergeCell ref="O74:P74"/>
    <mergeCell ref="U74:V74"/>
    <mergeCell ref="AA74:AB74"/>
    <mergeCell ref="AA95:AB95"/>
    <mergeCell ref="U95:V95"/>
    <mergeCell ref="O95:P95"/>
    <mergeCell ref="AA94:AB94"/>
    <mergeCell ref="U94:V94"/>
    <mergeCell ref="T52:U54"/>
    <mergeCell ref="V52:X54"/>
    <mergeCell ref="Y52:Z54"/>
    <mergeCell ref="AA52:AB54"/>
    <mergeCell ref="O75:P75"/>
    <mergeCell ref="U75:V75"/>
    <mergeCell ref="AA75:AB75"/>
    <mergeCell ref="O76:P76"/>
    <mergeCell ref="U76:V76"/>
    <mergeCell ref="AA76:AB76"/>
    <mergeCell ref="O71:P71"/>
    <mergeCell ref="U71:V71"/>
    <mergeCell ref="AA71:AB71"/>
    <mergeCell ref="O72:P72"/>
    <mergeCell ref="U72:V72"/>
    <mergeCell ref="AA72:AB72"/>
    <mergeCell ref="O73:P73"/>
    <mergeCell ref="U73:V73"/>
    <mergeCell ref="AA73:AB73"/>
    <mergeCell ref="AA98:AB98"/>
    <mergeCell ref="U98:V98"/>
    <mergeCell ref="O98:P98"/>
    <mergeCell ref="AA97:AB97"/>
    <mergeCell ref="U97:V97"/>
    <mergeCell ref="O97:P97"/>
    <mergeCell ref="AA96:AB96"/>
    <mergeCell ref="U96:V96"/>
    <mergeCell ref="O96:P96"/>
    <mergeCell ref="AA101:AB101"/>
    <mergeCell ref="U101:V101"/>
    <mergeCell ref="O101:P101"/>
    <mergeCell ref="AA100:AB100"/>
    <mergeCell ref="U100:V100"/>
    <mergeCell ref="O100:P100"/>
    <mergeCell ref="AA99:AB99"/>
    <mergeCell ref="U99:V99"/>
    <mergeCell ref="O99:P99"/>
    <mergeCell ref="O94:P94"/>
    <mergeCell ref="AA93:AB93"/>
    <mergeCell ref="U93:V93"/>
    <mergeCell ref="O93:P93"/>
    <mergeCell ref="AA92:AB92"/>
    <mergeCell ref="U92:V92"/>
    <mergeCell ref="O92:P92"/>
    <mergeCell ref="AA91:AB91"/>
    <mergeCell ref="U91:V91"/>
    <mergeCell ref="O91:P91"/>
    <mergeCell ref="AA90:AB90"/>
    <mergeCell ref="U90:V90"/>
    <mergeCell ref="O90:P90"/>
    <mergeCell ref="AA89:AB89"/>
    <mergeCell ref="U89:V89"/>
    <mergeCell ref="O89:P89"/>
    <mergeCell ref="AA88:AB88"/>
    <mergeCell ref="U88:V88"/>
    <mergeCell ref="O88:P88"/>
    <mergeCell ref="AA87:AB87"/>
    <mergeCell ref="U87:V87"/>
    <mergeCell ref="O87:P87"/>
    <mergeCell ref="AA86:AB86"/>
    <mergeCell ref="U86:V86"/>
    <mergeCell ref="O86:P86"/>
    <mergeCell ref="AA82:AB82"/>
    <mergeCell ref="U82:V82"/>
    <mergeCell ref="O82:P82"/>
    <mergeCell ref="AA85:AB85"/>
    <mergeCell ref="U85:V85"/>
    <mergeCell ref="O85:P85"/>
    <mergeCell ref="AA84:AB84"/>
    <mergeCell ref="U84:V84"/>
    <mergeCell ref="O84:P84"/>
    <mergeCell ref="AA83:AB83"/>
    <mergeCell ref="U83:V83"/>
    <mergeCell ref="O83:P83"/>
    <mergeCell ref="AA31:AB31"/>
    <mergeCell ref="AA16:AB16"/>
    <mergeCell ref="AG16:AH16"/>
    <mergeCell ref="AA17:AB17"/>
    <mergeCell ref="AG17:AH17"/>
    <mergeCell ref="AM17:AN17"/>
    <mergeCell ref="AG28:AH28"/>
    <mergeCell ref="AG29:AH29"/>
    <mergeCell ref="AG30:AH30"/>
    <mergeCell ref="AG31:AH31"/>
    <mergeCell ref="AM28:AN28"/>
    <mergeCell ref="AM29:AN29"/>
    <mergeCell ref="AM30:AN30"/>
    <mergeCell ref="AM31:AN31"/>
    <mergeCell ref="AA24:AB24"/>
    <mergeCell ref="AA23:AB23"/>
    <mergeCell ref="AG23:AH23"/>
    <mergeCell ref="AM23:AN23"/>
    <mergeCell ref="AA25:AB25"/>
    <mergeCell ref="AG25:AH25"/>
    <mergeCell ref="AM25:AN25"/>
    <mergeCell ref="AA19:AB19"/>
    <mergeCell ref="AG19:AH19"/>
    <mergeCell ref="AM19:AN19"/>
  </mergeCells>
  <phoneticPr fontId="3"/>
  <conditionalFormatting sqref="O62:P101">
    <cfRule type="cellIs" dxfId="23" priority="3" operator="equal">
      <formula>0</formula>
    </cfRule>
  </conditionalFormatting>
  <conditionalFormatting sqref="U62:V101">
    <cfRule type="cellIs" dxfId="22" priority="2" operator="equal">
      <formula>0</formula>
    </cfRule>
  </conditionalFormatting>
  <conditionalFormatting sqref="AA62:AB101">
    <cfRule type="cellIs" dxfId="21" priority="1" operator="equal">
      <formula>0</formula>
    </cfRule>
  </conditionalFormatting>
  <dataValidations count="14">
    <dataValidation type="list" allowBlank="1" showInputMessage="1" showErrorMessage="1" sqref="AM52:AN54 AA52:AB54">
      <formula1>"Passed,Failed"</formula1>
    </dataValidation>
    <dataValidation type="list" operator="lessThanOrEqual" allowBlank="1" showInputMessage="1" error="Please input developer PIC name of up to 25 characters." sqref="I11:N11">
      <formula1>INDIRECT(Developer_Name_List_Range)</formula1>
    </dataValidation>
    <dataValidation type="list" operator="lessThanOrEqual" allowBlank="1" showInputMessage="1" showErrorMessage="1" error="Please input development company name of up to 40 characters." sqref="I10:N10">
      <formula1>INDIRECT(Division_Name_Abbreviation_List_Range)</formula1>
    </dataValidation>
    <dataValidation type="list" showInputMessage="1" showErrorMessage="1" sqref="I8:N8">
      <formula1>INDIRECT(VLOOKUP(Subsystem&amp;Business_Process_Name,Process_Range,3,FALSE))</formula1>
    </dataValidation>
    <dataValidation type="list" showInputMessage="1" showErrorMessage="1" sqref="I7:N7">
      <formula1>INDIRECT(VLOOKUP(Subsystem,Business_Process_Range,3,FALSE))</formula1>
    </dataValidation>
    <dataValidation type="list" showInputMessage="1" showErrorMessage="1" sqref="I6:N6">
      <formula1>INDIRECT(Subsystem_List)</formula1>
    </dataValidation>
    <dataValidation type="date" allowBlank="1" showInputMessage="1" showErrorMessage="1" sqref="AE4:AG5 I16:K18 I22:K24 I28:K30 B35:G37 K35:M37 AE52:AG54 K40:M42 V52:X54 B40:G42">
      <formula1>36526</formula1>
      <formula2>2958465</formula2>
    </dataValidation>
    <dataValidation type="decimal" operator="greaterThanOrEqual" allowBlank="1" showInputMessage="1" showErrorMessage="1" sqref="I12:N12 F16:H18 F22:H24 F28:H30 AA17:AB17 AA20:AB20 AG17:AH17 AG20:AH20 B45:D47 AM17:AN17 AM20:AN20">
      <formula1>0</formula1>
    </dataValidation>
    <dataValidation type="whole" operator="greaterThanOrEqual" allowBlank="1" showInputMessage="1" showErrorMessage="1" sqref="B16:E18 B22:E24 B28:E30 AA16:AB16 AA19:AB19 D52:E54 AG22:AH31 O62:P101 AM22:AM31 AC52:AD54 G52:H54 AM16:AN16 AM19:AN19 AA22:AA31 T52:U54 U62:V101 AA62:AB101">
      <formula1>0</formula1>
    </dataValidation>
    <dataValidation type="textLength" operator="lessThanOrEqual" allowBlank="1" showInputMessage="1" showErrorMessage="1" sqref="C62:C101">
      <formula1>40</formula1>
    </dataValidation>
    <dataValidation type="whole" operator="greaterThanOrEqual" allowBlank="1" showInputMessage="1" sqref="AG16:AH16 AG19:AH19">
      <formula1>0</formula1>
    </dataValidation>
    <dataValidation type="list" allowBlank="1" showInputMessage="1" sqref="O3:X4">
      <formula1>"Program Test for Online,Program Test for Batch,Program Test for Report,Module for Part"</formula1>
    </dataValidation>
    <dataValidation operator="lessThanOrEqual" allowBlank="1" showInputMessage="1" showErrorMessage="1" sqref="U33"/>
    <dataValidation type="textLength" allowBlank="1" showInputMessage="1" showErrorMessage="1" sqref="U22:U31">
      <formula1>1</formula1>
      <formula2>5</formula2>
    </dataValidation>
  </dataValidations>
  <pageMargins left="0.27559055118110237" right="0.27559055118110237" top="0.39370078740157483" bottom="0.35433070866141736" header="0.39370078740157483" footer="0.39370078740157483"/>
  <pageSetup paperSize="9" scale="63" fitToHeight="0" orientation="landscape" copies="5" r:id="rId1"/>
  <headerFooter alignWithMargins="0">
    <oddFooter>&amp;L&amp;"Arial,標準"FUJITSU CONFIDENTIAL&amp;R&amp;"Arial,標準"All Rights Reserved, Copyright (C) FUJITSU LIMITED 2017</oddFooter>
  </headerFooter>
  <rowBreaks count="1" manualBreakCount="1">
    <brk id="55" max="42"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D39"/>
  <sheetViews>
    <sheetView zoomScale="85" zoomScaleNormal="85" workbookViewId="0"/>
  </sheetViews>
  <sheetFormatPr defaultColWidth="8.875" defaultRowHeight="14.25" x14ac:dyDescent="0.15"/>
  <cols>
    <col min="1" max="1" width="2.625" style="256" customWidth="1"/>
    <col min="2" max="2" width="29.75" style="256" customWidth="1"/>
    <col min="3" max="3" width="16.5" style="256" customWidth="1"/>
    <col min="4" max="4" width="117.5" style="256" customWidth="1"/>
    <col min="5" max="16384" width="8.875" style="256"/>
  </cols>
  <sheetData>
    <row r="1" spans="1:4" ht="20.25" x14ac:dyDescent="0.2">
      <c r="A1" s="254" t="s">
        <v>210</v>
      </c>
      <c r="B1" s="255"/>
      <c r="C1" s="255"/>
      <c r="D1" s="255"/>
    </row>
    <row r="3" spans="1:4" ht="15.75" x14ac:dyDescent="0.2">
      <c r="A3" s="257" t="s">
        <v>211</v>
      </c>
      <c r="B3" s="255"/>
      <c r="C3" s="255"/>
      <c r="D3" s="255"/>
    </row>
    <row r="4" spans="1:4" ht="15.75" x14ac:dyDescent="0.2">
      <c r="A4" s="255"/>
      <c r="B4" s="258" t="s">
        <v>212</v>
      </c>
      <c r="C4" s="258" t="s">
        <v>213</v>
      </c>
      <c r="D4" s="258" t="s">
        <v>214</v>
      </c>
    </row>
    <row r="5" spans="1:4" x14ac:dyDescent="0.2">
      <c r="A5" s="255"/>
      <c r="B5" s="259" t="s">
        <v>215</v>
      </c>
      <c r="C5" s="259" t="s">
        <v>216</v>
      </c>
      <c r="D5" s="260" t="s">
        <v>217</v>
      </c>
    </row>
    <row r="6" spans="1:4" x14ac:dyDescent="0.2">
      <c r="A6" s="255"/>
      <c r="B6" s="261" t="s">
        <v>218</v>
      </c>
      <c r="C6" s="261" t="s">
        <v>219</v>
      </c>
      <c r="D6" s="262" t="s">
        <v>220</v>
      </c>
    </row>
    <row r="7" spans="1:4" ht="29.25" x14ac:dyDescent="0.2">
      <c r="A7" s="255"/>
      <c r="B7" s="259" t="s">
        <v>221</v>
      </c>
      <c r="C7" s="259" t="s">
        <v>216</v>
      </c>
      <c r="D7" s="260" t="s">
        <v>222</v>
      </c>
    </row>
    <row r="8" spans="1:4" ht="29.25" x14ac:dyDescent="0.2">
      <c r="A8" s="255"/>
      <c r="B8" s="259" t="s">
        <v>223</v>
      </c>
      <c r="C8" s="259" t="s">
        <v>216</v>
      </c>
      <c r="D8" s="260" t="s">
        <v>222</v>
      </c>
    </row>
    <row r="9" spans="1:4" ht="15" x14ac:dyDescent="0.2">
      <c r="A9" s="255"/>
      <c r="B9" s="261" t="s">
        <v>224</v>
      </c>
      <c r="C9" s="261" t="s">
        <v>219</v>
      </c>
      <c r="D9" s="262" t="s">
        <v>225</v>
      </c>
    </row>
    <row r="10" spans="1:4" ht="15" x14ac:dyDescent="0.2">
      <c r="A10" s="255"/>
      <c r="B10" s="261" t="s">
        <v>226</v>
      </c>
      <c r="C10" s="261" t="s">
        <v>219</v>
      </c>
      <c r="D10" s="262" t="s">
        <v>227</v>
      </c>
    </row>
    <row r="11" spans="1:4" ht="15" x14ac:dyDescent="0.2">
      <c r="A11" s="255"/>
      <c r="B11" s="261" t="s">
        <v>228</v>
      </c>
      <c r="C11" s="261" t="s">
        <v>219</v>
      </c>
      <c r="D11" s="262" t="s">
        <v>229</v>
      </c>
    </row>
    <row r="12" spans="1:4" ht="30" x14ac:dyDescent="0.2">
      <c r="A12" s="255"/>
      <c r="B12" s="259" t="s">
        <v>230</v>
      </c>
      <c r="C12" s="259" t="s">
        <v>216</v>
      </c>
      <c r="D12" s="260" t="s">
        <v>231</v>
      </c>
    </row>
    <row r="13" spans="1:4" x14ac:dyDescent="0.2">
      <c r="A13" s="255"/>
      <c r="B13" s="261" t="s">
        <v>232</v>
      </c>
      <c r="C13" s="261" t="s">
        <v>219</v>
      </c>
      <c r="D13" s="262" t="s">
        <v>233</v>
      </c>
    </row>
    <row r="14" spans="1:4" ht="30" x14ac:dyDescent="0.2">
      <c r="A14" s="255"/>
      <c r="B14" s="259" t="s">
        <v>234</v>
      </c>
      <c r="C14" s="259" t="s">
        <v>216</v>
      </c>
      <c r="D14" s="260" t="s">
        <v>231</v>
      </c>
    </row>
    <row r="15" spans="1:4" x14ac:dyDescent="0.2">
      <c r="A15" s="255"/>
      <c r="B15" s="261" t="s">
        <v>235</v>
      </c>
      <c r="C15" s="261" t="s">
        <v>219</v>
      </c>
      <c r="D15" s="262" t="s">
        <v>236</v>
      </c>
    </row>
    <row r="16" spans="1:4" x14ac:dyDescent="0.2">
      <c r="A16" s="255"/>
      <c r="B16" s="261" t="s">
        <v>237</v>
      </c>
      <c r="C16" s="261" t="s">
        <v>219</v>
      </c>
      <c r="D16" s="262" t="s">
        <v>236</v>
      </c>
    </row>
    <row r="17" spans="1:4" x14ac:dyDescent="0.2">
      <c r="A17" s="255"/>
      <c r="B17" s="259" t="s">
        <v>238</v>
      </c>
      <c r="C17" s="259" t="s">
        <v>216</v>
      </c>
      <c r="D17" s="260" t="s">
        <v>239</v>
      </c>
    </row>
    <row r="18" spans="1:4" x14ac:dyDescent="0.2">
      <c r="A18" s="255"/>
      <c r="B18" s="259" t="s">
        <v>66</v>
      </c>
      <c r="C18" s="259" t="s">
        <v>216</v>
      </c>
      <c r="D18" s="260" t="s">
        <v>240</v>
      </c>
    </row>
    <row r="19" spans="1:4" ht="28.5" x14ac:dyDescent="0.2">
      <c r="A19" s="255"/>
      <c r="B19" s="259" t="s">
        <v>241</v>
      </c>
      <c r="C19" s="259" t="s">
        <v>216</v>
      </c>
      <c r="D19" s="260" t="s">
        <v>257</v>
      </c>
    </row>
    <row r="20" spans="1:4" x14ac:dyDescent="0.2">
      <c r="A20" s="255"/>
      <c r="B20" s="259" t="s">
        <v>242</v>
      </c>
      <c r="C20" s="259" t="s">
        <v>216</v>
      </c>
      <c r="D20" s="260" t="s">
        <v>243</v>
      </c>
    </row>
    <row r="21" spans="1:4" x14ac:dyDescent="0.2">
      <c r="A21" s="255"/>
      <c r="B21" s="259" t="s">
        <v>244</v>
      </c>
      <c r="C21" s="259" t="s">
        <v>216</v>
      </c>
      <c r="D21" s="260" t="s">
        <v>245</v>
      </c>
    </row>
    <row r="24" spans="1:4" ht="15.75" x14ac:dyDescent="0.2">
      <c r="A24" s="257" t="s">
        <v>246</v>
      </c>
      <c r="B24" s="255"/>
      <c r="C24" s="255"/>
      <c r="D24" s="255"/>
    </row>
    <row r="25" spans="1:4" x14ac:dyDescent="0.2">
      <c r="A25" s="255"/>
      <c r="B25" s="256" t="s">
        <v>247</v>
      </c>
      <c r="C25" s="255"/>
      <c r="D25" s="255"/>
    </row>
    <row r="27" spans="1:4" ht="36.75" customHeight="1" x14ac:dyDescent="0.2">
      <c r="A27" s="255"/>
      <c r="B27" s="256" t="s">
        <v>255</v>
      </c>
      <c r="C27" s="263"/>
      <c r="D27" s="263"/>
    </row>
    <row r="28" spans="1:4" ht="15.75" x14ac:dyDescent="0.2">
      <c r="A28" s="255"/>
      <c r="B28" s="256" t="s">
        <v>248</v>
      </c>
      <c r="C28" s="255"/>
      <c r="D28" s="255"/>
    </row>
    <row r="29" spans="1:4" ht="15.75" x14ac:dyDescent="0.2">
      <c r="A29" s="255"/>
      <c r="B29" s="256" t="s">
        <v>249</v>
      </c>
      <c r="C29" s="255"/>
      <c r="D29" s="255"/>
    </row>
    <row r="30" spans="1:4" ht="15.75" x14ac:dyDescent="0.2">
      <c r="A30" s="255"/>
      <c r="B30" s="256" t="s">
        <v>250</v>
      </c>
      <c r="C30" s="255"/>
      <c r="D30" s="255"/>
    </row>
    <row r="32" spans="1:4" x14ac:dyDescent="0.2">
      <c r="B32" s="256" t="s">
        <v>251</v>
      </c>
      <c r="C32" s="255"/>
      <c r="D32" s="255"/>
    </row>
    <row r="33" spans="1:2" ht="15.75" x14ac:dyDescent="0.2">
      <c r="A33" s="255"/>
      <c r="B33" s="256" t="s">
        <v>252</v>
      </c>
    </row>
    <row r="34" spans="1:2" ht="15.75" x14ac:dyDescent="0.2">
      <c r="A34" s="255"/>
      <c r="B34" s="256" t="s">
        <v>253</v>
      </c>
    </row>
    <row r="36" spans="1:2" ht="15.75" x14ac:dyDescent="0.15">
      <c r="A36" s="257"/>
      <c r="B36" s="256" t="s">
        <v>254</v>
      </c>
    </row>
    <row r="37" spans="1:2" ht="15.75" x14ac:dyDescent="0.15">
      <c r="A37" s="257"/>
      <c r="B37" s="264" t="s">
        <v>256</v>
      </c>
    </row>
    <row r="39" spans="1:2" x14ac:dyDescent="0.2">
      <c r="B39" s="86"/>
    </row>
  </sheetData>
  <phoneticPr fontId="3"/>
  <pageMargins left="0.7" right="0.7" top="0.75" bottom="0.75" header="0.3" footer="0.3"/>
  <pageSetup paperSize="9" scale="54" orientation="landscape" r:id="rId1"/>
  <headerFooter>
    <oddFooter>&amp;LFUJITSU CONFIDENTIAL&amp;RAll Rights Reserved, Copyright (C) Fujitsu Limited 2017</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40"/>
  </sheetPr>
  <dimension ref="A1"/>
  <sheetViews>
    <sheetView zoomScale="85" zoomScaleNormal="85" workbookViewId="0"/>
  </sheetViews>
  <sheetFormatPr defaultColWidth="9" defaultRowHeight="14.25" x14ac:dyDescent="0.2"/>
  <cols>
    <col min="1" max="16384" width="9" style="86"/>
  </cols>
  <sheetData>
    <row r="1" spans="1:1" x14ac:dyDescent="0.2">
      <c r="A1" s="86" t="s">
        <v>189</v>
      </c>
    </row>
  </sheetData>
  <phoneticPr fontId="3"/>
  <pageMargins left="0.74803149606299213" right="0.74803149606299213" top="0.98425196850393704" bottom="0.98425196850393704" header="0.51181102362204722" footer="0.51181102362204722"/>
  <pageSetup paperSize="9" orientation="portrait" r:id="rId1"/>
  <headerFooter alignWithMargins="0">
    <oddFooter>&amp;L&amp;"Arial,標準"&amp;9FUJITSU CONFIDENTIAL&amp;R&amp;"Arial,標準"&amp;9All Rights Reserved, Copyright (C) FUJITSU LIMITED 2017</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A1:FC168"/>
  <sheetViews>
    <sheetView showGridLines="0" tabSelected="1" zoomScale="70" zoomScaleNormal="70" zoomScaleSheetLayoutView="70" zoomScalePageLayoutView="70" workbookViewId="0">
      <pane xSplit="3" topLeftCell="V1" activePane="topRight" state="frozen"/>
      <selection pane="topRight" activeCell="BC14" sqref="BC14:BF14"/>
    </sheetView>
  </sheetViews>
  <sheetFormatPr defaultColWidth="3.625" defaultRowHeight="12.75" x14ac:dyDescent="0.15"/>
  <cols>
    <col min="1" max="1" width="5.625" style="90" customWidth="1"/>
    <col min="2" max="2" width="15.375" style="90" customWidth="1"/>
    <col min="3" max="3" width="3.625" style="90" customWidth="1"/>
    <col min="4" max="17" width="3.625" style="88"/>
    <col min="18" max="21" width="9.25" style="88" customWidth="1"/>
    <col min="22" max="52" width="3.625" style="88"/>
    <col min="53" max="53" width="8.75" style="88" customWidth="1"/>
    <col min="54" max="54" width="7.5" style="88" customWidth="1"/>
    <col min="55" max="58" width="3.625" style="88"/>
    <col min="59" max="60" width="7.375" style="88" customWidth="1"/>
    <col min="61" max="61" width="14.5" style="88" customWidth="1"/>
    <col min="62" max="62" width="3.5" style="88" customWidth="1"/>
    <col min="63" max="78" width="3.625" style="88"/>
    <col min="79" max="79" width="20.5" style="88" customWidth="1"/>
    <col min="80" max="83" width="8" style="88" customWidth="1"/>
    <col min="84" max="84" width="3.625" style="88" customWidth="1"/>
    <col min="85" max="88" width="3.625" style="88"/>
    <col min="89" max="89" width="3.625" style="88" customWidth="1"/>
    <col min="90" max="93" width="3.625" style="88"/>
    <col min="94" max="94" width="3.625" style="88" customWidth="1"/>
    <col min="95" max="98" width="3.625" style="88"/>
    <col min="99" max="99" width="3.625" style="88" customWidth="1"/>
    <col min="100" max="107" width="3.625" style="88"/>
    <col min="108" max="147" width="15.625" style="88" hidden="1" customWidth="1"/>
    <col min="148" max="149" width="3.625" style="88"/>
    <col min="150" max="159" width="12.625" style="88" hidden="1" customWidth="1"/>
    <col min="160" max="16384" width="3.625" style="88"/>
  </cols>
  <sheetData>
    <row r="1" spans="1:159" s="93" customFormat="1" ht="18" x14ac:dyDescent="0.15">
      <c r="A1" s="625" t="s">
        <v>100</v>
      </c>
      <c r="B1" s="625"/>
      <c r="C1" s="625"/>
      <c r="D1" s="625"/>
      <c r="E1" s="625"/>
      <c r="F1" s="625"/>
      <c r="G1" s="625"/>
      <c r="H1" s="625"/>
      <c r="I1" s="625"/>
      <c r="J1" s="625"/>
      <c r="K1" s="625"/>
      <c r="L1" s="625"/>
      <c r="M1" s="625"/>
      <c r="N1" s="626" t="s">
        <v>69</v>
      </c>
      <c r="O1" s="627"/>
      <c r="P1" s="627"/>
      <c r="Q1" s="627"/>
      <c r="R1" s="627"/>
      <c r="S1" s="627"/>
      <c r="T1" s="627"/>
      <c r="U1" s="627"/>
      <c r="V1" s="627"/>
      <c r="W1" s="627"/>
      <c r="X1" s="627"/>
      <c r="Y1" s="627"/>
      <c r="Z1" s="627"/>
      <c r="AA1" s="627"/>
      <c r="AB1" s="627"/>
      <c r="AC1" s="627"/>
      <c r="AD1" s="627"/>
      <c r="AE1" s="627"/>
      <c r="AF1" s="627"/>
      <c r="AG1" s="627"/>
      <c r="AH1" s="627"/>
      <c r="AI1" s="627"/>
      <c r="AJ1" s="627"/>
      <c r="AK1" s="627"/>
      <c r="AL1" s="627"/>
      <c r="AM1" s="627"/>
      <c r="AN1" s="627"/>
      <c r="AO1" s="627"/>
      <c r="AP1" s="628" t="str">
        <f>'Title Page'!B6</f>
        <v>Subsystem</v>
      </c>
      <c r="AQ1" s="629"/>
      <c r="AR1" s="629"/>
      <c r="AS1" s="629"/>
      <c r="AT1" s="630"/>
      <c r="AU1" s="629"/>
      <c r="AV1" s="629"/>
      <c r="AW1" s="629"/>
      <c r="AX1" s="629"/>
      <c r="AY1" s="629"/>
      <c r="AZ1" s="628" t="str">
        <f>'Title Page'!B7</f>
        <v>Business Process</v>
      </c>
      <c r="BA1" s="629"/>
      <c r="BB1" s="629"/>
      <c r="BC1" s="629"/>
      <c r="BD1" s="629"/>
      <c r="BE1" s="629"/>
      <c r="BF1" s="629"/>
      <c r="BG1" s="629"/>
      <c r="BH1" s="629"/>
      <c r="BI1" s="87"/>
    </row>
    <row r="2" spans="1:159" s="93" customFormat="1" ht="18" x14ac:dyDescent="0.15">
      <c r="A2" s="625"/>
      <c r="B2" s="625"/>
      <c r="C2" s="625"/>
      <c r="D2" s="625"/>
      <c r="E2" s="625"/>
      <c r="F2" s="625"/>
      <c r="G2" s="625"/>
      <c r="H2" s="625"/>
      <c r="I2" s="625"/>
      <c r="J2" s="625"/>
      <c r="K2" s="625"/>
      <c r="L2" s="625"/>
      <c r="M2" s="625"/>
      <c r="N2" s="627"/>
      <c r="O2" s="627"/>
      <c r="P2" s="627"/>
      <c r="Q2" s="627"/>
      <c r="R2" s="627"/>
      <c r="S2" s="627"/>
      <c r="T2" s="627"/>
      <c r="U2" s="627"/>
      <c r="V2" s="627"/>
      <c r="W2" s="627"/>
      <c r="X2" s="627"/>
      <c r="Y2" s="627"/>
      <c r="Z2" s="627"/>
      <c r="AA2" s="627"/>
      <c r="AB2" s="627"/>
      <c r="AC2" s="627"/>
      <c r="AD2" s="627"/>
      <c r="AE2" s="627"/>
      <c r="AF2" s="627"/>
      <c r="AG2" s="627"/>
      <c r="AH2" s="627"/>
      <c r="AI2" s="627"/>
      <c r="AJ2" s="627"/>
      <c r="AK2" s="627"/>
      <c r="AL2" s="627"/>
      <c r="AM2" s="627"/>
      <c r="AN2" s="627"/>
      <c r="AO2" s="627"/>
      <c r="AP2" s="631" t="str">
        <f>IF('Title Page'!I6="","",'Title Page'!I6)</f>
        <v>LOMOS</v>
      </c>
      <c r="AQ2" s="631"/>
      <c r="AR2" s="631"/>
      <c r="AS2" s="631"/>
      <c r="AT2" s="631"/>
      <c r="AU2" s="631"/>
      <c r="AV2" s="631"/>
      <c r="AW2" s="631"/>
      <c r="AX2" s="631"/>
      <c r="AY2" s="631"/>
      <c r="AZ2" s="631" t="str">
        <f>IF('Title Page'!I7="","",'Title Page'!I7)</f>
        <v>KR002</v>
      </c>
      <c r="BA2" s="631"/>
      <c r="BB2" s="631"/>
      <c r="BC2" s="631"/>
      <c r="BD2" s="631"/>
      <c r="BE2" s="631"/>
      <c r="BF2" s="631"/>
      <c r="BG2" s="631"/>
      <c r="BH2" s="631"/>
      <c r="BI2" s="89"/>
      <c r="CN2" s="568" t="s">
        <v>97</v>
      </c>
      <c r="CO2" s="569"/>
      <c r="CP2" s="569"/>
      <c r="CQ2" s="570"/>
      <c r="CR2" s="618">
        <f ca="1">COUNTIFS(INDIRECT("$K11:$K"&amp;ROW(Test_Item_Report_End_Line)),"&lt;&gt;",INDIRECT("$R11:$R"&amp;ROW(Test_Item_Report_End_Line)),"&lt;&gt;x")</f>
        <v>25</v>
      </c>
      <c r="CS2" s="618"/>
      <c r="CT2" s="619" t="s">
        <v>98</v>
      </c>
      <c r="CU2" s="620"/>
      <c r="CV2" s="620"/>
      <c r="CW2" s="621"/>
      <c r="CX2" s="618">
        <f ca="1">COUNTIFS(INDIRECT("$C11:$C"&amp;ROW(Test_Item_Report_End_Line)),"=●",INDIRECT("$BG11:$BG"&amp;ROW(Test_Item_Report_End_Line)),"=○")</f>
        <v>0</v>
      </c>
      <c r="CY2" s="618"/>
    </row>
    <row r="3" spans="1:159" s="93" customFormat="1" ht="19.5" hidden="1" customHeight="1" x14ac:dyDescent="0.15">
      <c r="A3" s="625"/>
      <c r="B3" s="625"/>
      <c r="C3" s="625"/>
      <c r="D3" s="625"/>
      <c r="E3" s="625"/>
      <c r="F3" s="625"/>
      <c r="G3" s="625"/>
      <c r="H3" s="625"/>
      <c r="I3" s="625"/>
      <c r="J3" s="625"/>
      <c r="K3" s="625"/>
      <c r="L3" s="625"/>
      <c r="M3" s="625"/>
      <c r="N3" s="627"/>
      <c r="O3" s="627"/>
      <c r="P3" s="627"/>
      <c r="Q3" s="627"/>
      <c r="R3" s="627"/>
      <c r="S3" s="627"/>
      <c r="T3" s="627"/>
      <c r="U3" s="627"/>
      <c r="V3" s="627"/>
      <c r="W3" s="627"/>
      <c r="X3" s="627"/>
      <c r="Y3" s="627"/>
      <c r="Z3" s="627"/>
      <c r="AA3" s="627"/>
      <c r="AB3" s="627"/>
      <c r="AC3" s="627"/>
      <c r="AD3" s="627"/>
      <c r="AE3" s="627"/>
      <c r="AF3" s="627"/>
      <c r="AG3" s="627"/>
      <c r="AH3" s="627"/>
      <c r="AI3" s="627"/>
      <c r="AJ3" s="627"/>
      <c r="AK3" s="627"/>
      <c r="AL3" s="627"/>
      <c r="AM3" s="627"/>
      <c r="AN3" s="627"/>
      <c r="AO3" s="627"/>
      <c r="AP3" s="631"/>
      <c r="AQ3" s="631"/>
      <c r="AR3" s="631"/>
      <c r="AS3" s="631"/>
      <c r="AT3" s="631"/>
      <c r="AU3" s="631"/>
      <c r="AV3" s="631"/>
      <c r="AW3" s="631"/>
      <c r="AX3" s="631"/>
      <c r="AY3" s="631"/>
      <c r="AZ3" s="631"/>
      <c r="BA3" s="631"/>
      <c r="BB3" s="631"/>
      <c r="BC3" s="631"/>
      <c r="BD3" s="631"/>
      <c r="BE3" s="631"/>
      <c r="BF3" s="631"/>
      <c r="BG3" s="631"/>
      <c r="BH3" s="631"/>
      <c r="BI3" s="89"/>
    </row>
    <row r="4" spans="1:159" s="93" customFormat="1" ht="9.75" customHeight="1" x14ac:dyDescent="0.15">
      <c r="A4" s="625"/>
      <c r="B4" s="625"/>
      <c r="C4" s="625"/>
      <c r="D4" s="625"/>
      <c r="E4" s="625"/>
      <c r="F4" s="625"/>
      <c r="G4" s="625"/>
      <c r="H4" s="625"/>
      <c r="I4" s="625"/>
      <c r="J4" s="625"/>
      <c r="K4" s="625"/>
      <c r="L4" s="625"/>
      <c r="M4" s="625"/>
      <c r="N4" s="627"/>
      <c r="O4" s="627"/>
      <c r="P4" s="627"/>
      <c r="Q4" s="627"/>
      <c r="R4" s="627"/>
      <c r="S4" s="627"/>
      <c r="T4" s="627"/>
      <c r="U4" s="627"/>
      <c r="V4" s="627"/>
      <c r="W4" s="627"/>
      <c r="X4" s="627"/>
      <c r="Y4" s="627"/>
      <c r="Z4" s="627"/>
      <c r="AA4" s="627"/>
      <c r="AB4" s="627"/>
      <c r="AC4" s="627"/>
      <c r="AD4" s="627"/>
      <c r="AE4" s="627"/>
      <c r="AF4" s="627"/>
      <c r="AG4" s="627"/>
      <c r="AH4" s="627"/>
      <c r="AI4" s="627"/>
      <c r="AJ4" s="627"/>
      <c r="AK4" s="627"/>
      <c r="AL4" s="627"/>
      <c r="AM4" s="627"/>
      <c r="AN4" s="627"/>
      <c r="AO4" s="627"/>
      <c r="AP4" s="631"/>
      <c r="AQ4" s="631"/>
      <c r="AR4" s="631"/>
      <c r="AS4" s="631"/>
      <c r="AT4" s="631"/>
      <c r="AU4" s="631"/>
      <c r="AV4" s="631"/>
      <c r="AW4" s="631"/>
      <c r="AX4" s="631"/>
      <c r="AY4" s="631"/>
      <c r="AZ4" s="631"/>
      <c r="BA4" s="631"/>
      <c r="BB4" s="631"/>
      <c r="BC4" s="631"/>
      <c r="BD4" s="631"/>
      <c r="BE4" s="631"/>
      <c r="BF4" s="631"/>
      <c r="BG4" s="631"/>
      <c r="BH4" s="631"/>
      <c r="BI4" s="89"/>
    </row>
    <row r="5" spans="1:159" s="92" customFormat="1" ht="7.5" customHeight="1" x14ac:dyDescent="0.15">
      <c r="B5" s="622"/>
      <c r="C5" s="622"/>
      <c r="D5" s="160"/>
      <c r="E5" s="160"/>
      <c r="F5" s="160"/>
      <c r="G5" s="160"/>
      <c r="H5" s="160"/>
      <c r="I5" s="160"/>
      <c r="J5" s="160"/>
      <c r="K5" s="160"/>
      <c r="L5" s="160"/>
      <c r="M5" s="160"/>
      <c r="N5" s="160"/>
      <c r="O5" s="160"/>
      <c r="P5" s="160"/>
      <c r="Q5" s="160"/>
      <c r="R5" s="160"/>
      <c r="S5" s="160"/>
      <c r="T5" s="160"/>
      <c r="U5" s="160"/>
      <c r="V5" s="160"/>
      <c r="W5" s="160"/>
      <c r="X5" s="160"/>
      <c r="Y5" s="160"/>
      <c r="Z5" s="160"/>
      <c r="AA5" s="160"/>
      <c r="AB5" s="160"/>
      <c r="AC5" s="160"/>
      <c r="AD5" s="160"/>
      <c r="AE5" s="160"/>
      <c r="AF5" s="160"/>
      <c r="AG5" s="160"/>
      <c r="AH5" s="160"/>
      <c r="AI5" s="160"/>
      <c r="AJ5" s="160"/>
      <c r="AK5" s="160"/>
      <c r="AL5" s="161"/>
      <c r="AM5" s="161"/>
      <c r="AN5" s="161"/>
      <c r="AO5" s="161"/>
      <c r="AP5" s="161"/>
      <c r="AQ5" s="161"/>
      <c r="AR5" s="161"/>
      <c r="AS5" s="161"/>
      <c r="AT5" s="161"/>
      <c r="AU5" s="161"/>
      <c r="AV5" s="161"/>
      <c r="AW5" s="161"/>
      <c r="AX5" s="161"/>
      <c r="AY5" s="161"/>
      <c r="AZ5" s="623"/>
      <c r="BA5" s="623"/>
      <c r="BB5" s="623"/>
      <c r="BC5" s="623"/>
      <c r="BD5" s="161"/>
      <c r="BE5" s="161"/>
      <c r="BF5" s="161"/>
      <c r="BG5" s="624"/>
      <c r="BH5" s="624"/>
      <c r="BI5" s="624"/>
      <c r="BJ5" s="624"/>
      <c r="BK5" s="624"/>
      <c r="BL5" s="624"/>
      <c r="BM5" s="624"/>
      <c r="BN5" s="624"/>
      <c r="BO5" s="624"/>
      <c r="BP5" s="624"/>
      <c r="BQ5" s="159"/>
      <c r="BR5" s="159"/>
      <c r="BS5" s="159"/>
    </row>
    <row r="6" spans="1:159" s="91" customFormat="1" ht="24" customHeight="1" x14ac:dyDescent="0.15">
      <c r="A6" s="588" t="str">
        <f>'Title Page'!B8</f>
        <v>Process Name</v>
      </c>
      <c r="B6" s="563"/>
      <c r="C6" s="563"/>
      <c r="D6" s="563"/>
      <c r="E6" s="563"/>
      <c r="F6" s="563"/>
      <c r="G6" s="563"/>
      <c r="H6" s="564"/>
      <c r="I6" s="589" t="str">
        <f>IF('Title Page'!I8="","",'Title Page'!I8)</f>
        <v>Host_IF_Status_Reference</v>
      </c>
      <c r="J6" s="590"/>
      <c r="K6" s="590"/>
      <c r="L6" s="590"/>
      <c r="M6" s="590"/>
      <c r="N6" s="590"/>
      <c r="O6" s="590"/>
      <c r="P6" s="590"/>
      <c r="Q6" s="590"/>
      <c r="R6" s="590"/>
      <c r="S6" s="591"/>
      <c r="T6" s="588" t="str">
        <f>'Title Page'!B9</f>
        <v>Free Area</v>
      </c>
      <c r="U6" s="563"/>
      <c r="V6" s="563"/>
      <c r="W6" s="563"/>
      <c r="X6" s="563"/>
      <c r="Y6" s="564"/>
      <c r="Z6" s="589" t="str">
        <f>IF('Title Page'!I9="","",'Title Page'!I9)</f>
        <v/>
      </c>
      <c r="AA6" s="590"/>
      <c r="AB6" s="590"/>
      <c r="AC6" s="590"/>
      <c r="AD6" s="590"/>
      <c r="AE6" s="590"/>
      <c r="AF6" s="590"/>
      <c r="AG6" s="590"/>
      <c r="AH6" s="590"/>
      <c r="AI6" s="590"/>
      <c r="AJ6" s="590"/>
      <c r="AK6" s="591"/>
      <c r="AL6" s="562" t="s">
        <v>91</v>
      </c>
      <c r="AM6" s="563"/>
      <c r="AN6" s="563"/>
      <c r="AO6" s="563"/>
      <c r="AP6" s="563"/>
      <c r="AQ6" s="563"/>
      <c r="AR6" s="563"/>
      <c r="AS6" s="592"/>
      <c r="AT6" s="593"/>
      <c r="AU6" s="593"/>
      <c r="AV6" s="593"/>
      <c r="AW6" s="593"/>
      <c r="AX6" s="593"/>
      <c r="AY6" s="593"/>
      <c r="AZ6" s="593"/>
      <c r="BA6" s="593"/>
      <c r="BB6" s="593"/>
      <c r="BC6" s="593"/>
      <c r="BD6" s="593"/>
      <c r="BE6" s="593"/>
      <c r="BF6" s="594"/>
      <c r="BG6" s="562" t="s">
        <v>92</v>
      </c>
      <c r="BH6" s="563"/>
      <c r="BI6" s="563"/>
      <c r="BJ6" s="563"/>
      <c r="BK6" s="563"/>
      <c r="BL6" s="563"/>
      <c r="BM6" s="564"/>
      <c r="BN6" s="565"/>
      <c r="BO6" s="566"/>
      <c r="BP6" s="566"/>
      <c r="BQ6" s="566"/>
      <c r="BR6" s="566"/>
      <c r="BS6" s="566"/>
      <c r="BT6" s="566"/>
      <c r="BU6" s="566"/>
      <c r="BV6" s="566"/>
      <c r="BW6" s="566"/>
      <c r="BX6" s="567"/>
      <c r="CT6" s="568" t="s">
        <v>99</v>
      </c>
      <c r="CU6" s="569"/>
      <c r="CV6" s="569"/>
      <c r="CW6" s="570"/>
      <c r="CX6" s="571">
        <f ca="1">COUNTIFS(INDIRECT("$C11:$C"&amp;ROW(Test_Item_Report_End_Line)),"=@",INDIRECT("$BG11:$BG"&amp;ROW(Test_Item_Report_End_Line)),"=Failed")</f>
        <v>1</v>
      </c>
      <c r="CY6" s="571"/>
    </row>
    <row r="7" spans="1:159" s="92" customFormat="1" ht="22.5" customHeight="1" x14ac:dyDescent="0.15">
      <c r="A7" s="96"/>
      <c r="B7" s="97"/>
      <c r="C7" s="97"/>
      <c r="D7" s="97"/>
      <c r="E7" s="97"/>
      <c r="F7" s="97"/>
      <c r="G7" s="97"/>
      <c r="H7" s="97"/>
      <c r="I7" s="98"/>
      <c r="J7" s="98"/>
      <c r="K7" s="230" t="s">
        <v>192</v>
      </c>
      <c r="L7" s="98"/>
      <c r="M7" s="98"/>
      <c r="N7" s="98"/>
      <c r="O7" s="98"/>
      <c r="P7" s="98"/>
      <c r="Q7" s="98"/>
      <c r="R7" s="98"/>
      <c r="S7" s="98"/>
      <c r="T7" s="98"/>
      <c r="U7" s="98"/>
      <c r="V7" s="98"/>
      <c r="W7" s="98"/>
      <c r="X7" s="98"/>
      <c r="Y7" s="98"/>
      <c r="Z7" s="98"/>
      <c r="AA7" s="98"/>
      <c r="AB7" s="98"/>
      <c r="AC7" s="98"/>
      <c r="AD7" s="97"/>
      <c r="AE7" s="97"/>
      <c r="AF7" s="97"/>
      <c r="AG7" s="97"/>
      <c r="AH7" s="97"/>
      <c r="AI7" s="97"/>
      <c r="AJ7" s="98"/>
      <c r="AK7" s="98"/>
      <c r="AL7" s="98"/>
      <c r="AM7" s="98"/>
      <c r="AN7" s="98"/>
      <c r="AO7" s="98"/>
      <c r="AP7" s="98"/>
      <c r="AQ7" s="98"/>
      <c r="AR7" s="98"/>
      <c r="AS7" s="98"/>
      <c r="AT7" s="98"/>
      <c r="AU7" s="98"/>
      <c r="AV7" s="98"/>
      <c r="AW7" s="98"/>
      <c r="AX7" s="98"/>
      <c r="AY7" s="98"/>
      <c r="AZ7" s="98"/>
      <c r="BA7" s="98"/>
      <c r="BB7" s="161"/>
      <c r="BC7" s="161"/>
      <c r="BD7" s="161"/>
      <c r="BE7" s="161"/>
      <c r="BF7" s="161"/>
      <c r="BG7" s="159"/>
      <c r="BH7" s="159"/>
      <c r="BI7" s="159"/>
      <c r="BJ7" s="159"/>
      <c r="BK7" s="159"/>
      <c r="BL7" s="159"/>
      <c r="BM7" s="159"/>
      <c r="BN7" s="159"/>
      <c r="BO7" s="159"/>
      <c r="BP7" s="159"/>
      <c r="BQ7" s="159"/>
      <c r="BR7" s="159"/>
      <c r="BS7" s="159"/>
    </row>
    <row r="8" spans="1:159" ht="16.5" x14ac:dyDescent="0.15">
      <c r="A8" s="572" t="s">
        <v>0</v>
      </c>
      <c r="B8" s="572" t="s">
        <v>88</v>
      </c>
      <c r="C8" s="575" t="s">
        <v>142</v>
      </c>
      <c r="D8" s="578" t="s">
        <v>61</v>
      </c>
      <c r="E8" s="579"/>
      <c r="F8" s="579"/>
      <c r="G8" s="579"/>
      <c r="H8" s="579"/>
      <c r="I8" s="579"/>
      <c r="J8" s="579"/>
      <c r="K8" s="584" t="s">
        <v>193</v>
      </c>
      <c r="L8" s="579"/>
      <c r="M8" s="579"/>
      <c r="N8" s="579"/>
      <c r="O8" s="579"/>
      <c r="P8" s="579"/>
      <c r="Q8" s="579"/>
      <c r="R8" s="578" t="s">
        <v>554</v>
      </c>
      <c r="S8" s="585"/>
      <c r="T8" s="578" t="s">
        <v>564</v>
      </c>
      <c r="U8" s="585"/>
      <c r="V8" s="578" t="s">
        <v>70</v>
      </c>
      <c r="W8" s="579"/>
      <c r="X8" s="579"/>
      <c r="Y8" s="579"/>
      <c r="Z8" s="579"/>
      <c r="AA8" s="579"/>
      <c r="AB8" s="579"/>
      <c r="AC8" s="579"/>
      <c r="AD8" s="578" t="s">
        <v>71</v>
      </c>
      <c r="AE8" s="579"/>
      <c r="AF8" s="579"/>
      <c r="AG8" s="579"/>
      <c r="AH8" s="579"/>
      <c r="AI8" s="579"/>
      <c r="AJ8" s="579"/>
      <c r="AK8" s="585"/>
      <c r="AL8" s="578" t="s">
        <v>72</v>
      </c>
      <c r="AM8" s="579"/>
      <c r="AN8" s="579"/>
      <c r="AO8" s="579"/>
      <c r="AP8" s="579"/>
      <c r="AQ8" s="579"/>
      <c r="AR8" s="585"/>
      <c r="AS8" s="578" t="s">
        <v>62</v>
      </c>
      <c r="AT8" s="579"/>
      <c r="AU8" s="579"/>
      <c r="AV8" s="579"/>
      <c r="AW8" s="579"/>
      <c r="AX8" s="579"/>
      <c r="AY8" s="585"/>
      <c r="AZ8" s="578" t="s">
        <v>50</v>
      </c>
      <c r="BA8" s="585"/>
      <c r="BB8" s="615" t="s">
        <v>30</v>
      </c>
      <c r="BC8" s="632" t="s">
        <v>49</v>
      </c>
      <c r="BD8" s="633"/>
      <c r="BE8" s="633"/>
      <c r="BF8" s="634"/>
      <c r="BG8" s="595" t="s">
        <v>63</v>
      </c>
      <c r="BH8" s="597"/>
      <c r="BI8" s="641" t="s">
        <v>64</v>
      </c>
      <c r="BJ8" s="595" t="s">
        <v>65</v>
      </c>
      <c r="BK8" s="596"/>
      <c r="BL8" s="596"/>
      <c r="BM8" s="596"/>
      <c r="BN8" s="596"/>
      <c r="BO8" s="597"/>
      <c r="BP8" s="595" t="s">
        <v>66</v>
      </c>
      <c r="BQ8" s="596"/>
      <c r="BR8" s="596"/>
      <c r="BS8" s="596"/>
      <c r="BT8" s="596"/>
      <c r="BU8" s="597"/>
      <c r="BV8" s="595" t="s">
        <v>67</v>
      </c>
      <c r="BW8" s="596"/>
      <c r="BX8" s="596"/>
      <c r="BY8" s="596"/>
      <c r="BZ8" s="596"/>
      <c r="CA8" s="597"/>
      <c r="CB8" s="604" t="s">
        <v>87</v>
      </c>
      <c r="CC8" s="605"/>
      <c r="CD8" s="605"/>
      <c r="CE8" s="606"/>
      <c r="CF8" s="588" t="s">
        <v>94</v>
      </c>
      <c r="CG8" s="613"/>
      <c r="CH8" s="613"/>
      <c r="CI8" s="613"/>
      <c r="CJ8" s="614"/>
      <c r="CK8" s="588" t="s">
        <v>95</v>
      </c>
      <c r="CL8" s="613"/>
      <c r="CM8" s="613"/>
      <c r="CN8" s="613"/>
      <c r="CO8" s="614"/>
      <c r="CP8" s="588" t="s">
        <v>96</v>
      </c>
      <c r="CQ8" s="613"/>
      <c r="CR8" s="613"/>
      <c r="CS8" s="613"/>
      <c r="CT8" s="614"/>
      <c r="CU8" s="588" t="s">
        <v>90</v>
      </c>
      <c r="CV8" s="613"/>
      <c r="CW8" s="613"/>
      <c r="CX8" s="613"/>
      <c r="CY8" s="614"/>
      <c r="CZ8" s="99"/>
      <c r="DA8" s="100"/>
      <c r="DB8" s="92"/>
      <c r="DC8" s="92"/>
      <c r="DD8" s="556" t="s">
        <v>140</v>
      </c>
      <c r="DE8" s="557"/>
      <c r="DF8" s="557"/>
      <c r="DG8" s="557"/>
      <c r="DH8" s="557"/>
      <c r="DI8" s="557"/>
      <c r="DJ8" s="557"/>
      <c r="DK8" s="557"/>
      <c r="DL8" s="557"/>
      <c r="DM8" s="557"/>
      <c r="DN8" s="557"/>
      <c r="DO8" s="557"/>
      <c r="DP8" s="557"/>
      <c r="DQ8" s="557"/>
      <c r="DR8" s="557"/>
      <c r="DS8" s="557"/>
      <c r="DT8" s="557"/>
      <c r="DU8" s="557"/>
      <c r="DV8" s="557"/>
      <c r="DW8" s="557"/>
      <c r="DX8" s="557"/>
      <c r="DY8" s="557"/>
      <c r="DZ8" s="557"/>
      <c r="EA8" s="557"/>
      <c r="EB8" s="557"/>
      <c r="EC8" s="557"/>
      <c r="ED8" s="557"/>
      <c r="EE8" s="557"/>
      <c r="EF8" s="557"/>
      <c r="EG8" s="557"/>
      <c r="EH8" s="557"/>
      <c r="EI8" s="557"/>
      <c r="EJ8" s="557"/>
      <c r="EK8" s="557"/>
      <c r="EL8" s="557"/>
      <c r="EM8" s="557"/>
      <c r="EN8" s="557"/>
      <c r="EO8" s="557"/>
      <c r="EP8" s="557"/>
      <c r="EQ8" s="558"/>
      <c r="ET8" s="559" t="s">
        <v>141</v>
      </c>
      <c r="EU8" s="560"/>
      <c r="EV8" s="560"/>
      <c r="EW8" s="560"/>
      <c r="EX8" s="560"/>
      <c r="EY8" s="560"/>
      <c r="EZ8" s="560"/>
      <c r="FA8" s="560"/>
      <c r="FB8" s="560"/>
      <c r="FC8" s="561"/>
    </row>
    <row r="9" spans="1:159" ht="60" customHeight="1" x14ac:dyDescent="0.15">
      <c r="A9" s="573"/>
      <c r="B9" s="573"/>
      <c r="C9" s="576"/>
      <c r="D9" s="580"/>
      <c r="E9" s="581"/>
      <c r="F9" s="581"/>
      <c r="G9" s="581"/>
      <c r="H9" s="581"/>
      <c r="I9" s="581"/>
      <c r="J9" s="581"/>
      <c r="K9" s="580"/>
      <c r="L9" s="581"/>
      <c r="M9" s="581"/>
      <c r="N9" s="581"/>
      <c r="O9" s="581"/>
      <c r="P9" s="581"/>
      <c r="Q9" s="581"/>
      <c r="R9" s="580"/>
      <c r="S9" s="586"/>
      <c r="T9" s="580"/>
      <c r="U9" s="586"/>
      <c r="V9" s="580"/>
      <c r="W9" s="581"/>
      <c r="X9" s="581"/>
      <c r="Y9" s="581"/>
      <c r="Z9" s="581"/>
      <c r="AA9" s="581"/>
      <c r="AB9" s="581"/>
      <c r="AC9" s="581"/>
      <c r="AD9" s="580"/>
      <c r="AE9" s="581"/>
      <c r="AF9" s="581"/>
      <c r="AG9" s="581"/>
      <c r="AH9" s="581"/>
      <c r="AI9" s="581"/>
      <c r="AJ9" s="581"/>
      <c r="AK9" s="586"/>
      <c r="AL9" s="580"/>
      <c r="AM9" s="581"/>
      <c r="AN9" s="581"/>
      <c r="AO9" s="581"/>
      <c r="AP9" s="581"/>
      <c r="AQ9" s="581"/>
      <c r="AR9" s="586"/>
      <c r="AS9" s="580"/>
      <c r="AT9" s="581"/>
      <c r="AU9" s="581"/>
      <c r="AV9" s="581"/>
      <c r="AW9" s="581"/>
      <c r="AX9" s="581"/>
      <c r="AY9" s="586"/>
      <c r="AZ9" s="580"/>
      <c r="BA9" s="586"/>
      <c r="BB9" s="616"/>
      <c r="BC9" s="635"/>
      <c r="BD9" s="636"/>
      <c r="BE9" s="636"/>
      <c r="BF9" s="637"/>
      <c r="BG9" s="598"/>
      <c r="BH9" s="600"/>
      <c r="BI9" s="642"/>
      <c r="BJ9" s="598"/>
      <c r="BK9" s="599"/>
      <c r="BL9" s="599"/>
      <c r="BM9" s="599"/>
      <c r="BN9" s="599"/>
      <c r="BO9" s="600"/>
      <c r="BP9" s="598"/>
      <c r="BQ9" s="599"/>
      <c r="BR9" s="599"/>
      <c r="BS9" s="599"/>
      <c r="BT9" s="599"/>
      <c r="BU9" s="600"/>
      <c r="BV9" s="598"/>
      <c r="BW9" s="599"/>
      <c r="BX9" s="599"/>
      <c r="BY9" s="599"/>
      <c r="BZ9" s="599"/>
      <c r="CA9" s="600"/>
      <c r="CB9" s="607"/>
      <c r="CC9" s="608"/>
      <c r="CD9" s="608"/>
      <c r="CE9" s="609"/>
      <c r="CF9" s="588"/>
      <c r="CG9" s="613"/>
      <c r="CH9" s="613"/>
      <c r="CI9" s="613"/>
      <c r="CJ9" s="614"/>
      <c r="CK9" s="588"/>
      <c r="CL9" s="613"/>
      <c r="CM9" s="613"/>
      <c r="CN9" s="613"/>
      <c r="CO9" s="614"/>
      <c r="CP9" s="588"/>
      <c r="CQ9" s="613"/>
      <c r="CR9" s="613"/>
      <c r="CS9" s="613"/>
      <c r="CT9" s="614"/>
      <c r="CU9" s="588"/>
      <c r="CV9" s="613"/>
      <c r="CW9" s="613"/>
      <c r="CX9" s="613"/>
      <c r="CY9" s="614"/>
      <c r="CZ9" s="99"/>
      <c r="DA9" s="100"/>
      <c r="DB9" s="92"/>
      <c r="DC9" s="92"/>
      <c r="DD9" s="205" t="str">
        <f>IF(ISBLANK(Cause_Type_Name_1),"",Cause_Type_Name_1)</f>
        <v>10:System Design Mistake</v>
      </c>
      <c r="DE9" s="206" t="str">
        <f>IF(ISBLANK(Cause_Type_Name_2),"",Cause_Type_Name_2)</f>
        <v>11:Interface Design Mistake</v>
      </c>
      <c r="DF9" s="206" t="str">
        <f>IF(ISBLANK(Cause_Type_Name_3),"",Cause_Type_Name_3)</f>
        <v>12:File/DB Design Mistake</v>
      </c>
      <c r="DG9" s="206" t="str">
        <f>IF(ISBLANK(Cause_Type_Name_4),"",Cause_Type_Name_4)</f>
        <v>13:System Function Design Mistake</v>
      </c>
      <c r="DH9" s="206" t="str">
        <f>IF(ISBLANK(Cause_Type_Name_5),"",Cause_Type_Name_5)</f>
        <v>14:Common Components Design Mistake</v>
      </c>
      <c r="DI9" s="206" t="str">
        <f>IF(ISBLANK(Cause_Type_Name_6),"",Cause_Type_Name_6)</f>
        <v>20:Logical Mistake</v>
      </c>
      <c r="DJ9" s="206" t="str">
        <f>IF(ISBLANK(Cause_Type_Name_7),"",Cause_Type_Name_7)</f>
        <v>21:PG Mistake (Coding Mistake)</v>
      </c>
      <c r="DK9" s="206" t="str">
        <f>IF(ISBLANK(Cause_Type_Name_8),"",Cause_Type_Name_8)</f>
        <v>22:PG Mistake (SQL Mistake)</v>
      </c>
      <c r="DL9" s="206" t="str">
        <f>IF(ISBLANK(Cause_Type_Name_9),"",Cause_Type_Name_9)</f>
        <v>23:PG Mistake (Against Common Rules)</v>
      </c>
      <c r="DM9" s="206" t="str">
        <f>IF(ISBLANK(Cause_Type_Name_10),"",Cause_Type_Name_10)</f>
        <v>24:Regression (Modification Failure)</v>
      </c>
      <c r="DN9" s="206" t="str">
        <f>IF(ISBLANK(Cause_Type_Name_11),"",Cause_Type_Name_11)</f>
        <v>30:Test Specification Mistake</v>
      </c>
      <c r="DO9" s="206" t="str">
        <f>IF(ISBLANK(Cause_Type_Name_12),"",Cause_Type_Name_12)</f>
        <v>31:Test Data Mistake</v>
      </c>
      <c r="DP9" s="206" t="str">
        <f>IF(ISBLANK(Cause_Type_Name_13),"",Cause_Type_Name_13)</f>
        <v>40:Operation Mistake</v>
      </c>
      <c r="DQ9" s="206" t="str">
        <f>IF(ISBLANK(Cause_Type_Name_14),"",Cause_Type_Name_14)</f>
        <v>41:Environment Setting Mistake</v>
      </c>
      <c r="DR9" s="206" t="str">
        <f>IF(ISBLANK(Cause_Type_Name_15),"",Cause_Type_Name_15)</f>
        <v>42:ConfManage/Release Mistake</v>
      </c>
      <c r="DS9" s="206" t="str">
        <f>IF(ISBLANK(Cause_Type_Name_16),"",Cause_Type_Name_16)</f>
        <v>50:Product Defect(Equip/OS/Mid/PKG/Net)</v>
      </c>
      <c r="DT9" s="206" t="str">
        <f>IF(ISBLANK(Cause_Type_Name_17),"",Cause_Type_Name_17)</f>
        <v>52:Linking Destination Defect</v>
      </c>
      <c r="DU9" s="206" t="str">
        <f>IF(ISBLANK(Cause_Type_Name_18),"",Cause_Type_Name_18)</f>
        <v>53:Fujitsu PKG Software Defect</v>
      </c>
      <c r="DV9" s="206" t="str">
        <f>IF(ISBLANK(Cause_Type_Name_19),"",Cause_Type_Name_19)</f>
        <v>54:3rd-party PKG Software Defect</v>
      </c>
      <c r="DW9" s="206" t="str">
        <f>IF(ISBLANK(Cause_Type_Name_20),"",Cause_Type_Name_20)</f>
        <v>55:Other Application Software Defect</v>
      </c>
      <c r="DX9" s="206" t="str">
        <f>IF(ISBLANK(Cause_Type_Name_21),"",Cause_Type_Name_21)</f>
        <v>60:Other</v>
      </c>
      <c r="DY9" s="206" t="str">
        <f>IF(ISBLANK(Cause_Type_Name_22),"",Cause_Type_Name_22)</f>
        <v>80:Unknown Cause (Wait for Reappear)</v>
      </c>
      <c r="DZ9" s="206" t="str">
        <f>IF(ISBLANK(Cause_Type_Name_23),"",Cause_Type_Name_23)</f>
        <v>90:Following Requirement</v>
      </c>
      <c r="EA9" s="206" t="str">
        <f>IF(ISBLANK(Cause_Type_Name_24),"",Cause_Type_Name_24)</f>
        <v>91:Same Defect (Already Detected)</v>
      </c>
      <c r="EB9" s="206" t="str">
        <f>IF(ISBLANK(Cause_Type_Name_25),"",Cause_Type_Name_25)</f>
        <v/>
      </c>
      <c r="EC9" s="206" t="str">
        <f>IF(ISBLANK(Cause_Type_Name_26),"",Cause_Type_Name_26)</f>
        <v/>
      </c>
      <c r="ED9" s="206" t="str">
        <f>IF(ISBLANK(Cause_Type_Name_27),"",Cause_Type_Name_27)</f>
        <v/>
      </c>
      <c r="EE9" s="206" t="str">
        <f>IF(ISBLANK(Cause_Type_Name_28),"",Cause_Type_Name_28)</f>
        <v/>
      </c>
      <c r="EF9" s="206" t="str">
        <f>IF(ISBLANK(Cause_Type_Name_29),"",Cause_Type_Name_29)</f>
        <v/>
      </c>
      <c r="EG9" s="206" t="str">
        <f>IF(ISBLANK(Cause_Type_Name_30),"",Cause_Type_Name_30)</f>
        <v/>
      </c>
      <c r="EH9" s="206" t="str">
        <f>IF(ISBLANK(Cause_Type_Name_31),"",Cause_Type_Name_31)</f>
        <v/>
      </c>
      <c r="EI9" s="206" t="str">
        <f>IF(ISBLANK(Cause_Type_Name_32),"",Cause_Type_Name_32)</f>
        <v/>
      </c>
      <c r="EJ9" s="206" t="str">
        <f>IF(ISBLANK(Cause_Type_Name_33),"",Cause_Type_Name_33)</f>
        <v/>
      </c>
      <c r="EK9" s="206" t="str">
        <f>IF(ISBLANK(Cause_Type_Name_34),"",Cause_Type_Name_34)</f>
        <v/>
      </c>
      <c r="EL9" s="206" t="str">
        <f>IF(ISBLANK(Cause_Type_Name_35),"",Cause_Type_Name_35)</f>
        <v/>
      </c>
      <c r="EM9" s="206" t="str">
        <f>IF(ISBLANK(Cause_Type_Name_36),"",Cause_Type_Name_36)</f>
        <v/>
      </c>
      <c r="EN9" s="206" t="str">
        <f>IF(ISBLANK(Cause_Type_Name_37),"",Cause_Type_Name_37)</f>
        <v/>
      </c>
      <c r="EO9" s="206" t="str">
        <f>IF(ISBLANK(Cause_Type_Name_38),"",Cause_Type_Name_38)</f>
        <v/>
      </c>
      <c r="EP9" s="206" t="str">
        <f>IF(ISBLANK(Cause_Type_Name_39),"",Cause_Type_Name_39)</f>
        <v/>
      </c>
      <c r="EQ9" s="206" t="str">
        <f>IF(ISBLANK(Cause_Type_Name_40),"",Cause_Type_Name_40)</f>
        <v/>
      </c>
      <c r="ET9" s="208" t="str">
        <f ca="1">IF(ISBLANK(Cause_Phase_1),"",Cause_Phase_1)</f>
        <v>RD</v>
      </c>
      <c r="EU9" s="208" t="str">
        <f ca="1">IF(ISBLANK(Cause_Phase_2),"",Cause_Phase_2)</f>
        <v>UI</v>
      </c>
      <c r="EV9" s="208" t="str">
        <f ca="1">IF(ISBLANK(Cause_Phase_3),"",Cause_Phase_3)</f>
        <v>SS</v>
      </c>
      <c r="EW9" s="208" t="str">
        <f ca="1">IF(ISBLANK(Cause_Phase_4),"",Cause_Phase_4)</f>
        <v>PS</v>
      </c>
      <c r="EX9" s="208" t="str">
        <f ca="1">IF(ISBLANK(Cause_Phase_5),"",Cause_Phase_5)</f>
        <v>PG</v>
      </c>
      <c r="EY9" s="208" t="str">
        <f ca="1">IF(ISBLANK(Cause_Phase_6),"",Cause_Phase_6)</f>
        <v>PT</v>
      </c>
      <c r="EZ9" s="208" t="str">
        <f ca="1">IF(ISBLANK(Cause_Phase_7),"",Cause_Phase_7)</f>
        <v>PTU</v>
      </c>
      <c r="FA9" s="208" t="str">
        <f ca="1">IF(ISBLANK(Cause_Phase_8),"",Cause_Phase_8)</f>
        <v>IT</v>
      </c>
      <c r="FB9" s="208" t="str">
        <f ca="1">IF(ISBLANK(Cause_Phase_9),"",Cause_Phase_9)</f>
        <v>IT2</v>
      </c>
      <c r="FC9" s="203" t="str">
        <f ca="1">IF(ISBLANK(Cause_Phase_10),"",Cause_Phase_10)</f>
        <v>IT3</v>
      </c>
    </row>
    <row r="10" spans="1:159" s="101" customFormat="1" ht="12.75" customHeight="1" x14ac:dyDescent="0.15">
      <c r="A10" s="574"/>
      <c r="B10" s="574"/>
      <c r="C10" s="577"/>
      <c r="D10" s="582"/>
      <c r="E10" s="583"/>
      <c r="F10" s="583"/>
      <c r="G10" s="583"/>
      <c r="H10" s="583"/>
      <c r="I10" s="583"/>
      <c r="J10" s="583"/>
      <c r="K10" s="582"/>
      <c r="L10" s="583"/>
      <c r="M10" s="583"/>
      <c r="N10" s="583"/>
      <c r="O10" s="583"/>
      <c r="P10" s="583"/>
      <c r="Q10" s="583"/>
      <c r="R10" s="582"/>
      <c r="S10" s="587"/>
      <c r="T10" s="582"/>
      <c r="U10" s="587"/>
      <c r="V10" s="582"/>
      <c r="W10" s="583"/>
      <c r="X10" s="583"/>
      <c r="Y10" s="583"/>
      <c r="Z10" s="583"/>
      <c r="AA10" s="583"/>
      <c r="AB10" s="583"/>
      <c r="AC10" s="583"/>
      <c r="AD10" s="582"/>
      <c r="AE10" s="583"/>
      <c r="AF10" s="583"/>
      <c r="AG10" s="583"/>
      <c r="AH10" s="583"/>
      <c r="AI10" s="583"/>
      <c r="AJ10" s="583"/>
      <c r="AK10" s="587"/>
      <c r="AL10" s="582"/>
      <c r="AM10" s="583"/>
      <c r="AN10" s="583"/>
      <c r="AO10" s="583"/>
      <c r="AP10" s="583"/>
      <c r="AQ10" s="583"/>
      <c r="AR10" s="587"/>
      <c r="AS10" s="582"/>
      <c r="AT10" s="583"/>
      <c r="AU10" s="583"/>
      <c r="AV10" s="583"/>
      <c r="AW10" s="583"/>
      <c r="AX10" s="583"/>
      <c r="AY10" s="587"/>
      <c r="AZ10" s="582"/>
      <c r="BA10" s="587"/>
      <c r="BB10" s="617"/>
      <c r="BC10" s="638"/>
      <c r="BD10" s="639"/>
      <c r="BE10" s="639"/>
      <c r="BF10" s="640"/>
      <c r="BG10" s="601"/>
      <c r="BH10" s="603"/>
      <c r="BI10" s="643"/>
      <c r="BJ10" s="601"/>
      <c r="BK10" s="602"/>
      <c r="BL10" s="602"/>
      <c r="BM10" s="602"/>
      <c r="BN10" s="602"/>
      <c r="BO10" s="603"/>
      <c r="BP10" s="601"/>
      <c r="BQ10" s="602"/>
      <c r="BR10" s="602"/>
      <c r="BS10" s="602"/>
      <c r="BT10" s="602"/>
      <c r="BU10" s="603"/>
      <c r="BV10" s="601"/>
      <c r="BW10" s="602"/>
      <c r="BX10" s="602"/>
      <c r="BY10" s="602"/>
      <c r="BZ10" s="602"/>
      <c r="CA10" s="603"/>
      <c r="CB10" s="610"/>
      <c r="CC10" s="611"/>
      <c r="CD10" s="611"/>
      <c r="CE10" s="612"/>
      <c r="CF10" s="588"/>
      <c r="CG10" s="613"/>
      <c r="CH10" s="613"/>
      <c r="CI10" s="613"/>
      <c r="CJ10" s="614"/>
      <c r="CK10" s="588"/>
      <c r="CL10" s="613"/>
      <c r="CM10" s="613"/>
      <c r="CN10" s="613"/>
      <c r="CO10" s="614"/>
      <c r="CP10" s="588"/>
      <c r="CQ10" s="613"/>
      <c r="CR10" s="613"/>
      <c r="CS10" s="613"/>
      <c r="CT10" s="614"/>
      <c r="CU10" s="588"/>
      <c r="CV10" s="613"/>
      <c r="CW10" s="613"/>
      <c r="CX10" s="613"/>
      <c r="CY10" s="614"/>
      <c r="DD10" s="207">
        <f t="shared" ref="DD10:EQ10" ca="1" si="0">IF(DD$9="","",COUNTIFS(INDIRECT("$C11:$C"&amp;ROW(Test_Item_Report_End_Line)),"=@",INDIRECT("$BP11:$BP"&amp;ROW(Test_Item_Report_End_Line)),DD$9))</f>
        <v>0</v>
      </c>
      <c r="DE10" s="207">
        <f t="shared" ca="1" si="0"/>
        <v>0</v>
      </c>
      <c r="DF10" s="207">
        <f t="shared" ca="1" si="0"/>
        <v>0</v>
      </c>
      <c r="DG10" s="207">
        <f t="shared" ca="1" si="0"/>
        <v>0</v>
      </c>
      <c r="DH10" s="207">
        <f t="shared" ca="1" si="0"/>
        <v>0</v>
      </c>
      <c r="DI10" s="207">
        <f t="shared" ca="1" si="0"/>
        <v>0</v>
      </c>
      <c r="DJ10" s="207">
        <f t="shared" ca="1" si="0"/>
        <v>0</v>
      </c>
      <c r="DK10" s="207">
        <f t="shared" ca="1" si="0"/>
        <v>0</v>
      </c>
      <c r="DL10" s="207">
        <f t="shared" ca="1" si="0"/>
        <v>0</v>
      </c>
      <c r="DM10" s="207">
        <f t="shared" ca="1" si="0"/>
        <v>0</v>
      </c>
      <c r="DN10" s="207">
        <f t="shared" ca="1" si="0"/>
        <v>0</v>
      </c>
      <c r="DO10" s="207">
        <f t="shared" ca="1" si="0"/>
        <v>0</v>
      </c>
      <c r="DP10" s="207">
        <f t="shared" ca="1" si="0"/>
        <v>0</v>
      </c>
      <c r="DQ10" s="207">
        <f t="shared" ca="1" si="0"/>
        <v>0</v>
      </c>
      <c r="DR10" s="207">
        <f t="shared" ca="1" si="0"/>
        <v>0</v>
      </c>
      <c r="DS10" s="207">
        <f t="shared" ca="1" si="0"/>
        <v>0</v>
      </c>
      <c r="DT10" s="207">
        <f t="shared" ca="1" si="0"/>
        <v>0</v>
      </c>
      <c r="DU10" s="207">
        <f t="shared" ca="1" si="0"/>
        <v>0</v>
      </c>
      <c r="DV10" s="207">
        <f t="shared" ca="1" si="0"/>
        <v>0</v>
      </c>
      <c r="DW10" s="207">
        <f t="shared" ca="1" si="0"/>
        <v>0</v>
      </c>
      <c r="DX10" s="207">
        <f t="shared" ca="1" si="0"/>
        <v>0</v>
      </c>
      <c r="DY10" s="207">
        <f t="shared" ca="1" si="0"/>
        <v>0</v>
      </c>
      <c r="DZ10" s="207">
        <f t="shared" ca="1" si="0"/>
        <v>0</v>
      </c>
      <c r="EA10" s="207">
        <f t="shared" ca="1" si="0"/>
        <v>0</v>
      </c>
      <c r="EB10" s="207" t="str">
        <f t="shared" ca="1" si="0"/>
        <v/>
      </c>
      <c r="EC10" s="207" t="str">
        <f t="shared" ca="1" si="0"/>
        <v/>
      </c>
      <c r="ED10" s="207" t="str">
        <f t="shared" ca="1" si="0"/>
        <v/>
      </c>
      <c r="EE10" s="207" t="str">
        <f t="shared" ca="1" si="0"/>
        <v/>
      </c>
      <c r="EF10" s="207" t="str">
        <f t="shared" ca="1" si="0"/>
        <v/>
      </c>
      <c r="EG10" s="207" t="str">
        <f t="shared" ca="1" si="0"/>
        <v/>
      </c>
      <c r="EH10" s="207" t="str">
        <f t="shared" ca="1" si="0"/>
        <v/>
      </c>
      <c r="EI10" s="207" t="str">
        <f t="shared" ca="1" si="0"/>
        <v/>
      </c>
      <c r="EJ10" s="207" t="str">
        <f t="shared" ca="1" si="0"/>
        <v/>
      </c>
      <c r="EK10" s="207" t="str">
        <f t="shared" ca="1" si="0"/>
        <v/>
      </c>
      <c r="EL10" s="207" t="str">
        <f t="shared" ca="1" si="0"/>
        <v/>
      </c>
      <c r="EM10" s="207" t="str">
        <f t="shared" ca="1" si="0"/>
        <v/>
      </c>
      <c r="EN10" s="207" t="str">
        <f t="shared" ca="1" si="0"/>
        <v/>
      </c>
      <c r="EO10" s="207" t="str">
        <f t="shared" ca="1" si="0"/>
        <v/>
      </c>
      <c r="EP10" s="207" t="str">
        <f t="shared" ca="1" si="0"/>
        <v/>
      </c>
      <c r="EQ10" s="207" t="str">
        <f t="shared" ca="1" si="0"/>
        <v/>
      </c>
      <c r="ET10" s="204">
        <f t="shared" ref="ET10:FC10" ca="1" si="1">IF(ET$9="","",COUNTIFS(INDIRECT("$C11:$C"&amp;ROW(Test_Item_Report_End_Line)),"=@",INDIRECT("$BI11:$BI"&amp;ROW(Test_Item_Report_End_Line)),ET$9))</f>
        <v>0</v>
      </c>
      <c r="EU10" s="204">
        <f t="shared" ca="1" si="1"/>
        <v>0</v>
      </c>
      <c r="EV10" s="204">
        <f t="shared" ca="1" si="1"/>
        <v>0</v>
      </c>
      <c r="EW10" s="204">
        <f t="shared" ca="1" si="1"/>
        <v>0</v>
      </c>
      <c r="EX10" s="204">
        <f t="shared" ca="1" si="1"/>
        <v>0</v>
      </c>
      <c r="EY10" s="204">
        <f t="shared" ca="1" si="1"/>
        <v>0</v>
      </c>
      <c r="EZ10" s="204">
        <f t="shared" ca="1" si="1"/>
        <v>0</v>
      </c>
      <c r="FA10" s="204">
        <f t="shared" ca="1" si="1"/>
        <v>0</v>
      </c>
      <c r="FB10" s="204">
        <f t="shared" ca="1" si="1"/>
        <v>0</v>
      </c>
      <c r="FC10" s="204">
        <f t="shared" ca="1" si="1"/>
        <v>0</v>
      </c>
    </row>
    <row r="11" spans="1:159" s="91" customFormat="1" ht="15.75" customHeight="1" x14ac:dyDescent="0.15">
      <c r="A11" s="516">
        <v>1</v>
      </c>
      <c r="B11" s="102"/>
      <c r="C11" s="217" t="str">
        <f t="shared" ref="C11:C22" ca="1" si="2">IF(AND(OFFSET($K11,-($BB11-1),0)&lt;&gt;"",OFFSET($R11,-($BB11-1),0)&lt;&gt;"x"),"@","")</f>
        <v>@</v>
      </c>
      <c r="D11" s="519" t="s">
        <v>806</v>
      </c>
      <c r="E11" s="520"/>
      <c r="F11" s="520"/>
      <c r="G11" s="520"/>
      <c r="H11" s="520"/>
      <c r="I11" s="520"/>
      <c r="J11" s="520"/>
      <c r="K11" s="525" t="s">
        <v>553</v>
      </c>
      <c r="L11" s="526"/>
      <c r="M11" s="526"/>
      <c r="N11" s="526"/>
      <c r="O11" s="526"/>
      <c r="P11" s="526"/>
      <c r="Q11" s="526"/>
      <c r="R11" s="531"/>
      <c r="S11" s="532"/>
      <c r="T11" s="531" t="s">
        <v>284</v>
      </c>
      <c r="U11" s="532"/>
      <c r="V11" s="525" t="s">
        <v>630</v>
      </c>
      <c r="W11" s="538"/>
      <c r="X11" s="538"/>
      <c r="Y11" s="538"/>
      <c r="Z11" s="538"/>
      <c r="AA11" s="538"/>
      <c r="AB11" s="538"/>
      <c r="AC11" s="538"/>
      <c r="AD11" s="525" t="s">
        <v>577</v>
      </c>
      <c r="AE11" s="538"/>
      <c r="AF11" s="538"/>
      <c r="AG11" s="538"/>
      <c r="AH11" s="538"/>
      <c r="AI11" s="538"/>
      <c r="AJ11" s="538"/>
      <c r="AK11" s="540"/>
      <c r="AL11" s="525" t="s">
        <v>563</v>
      </c>
      <c r="AM11" s="538"/>
      <c r="AN11" s="538"/>
      <c r="AO11" s="538"/>
      <c r="AP11" s="538"/>
      <c r="AQ11" s="538"/>
      <c r="AR11" s="540"/>
      <c r="AS11" s="543"/>
      <c r="AT11" s="544"/>
      <c r="AU11" s="544"/>
      <c r="AV11" s="544"/>
      <c r="AW11" s="544"/>
      <c r="AX11" s="544"/>
      <c r="AY11" s="545"/>
      <c r="AZ11" s="491" t="s">
        <v>797</v>
      </c>
      <c r="BA11" s="492"/>
      <c r="BB11" s="103">
        <v>1</v>
      </c>
      <c r="BC11" s="497"/>
      <c r="BD11" s="498"/>
      <c r="BE11" s="498"/>
      <c r="BF11" s="499"/>
      <c r="BG11" s="500" t="s">
        <v>799</v>
      </c>
      <c r="BH11" s="501"/>
      <c r="BI11" s="223"/>
      <c r="BJ11" s="502"/>
      <c r="BK11" s="503"/>
      <c r="BL11" s="503"/>
      <c r="BM11" s="503"/>
      <c r="BN11" s="503"/>
      <c r="BO11" s="504"/>
      <c r="BP11" s="502"/>
      <c r="BQ11" s="503"/>
      <c r="BR11" s="503"/>
      <c r="BS11" s="503"/>
      <c r="BT11" s="503"/>
      <c r="BU11" s="504"/>
      <c r="BV11" s="502"/>
      <c r="BW11" s="503"/>
      <c r="BX11" s="503"/>
      <c r="BY11" s="503"/>
      <c r="BZ11" s="503"/>
      <c r="CA11" s="504"/>
      <c r="CB11" s="497"/>
      <c r="CC11" s="498"/>
      <c r="CD11" s="498"/>
      <c r="CE11" s="499"/>
      <c r="CF11" s="477"/>
      <c r="CG11" s="478"/>
      <c r="CH11" s="478"/>
      <c r="CI11" s="478"/>
      <c r="CJ11" s="479"/>
      <c r="CK11" s="477"/>
      <c r="CL11" s="478"/>
      <c r="CM11" s="478"/>
      <c r="CN11" s="478"/>
      <c r="CO11" s="479"/>
      <c r="CP11" s="477"/>
      <c r="CQ11" s="478"/>
      <c r="CR11" s="478"/>
      <c r="CS11" s="478"/>
      <c r="CT11" s="479"/>
      <c r="CU11" s="480"/>
      <c r="CV11" s="481"/>
      <c r="CW11" s="481"/>
      <c r="CX11" s="481"/>
      <c r="CY11" s="482"/>
    </row>
    <row r="12" spans="1:159" s="91" customFormat="1" ht="16.5" x14ac:dyDescent="0.15">
      <c r="A12" s="517"/>
      <c r="B12" s="102"/>
      <c r="C12" s="220" t="str">
        <f t="shared" ca="1" si="2"/>
        <v>@</v>
      </c>
      <c r="D12" s="521"/>
      <c r="E12" s="522"/>
      <c r="F12" s="522"/>
      <c r="G12" s="522"/>
      <c r="H12" s="522"/>
      <c r="I12" s="522"/>
      <c r="J12" s="522"/>
      <c r="K12" s="527"/>
      <c r="L12" s="528"/>
      <c r="M12" s="528"/>
      <c r="N12" s="528"/>
      <c r="O12" s="528"/>
      <c r="P12" s="528"/>
      <c r="Q12" s="528"/>
      <c r="R12" s="533"/>
      <c r="S12" s="534"/>
      <c r="T12" s="533"/>
      <c r="U12" s="534"/>
      <c r="V12" s="527"/>
      <c r="W12" s="528"/>
      <c r="X12" s="528"/>
      <c r="Y12" s="528"/>
      <c r="Z12" s="528"/>
      <c r="AA12" s="528"/>
      <c r="AB12" s="528"/>
      <c r="AC12" s="528"/>
      <c r="AD12" s="527"/>
      <c r="AE12" s="528"/>
      <c r="AF12" s="528"/>
      <c r="AG12" s="528"/>
      <c r="AH12" s="528"/>
      <c r="AI12" s="528"/>
      <c r="AJ12" s="528"/>
      <c r="AK12" s="541"/>
      <c r="AL12" s="527"/>
      <c r="AM12" s="528"/>
      <c r="AN12" s="528"/>
      <c r="AO12" s="528"/>
      <c r="AP12" s="528"/>
      <c r="AQ12" s="528"/>
      <c r="AR12" s="541"/>
      <c r="AS12" s="546"/>
      <c r="AT12" s="547"/>
      <c r="AU12" s="547"/>
      <c r="AV12" s="547"/>
      <c r="AW12" s="547"/>
      <c r="AX12" s="547"/>
      <c r="AY12" s="548"/>
      <c r="AZ12" s="493"/>
      <c r="BA12" s="494"/>
      <c r="BB12" s="105">
        <v>2</v>
      </c>
      <c r="BC12" s="497"/>
      <c r="BD12" s="498"/>
      <c r="BE12" s="498"/>
      <c r="BF12" s="499"/>
      <c r="BG12" s="500"/>
      <c r="BH12" s="501"/>
      <c r="BI12" s="224"/>
      <c r="BJ12" s="488"/>
      <c r="BK12" s="489"/>
      <c r="BL12" s="489"/>
      <c r="BM12" s="489"/>
      <c r="BN12" s="489"/>
      <c r="BO12" s="490"/>
      <c r="BP12" s="488"/>
      <c r="BQ12" s="489"/>
      <c r="BR12" s="489"/>
      <c r="BS12" s="489"/>
      <c r="BT12" s="489"/>
      <c r="BU12" s="490"/>
      <c r="BV12" s="488"/>
      <c r="BW12" s="489"/>
      <c r="BX12" s="489"/>
      <c r="BY12" s="489"/>
      <c r="BZ12" s="489"/>
      <c r="CA12" s="490"/>
      <c r="CB12" s="483"/>
      <c r="CC12" s="484"/>
      <c r="CD12" s="484"/>
      <c r="CE12" s="485"/>
      <c r="CF12" s="477"/>
      <c r="CG12" s="478"/>
      <c r="CH12" s="478"/>
      <c r="CI12" s="478"/>
      <c r="CJ12" s="479"/>
      <c r="CK12" s="477"/>
      <c r="CL12" s="478"/>
      <c r="CM12" s="478"/>
      <c r="CN12" s="478"/>
      <c r="CO12" s="479"/>
      <c r="CP12" s="477"/>
      <c r="CQ12" s="478"/>
      <c r="CR12" s="478"/>
      <c r="CS12" s="478"/>
      <c r="CT12" s="479"/>
      <c r="CU12" s="480"/>
      <c r="CV12" s="481"/>
      <c r="CW12" s="481"/>
      <c r="CX12" s="481"/>
      <c r="CY12" s="482"/>
    </row>
    <row r="13" spans="1:159" s="91" customFormat="1" ht="16.5" x14ac:dyDescent="0.15">
      <c r="A13" s="517"/>
      <c r="B13" s="102"/>
      <c r="C13" s="220" t="str">
        <f t="shared" ca="1" si="2"/>
        <v>@</v>
      </c>
      <c r="D13" s="521"/>
      <c r="E13" s="522"/>
      <c r="F13" s="522"/>
      <c r="G13" s="522"/>
      <c r="H13" s="522"/>
      <c r="I13" s="522"/>
      <c r="J13" s="522"/>
      <c r="K13" s="527"/>
      <c r="L13" s="528"/>
      <c r="M13" s="528"/>
      <c r="N13" s="528"/>
      <c r="O13" s="528"/>
      <c r="P13" s="528"/>
      <c r="Q13" s="528"/>
      <c r="R13" s="533"/>
      <c r="S13" s="534"/>
      <c r="T13" s="533"/>
      <c r="U13" s="534"/>
      <c r="V13" s="527"/>
      <c r="W13" s="528"/>
      <c r="X13" s="528"/>
      <c r="Y13" s="528"/>
      <c r="Z13" s="528"/>
      <c r="AA13" s="528"/>
      <c r="AB13" s="528"/>
      <c r="AC13" s="528"/>
      <c r="AD13" s="527"/>
      <c r="AE13" s="528"/>
      <c r="AF13" s="528"/>
      <c r="AG13" s="528"/>
      <c r="AH13" s="528"/>
      <c r="AI13" s="528"/>
      <c r="AJ13" s="528"/>
      <c r="AK13" s="541"/>
      <c r="AL13" s="527"/>
      <c r="AM13" s="528"/>
      <c r="AN13" s="528"/>
      <c r="AO13" s="528"/>
      <c r="AP13" s="528"/>
      <c r="AQ13" s="528"/>
      <c r="AR13" s="541"/>
      <c r="AS13" s="546"/>
      <c r="AT13" s="547"/>
      <c r="AU13" s="547"/>
      <c r="AV13" s="547"/>
      <c r="AW13" s="547"/>
      <c r="AX13" s="547"/>
      <c r="AY13" s="548"/>
      <c r="AZ13" s="493"/>
      <c r="BA13" s="494"/>
      <c r="BB13" s="105">
        <v>3</v>
      </c>
      <c r="BC13" s="483"/>
      <c r="BD13" s="484"/>
      <c r="BE13" s="484"/>
      <c r="BF13" s="485"/>
      <c r="BG13" s="486"/>
      <c r="BH13" s="487"/>
      <c r="BI13" s="224"/>
      <c r="BJ13" s="488"/>
      <c r="BK13" s="489"/>
      <c r="BL13" s="489"/>
      <c r="BM13" s="489"/>
      <c r="BN13" s="489"/>
      <c r="BO13" s="490"/>
      <c r="BP13" s="488"/>
      <c r="BQ13" s="489"/>
      <c r="BR13" s="489"/>
      <c r="BS13" s="489"/>
      <c r="BT13" s="489"/>
      <c r="BU13" s="490"/>
      <c r="BV13" s="488"/>
      <c r="BW13" s="489"/>
      <c r="BX13" s="489"/>
      <c r="BY13" s="489"/>
      <c r="BZ13" s="489"/>
      <c r="CA13" s="490"/>
      <c r="CB13" s="483"/>
      <c r="CC13" s="484"/>
      <c r="CD13" s="484"/>
      <c r="CE13" s="485"/>
      <c r="CF13" s="477"/>
      <c r="CG13" s="478"/>
      <c r="CH13" s="478"/>
      <c r="CI13" s="478"/>
      <c r="CJ13" s="479"/>
      <c r="CK13" s="477"/>
      <c r="CL13" s="478"/>
      <c r="CM13" s="478"/>
      <c r="CN13" s="478"/>
      <c r="CO13" s="479"/>
      <c r="CP13" s="477"/>
      <c r="CQ13" s="478"/>
      <c r="CR13" s="478"/>
      <c r="CS13" s="478"/>
      <c r="CT13" s="479"/>
      <c r="CU13" s="480"/>
      <c r="CV13" s="481"/>
      <c r="CW13" s="481"/>
      <c r="CX13" s="481"/>
      <c r="CY13" s="482"/>
    </row>
    <row r="14" spans="1:159" s="91" customFormat="1" ht="16.5" x14ac:dyDescent="0.15">
      <c r="A14" s="517"/>
      <c r="B14" s="102"/>
      <c r="C14" s="221" t="str">
        <f t="shared" ca="1" si="2"/>
        <v>@</v>
      </c>
      <c r="D14" s="521"/>
      <c r="E14" s="522"/>
      <c r="F14" s="522"/>
      <c r="G14" s="522"/>
      <c r="H14" s="522"/>
      <c r="I14" s="522"/>
      <c r="J14" s="522"/>
      <c r="K14" s="527"/>
      <c r="L14" s="528"/>
      <c r="M14" s="528"/>
      <c r="N14" s="528"/>
      <c r="O14" s="528"/>
      <c r="P14" s="528"/>
      <c r="Q14" s="528"/>
      <c r="R14" s="533"/>
      <c r="S14" s="534"/>
      <c r="T14" s="533"/>
      <c r="U14" s="534"/>
      <c r="V14" s="527"/>
      <c r="W14" s="528"/>
      <c r="X14" s="528"/>
      <c r="Y14" s="528"/>
      <c r="Z14" s="528"/>
      <c r="AA14" s="528"/>
      <c r="AB14" s="528"/>
      <c r="AC14" s="528"/>
      <c r="AD14" s="527"/>
      <c r="AE14" s="528"/>
      <c r="AF14" s="528"/>
      <c r="AG14" s="528"/>
      <c r="AH14" s="528"/>
      <c r="AI14" s="528"/>
      <c r="AJ14" s="528"/>
      <c r="AK14" s="541"/>
      <c r="AL14" s="527"/>
      <c r="AM14" s="528"/>
      <c r="AN14" s="528"/>
      <c r="AO14" s="528"/>
      <c r="AP14" s="528"/>
      <c r="AQ14" s="528"/>
      <c r="AR14" s="541"/>
      <c r="AS14" s="546"/>
      <c r="AT14" s="547"/>
      <c r="AU14" s="547"/>
      <c r="AV14" s="547"/>
      <c r="AW14" s="547"/>
      <c r="AX14" s="547"/>
      <c r="AY14" s="548"/>
      <c r="AZ14" s="493"/>
      <c r="BA14" s="494"/>
      <c r="BB14" s="105">
        <v>4</v>
      </c>
      <c r="BC14" s="483"/>
      <c r="BD14" s="484"/>
      <c r="BE14" s="484"/>
      <c r="BF14" s="485"/>
      <c r="BG14" s="486"/>
      <c r="BH14" s="487"/>
      <c r="BI14" s="224"/>
      <c r="BJ14" s="488"/>
      <c r="BK14" s="489"/>
      <c r="BL14" s="489"/>
      <c r="BM14" s="489"/>
      <c r="BN14" s="489"/>
      <c r="BO14" s="490"/>
      <c r="BP14" s="488"/>
      <c r="BQ14" s="489"/>
      <c r="BR14" s="489"/>
      <c r="BS14" s="489"/>
      <c r="BT14" s="489"/>
      <c r="BU14" s="490"/>
      <c r="BV14" s="488"/>
      <c r="BW14" s="489"/>
      <c r="BX14" s="489"/>
      <c r="BY14" s="489"/>
      <c r="BZ14" s="489"/>
      <c r="CA14" s="490"/>
      <c r="CB14" s="483"/>
      <c r="CC14" s="484"/>
      <c r="CD14" s="484"/>
      <c r="CE14" s="485"/>
      <c r="CF14" s="477"/>
      <c r="CG14" s="478"/>
      <c r="CH14" s="478"/>
      <c r="CI14" s="478"/>
      <c r="CJ14" s="479"/>
      <c r="CK14" s="477"/>
      <c r="CL14" s="478"/>
      <c r="CM14" s="478"/>
      <c r="CN14" s="478"/>
      <c r="CO14" s="479"/>
      <c r="CP14" s="477"/>
      <c r="CQ14" s="478"/>
      <c r="CR14" s="478"/>
      <c r="CS14" s="478"/>
      <c r="CT14" s="479"/>
      <c r="CU14" s="480"/>
      <c r="CV14" s="481"/>
      <c r="CW14" s="481"/>
      <c r="CX14" s="481"/>
      <c r="CY14" s="482"/>
    </row>
    <row r="15" spans="1:159" s="91" customFormat="1" ht="16.5" x14ac:dyDescent="0.15">
      <c r="A15" s="517"/>
      <c r="B15" s="102"/>
      <c r="C15" s="221" t="str">
        <f t="shared" ca="1" si="2"/>
        <v>@</v>
      </c>
      <c r="D15" s="521"/>
      <c r="E15" s="522"/>
      <c r="F15" s="522"/>
      <c r="G15" s="522"/>
      <c r="H15" s="522"/>
      <c r="I15" s="522"/>
      <c r="J15" s="522"/>
      <c r="K15" s="527"/>
      <c r="L15" s="528"/>
      <c r="M15" s="528"/>
      <c r="N15" s="528"/>
      <c r="O15" s="528"/>
      <c r="P15" s="528"/>
      <c r="Q15" s="528"/>
      <c r="R15" s="533"/>
      <c r="S15" s="534"/>
      <c r="T15" s="533"/>
      <c r="U15" s="534"/>
      <c r="V15" s="527"/>
      <c r="W15" s="528"/>
      <c r="X15" s="528"/>
      <c r="Y15" s="528"/>
      <c r="Z15" s="528"/>
      <c r="AA15" s="528"/>
      <c r="AB15" s="528"/>
      <c r="AC15" s="528"/>
      <c r="AD15" s="527"/>
      <c r="AE15" s="528"/>
      <c r="AF15" s="528"/>
      <c r="AG15" s="528"/>
      <c r="AH15" s="528"/>
      <c r="AI15" s="528"/>
      <c r="AJ15" s="528"/>
      <c r="AK15" s="541"/>
      <c r="AL15" s="527"/>
      <c r="AM15" s="528"/>
      <c r="AN15" s="528"/>
      <c r="AO15" s="528"/>
      <c r="AP15" s="528"/>
      <c r="AQ15" s="528"/>
      <c r="AR15" s="541"/>
      <c r="AS15" s="546"/>
      <c r="AT15" s="547"/>
      <c r="AU15" s="547"/>
      <c r="AV15" s="547"/>
      <c r="AW15" s="547"/>
      <c r="AX15" s="547"/>
      <c r="AY15" s="548"/>
      <c r="AZ15" s="493"/>
      <c r="BA15" s="494"/>
      <c r="BB15" s="105">
        <v>5</v>
      </c>
      <c r="BC15" s="483"/>
      <c r="BD15" s="484"/>
      <c r="BE15" s="484"/>
      <c r="BF15" s="485"/>
      <c r="BG15" s="486"/>
      <c r="BH15" s="487"/>
      <c r="BI15" s="224"/>
      <c r="BJ15" s="488"/>
      <c r="BK15" s="489"/>
      <c r="BL15" s="489"/>
      <c r="BM15" s="489"/>
      <c r="BN15" s="489"/>
      <c r="BO15" s="490"/>
      <c r="BP15" s="488"/>
      <c r="BQ15" s="489"/>
      <c r="BR15" s="489"/>
      <c r="BS15" s="489"/>
      <c r="BT15" s="489"/>
      <c r="BU15" s="490"/>
      <c r="BV15" s="488"/>
      <c r="BW15" s="489"/>
      <c r="BX15" s="489"/>
      <c r="BY15" s="489"/>
      <c r="BZ15" s="489"/>
      <c r="CA15" s="490"/>
      <c r="CB15" s="483"/>
      <c r="CC15" s="484"/>
      <c r="CD15" s="484"/>
      <c r="CE15" s="485"/>
      <c r="CF15" s="477"/>
      <c r="CG15" s="478"/>
      <c r="CH15" s="478"/>
      <c r="CI15" s="478"/>
      <c r="CJ15" s="479"/>
      <c r="CK15" s="477"/>
      <c r="CL15" s="478"/>
      <c r="CM15" s="478"/>
      <c r="CN15" s="478"/>
      <c r="CO15" s="479"/>
      <c r="CP15" s="477"/>
      <c r="CQ15" s="478"/>
      <c r="CR15" s="478"/>
      <c r="CS15" s="478"/>
      <c r="CT15" s="479"/>
      <c r="CU15" s="480"/>
      <c r="CV15" s="481"/>
      <c r="CW15" s="481"/>
      <c r="CX15" s="481"/>
      <c r="CY15" s="482"/>
    </row>
    <row r="16" spans="1:159" s="91" customFormat="1" ht="16.5" x14ac:dyDescent="0.15">
      <c r="A16" s="518"/>
      <c r="B16" s="107"/>
      <c r="C16" s="218" t="str">
        <f t="shared" ca="1" si="2"/>
        <v>@</v>
      </c>
      <c r="D16" s="523"/>
      <c r="E16" s="524"/>
      <c r="F16" s="524"/>
      <c r="G16" s="524"/>
      <c r="H16" s="524"/>
      <c r="I16" s="524"/>
      <c r="J16" s="524"/>
      <c r="K16" s="529"/>
      <c r="L16" s="530"/>
      <c r="M16" s="530"/>
      <c r="N16" s="530"/>
      <c r="O16" s="530"/>
      <c r="P16" s="530"/>
      <c r="Q16" s="530"/>
      <c r="R16" s="535"/>
      <c r="S16" s="537"/>
      <c r="T16" s="535"/>
      <c r="U16" s="537"/>
      <c r="V16" s="529"/>
      <c r="W16" s="539"/>
      <c r="X16" s="539"/>
      <c r="Y16" s="539"/>
      <c r="Z16" s="539"/>
      <c r="AA16" s="539"/>
      <c r="AB16" s="539"/>
      <c r="AC16" s="539"/>
      <c r="AD16" s="529"/>
      <c r="AE16" s="539"/>
      <c r="AF16" s="539"/>
      <c r="AG16" s="539"/>
      <c r="AH16" s="539"/>
      <c r="AI16" s="539"/>
      <c r="AJ16" s="539"/>
      <c r="AK16" s="542"/>
      <c r="AL16" s="529"/>
      <c r="AM16" s="539"/>
      <c r="AN16" s="539"/>
      <c r="AO16" s="539"/>
      <c r="AP16" s="539"/>
      <c r="AQ16" s="539"/>
      <c r="AR16" s="542"/>
      <c r="AS16" s="549"/>
      <c r="AT16" s="550"/>
      <c r="AU16" s="550"/>
      <c r="AV16" s="550"/>
      <c r="AW16" s="550"/>
      <c r="AX16" s="550"/>
      <c r="AY16" s="551"/>
      <c r="AZ16" s="495"/>
      <c r="BA16" s="496"/>
      <c r="BB16" s="108">
        <v>6</v>
      </c>
      <c r="BC16" s="505"/>
      <c r="BD16" s="506"/>
      <c r="BE16" s="506"/>
      <c r="BF16" s="507"/>
      <c r="BG16" s="508"/>
      <c r="BH16" s="509"/>
      <c r="BI16" s="225"/>
      <c r="BJ16" s="510"/>
      <c r="BK16" s="511"/>
      <c r="BL16" s="511"/>
      <c r="BM16" s="511"/>
      <c r="BN16" s="511"/>
      <c r="BO16" s="512"/>
      <c r="BP16" s="510"/>
      <c r="BQ16" s="511"/>
      <c r="BR16" s="511"/>
      <c r="BS16" s="511"/>
      <c r="BT16" s="511"/>
      <c r="BU16" s="512"/>
      <c r="BV16" s="510"/>
      <c r="BW16" s="511"/>
      <c r="BX16" s="511"/>
      <c r="BY16" s="511"/>
      <c r="BZ16" s="511"/>
      <c r="CA16" s="512"/>
      <c r="CB16" s="505"/>
      <c r="CC16" s="506"/>
      <c r="CD16" s="506"/>
      <c r="CE16" s="507"/>
      <c r="CF16" s="477"/>
      <c r="CG16" s="478"/>
      <c r="CH16" s="478"/>
      <c r="CI16" s="478"/>
      <c r="CJ16" s="479"/>
      <c r="CK16" s="477"/>
      <c r="CL16" s="478"/>
      <c r="CM16" s="478"/>
      <c r="CN16" s="478"/>
      <c r="CO16" s="479"/>
      <c r="CP16" s="477"/>
      <c r="CQ16" s="478"/>
      <c r="CR16" s="478"/>
      <c r="CS16" s="478"/>
      <c r="CT16" s="479"/>
      <c r="CU16" s="480"/>
      <c r="CV16" s="481"/>
      <c r="CW16" s="481"/>
      <c r="CX16" s="481"/>
      <c r="CY16" s="482"/>
    </row>
    <row r="17" spans="1:103" s="91" customFormat="1" ht="16.149999999999999" customHeight="1" x14ac:dyDescent="0.15">
      <c r="A17" s="516">
        <v>2</v>
      </c>
      <c r="B17" s="102"/>
      <c r="C17" s="217" t="str">
        <f t="shared" ca="1" si="2"/>
        <v>@</v>
      </c>
      <c r="D17" s="519" t="s">
        <v>578</v>
      </c>
      <c r="E17" s="520"/>
      <c r="F17" s="520"/>
      <c r="G17" s="520"/>
      <c r="H17" s="520"/>
      <c r="I17" s="520"/>
      <c r="J17" s="520"/>
      <c r="K17" s="525" t="s">
        <v>555</v>
      </c>
      <c r="L17" s="526"/>
      <c r="M17" s="526"/>
      <c r="N17" s="526"/>
      <c r="O17" s="526"/>
      <c r="P17" s="526"/>
      <c r="Q17" s="526"/>
      <c r="R17" s="531"/>
      <c r="S17" s="532"/>
      <c r="T17" s="531" t="s">
        <v>284</v>
      </c>
      <c r="U17" s="532"/>
      <c r="V17" s="525" t="s">
        <v>630</v>
      </c>
      <c r="W17" s="538"/>
      <c r="X17" s="538"/>
      <c r="Y17" s="538"/>
      <c r="Z17" s="538"/>
      <c r="AA17" s="538"/>
      <c r="AB17" s="538"/>
      <c r="AC17" s="538"/>
      <c r="AD17" s="525" t="s">
        <v>556</v>
      </c>
      <c r="AE17" s="538"/>
      <c r="AF17" s="538"/>
      <c r="AG17" s="538"/>
      <c r="AH17" s="538"/>
      <c r="AI17" s="538"/>
      <c r="AJ17" s="538"/>
      <c r="AK17" s="540"/>
      <c r="AL17" s="525" t="s">
        <v>563</v>
      </c>
      <c r="AM17" s="538"/>
      <c r="AN17" s="538"/>
      <c r="AO17" s="538"/>
      <c r="AP17" s="538"/>
      <c r="AQ17" s="538"/>
      <c r="AR17" s="540"/>
      <c r="AS17" s="543"/>
      <c r="AT17" s="544"/>
      <c r="AU17" s="544"/>
      <c r="AV17" s="544"/>
      <c r="AW17" s="544"/>
      <c r="AX17" s="544"/>
      <c r="AY17" s="545"/>
      <c r="AZ17" s="491" t="s">
        <v>797</v>
      </c>
      <c r="BA17" s="492"/>
      <c r="BB17" s="103">
        <v>1</v>
      </c>
      <c r="BC17" s="497">
        <v>44166</v>
      </c>
      <c r="BD17" s="498"/>
      <c r="BE17" s="498"/>
      <c r="BF17" s="499"/>
      <c r="BG17" s="500" t="s">
        <v>568</v>
      </c>
      <c r="BH17" s="501"/>
      <c r="BI17" s="226"/>
      <c r="BJ17" s="502"/>
      <c r="BK17" s="503"/>
      <c r="BL17" s="503"/>
      <c r="BM17" s="503"/>
      <c r="BN17" s="503"/>
      <c r="BO17" s="504"/>
      <c r="BP17" s="502"/>
      <c r="BQ17" s="503"/>
      <c r="BR17" s="503"/>
      <c r="BS17" s="503"/>
      <c r="BT17" s="503"/>
      <c r="BU17" s="504"/>
      <c r="BV17" s="502"/>
      <c r="BW17" s="503"/>
      <c r="BX17" s="503"/>
      <c r="BY17" s="503"/>
      <c r="BZ17" s="503"/>
      <c r="CA17" s="504"/>
      <c r="CB17" s="497"/>
      <c r="CC17" s="498"/>
      <c r="CD17" s="498"/>
      <c r="CE17" s="499"/>
      <c r="CF17" s="477"/>
      <c r="CG17" s="478"/>
      <c r="CH17" s="478"/>
      <c r="CI17" s="478"/>
      <c r="CJ17" s="479"/>
      <c r="CK17" s="477"/>
      <c r="CL17" s="478"/>
      <c r="CM17" s="478"/>
      <c r="CN17" s="478"/>
      <c r="CO17" s="479"/>
      <c r="CP17" s="477"/>
      <c r="CQ17" s="478"/>
      <c r="CR17" s="478"/>
      <c r="CS17" s="478"/>
      <c r="CT17" s="479"/>
      <c r="CU17" s="480"/>
      <c r="CV17" s="481"/>
      <c r="CW17" s="481"/>
      <c r="CX17" s="481"/>
      <c r="CY17" s="482"/>
    </row>
    <row r="18" spans="1:103" s="91" customFormat="1" ht="16.5" x14ac:dyDescent="0.15">
      <c r="A18" s="517"/>
      <c r="B18" s="102"/>
      <c r="C18" s="220" t="str">
        <f t="shared" ca="1" si="2"/>
        <v>@</v>
      </c>
      <c r="D18" s="521"/>
      <c r="E18" s="522"/>
      <c r="F18" s="522"/>
      <c r="G18" s="522"/>
      <c r="H18" s="522"/>
      <c r="I18" s="522"/>
      <c r="J18" s="522"/>
      <c r="K18" s="527"/>
      <c r="L18" s="528"/>
      <c r="M18" s="528"/>
      <c r="N18" s="528"/>
      <c r="O18" s="528"/>
      <c r="P18" s="528"/>
      <c r="Q18" s="528"/>
      <c r="R18" s="533"/>
      <c r="S18" s="534"/>
      <c r="T18" s="533"/>
      <c r="U18" s="534"/>
      <c r="V18" s="527"/>
      <c r="W18" s="528"/>
      <c r="X18" s="528"/>
      <c r="Y18" s="528"/>
      <c r="Z18" s="528"/>
      <c r="AA18" s="528"/>
      <c r="AB18" s="528"/>
      <c r="AC18" s="528"/>
      <c r="AD18" s="527"/>
      <c r="AE18" s="528"/>
      <c r="AF18" s="528"/>
      <c r="AG18" s="528"/>
      <c r="AH18" s="528"/>
      <c r="AI18" s="528"/>
      <c r="AJ18" s="528"/>
      <c r="AK18" s="541"/>
      <c r="AL18" s="527"/>
      <c r="AM18" s="528"/>
      <c r="AN18" s="528"/>
      <c r="AO18" s="528"/>
      <c r="AP18" s="528"/>
      <c r="AQ18" s="528"/>
      <c r="AR18" s="541"/>
      <c r="AS18" s="546"/>
      <c r="AT18" s="547"/>
      <c r="AU18" s="547"/>
      <c r="AV18" s="547"/>
      <c r="AW18" s="547"/>
      <c r="AX18" s="547"/>
      <c r="AY18" s="548"/>
      <c r="AZ18" s="493"/>
      <c r="BA18" s="494"/>
      <c r="BB18" s="105">
        <v>2</v>
      </c>
      <c r="BC18" s="483"/>
      <c r="BD18" s="484"/>
      <c r="BE18" s="484"/>
      <c r="BF18" s="485"/>
      <c r="BG18" s="486"/>
      <c r="BH18" s="487"/>
      <c r="BI18" s="224"/>
      <c r="BJ18" s="488"/>
      <c r="BK18" s="489"/>
      <c r="BL18" s="489"/>
      <c r="BM18" s="489"/>
      <c r="BN18" s="489"/>
      <c r="BO18" s="490"/>
      <c r="BP18" s="488"/>
      <c r="BQ18" s="489"/>
      <c r="BR18" s="489"/>
      <c r="BS18" s="489"/>
      <c r="BT18" s="489"/>
      <c r="BU18" s="490"/>
      <c r="BV18" s="488"/>
      <c r="BW18" s="489"/>
      <c r="BX18" s="489"/>
      <c r="BY18" s="489"/>
      <c r="BZ18" s="489"/>
      <c r="CA18" s="490"/>
      <c r="CB18" s="483"/>
      <c r="CC18" s="484"/>
      <c r="CD18" s="484"/>
      <c r="CE18" s="485"/>
      <c r="CF18" s="477"/>
      <c r="CG18" s="478"/>
      <c r="CH18" s="478"/>
      <c r="CI18" s="478"/>
      <c r="CJ18" s="479"/>
      <c r="CK18" s="477"/>
      <c r="CL18" s="478"/>
      <c r="CM18" s="478"/>
      <c r="CN18" s="478"/>
      <c r="CO18" s="479"/>
      <c r="CP18" s="477"/>
      <c r="CQ18" s="478"/>
      <c r="CR18" s="478"/>
      <c r="CS18" s="478"/>
      <c r="CT18" s="479"/>
      <c r="CU18" s="480"/>
      <c r="CV18" s="481"/>
      <c r="CW18" s="481"/>
      <c r="CX18" s="481"/>
      <c r="CY18" s="482"/>
    </row>
    <row r="19" spans="1:103" s="91" customFormat="1" ht="16.5" x14ac:dyDescent="0.15">
      <c r="A19" s="517"/>
      <c r="B19" s="102"/>
      <c r="C19" s="220" t="str">
        <f t="shared" ca="1" si="2"/>
        <v>@</v>
      </c>
      <c r="D19" s="521"/>
      <c r="E19" s="522"/>
      <c r="F19" s="522"/>
      <c r="G19" s="522"/>
      <c r="H19" s="522"/>
      <c r="I19" s="522"/>
      <c r="J19" s="522"/>
      <c r="K19" s="527"/>
      <c r="L19" s="528"/>
      <c r="M19" s="528"/>
      <c r="N19" s="528"/>
      <c r="O19" s="528"/>
      <c r="P19" s="528"/>
      <c r="Q19" s="528"/>
      <c r="R19" s="533"/>
      <c r="S19" s="534"/>
      <c r="T19" s="533"/>
      <c r="U19" s="534"/>
      <c r="V19" s="527"/>
      <c r="W19" s="528"/>
      <c r="X19" s="528"/>
      <c r="Y19" s="528"/>
      <c r="Z19" s="528"/>
      <c r="AA19" s="528"/>
      <c r="AB19" s="528"/>
      <c r="AC19" s="528"/>
      <c r="AD19" s="527"/>
      <c r="AE19" s="528"/>
      <c r="AF19" s="528"/>
      <c r="AG19" s="528"/>
      <c r="AH19" s="528"/>
      <c r="AI19" s="528"/>
      <c r="AJ19" s="528"/>
      <c r="AK19" s="541"/>
      <c r="AL19" s="527"/>
      <c r="AM19" s="528"/>
      <c r="AN19" s="528"/>
      <c r="AO19" s="528"/>
      <c r="AP19" s="528"/>
      <c r="AQ19" s="528"/>
      <c r="AR19" s="541"/>
      <c r="AS19" s="546"/>
      <c r="AT19" s="547"/>
      <c r="AU19" s="547"/>
      <c r="AV19" s="547"/>
      <c r="AW19" s="547"/>
      <c r="AX19" s="547"/>
      <c r="AY19" s="548"/>
      <c r="AZ19" s="493"/>
      <c r="BA19" s="494"/>
      <c r="BB19" s="105">
        <v>3</v>
      </c>
      <c r="BC19" s="483"/>
      <c r="BD19" s="484"/>
      <c r="BE19" s="484"/>
      <c r="BF19" s="485"/>
      <c r="BG19" s="486"/>
      <c r="BH19" s="487"/>
      <c r="BI19" s="224"/>
      <c r="BJ19" s="488"/>
      <c r="BK19" s="489"/>
      <c r="BL19" s="489"/>
      <c r="BM19" s="489"/>
      <c r="BN19" s="489"/>
      <c r="BO19" s="490"/>
      <c r="BP19" s="488"/>
      <c r="BQ19" s="489"/>
      <c r="BR19" s="489"/>
      <c r="BS19" s="489"/>
      <c r="BT19" s="489"/>
      <c r="BU19" s="490"/>
      <c r="BV19" s="488"/>
      <c r="BW19" s="489"/>
      <c r="BX19" s="489"/>
      <c r="BY19" s="489"/>
      <c r="BZ19" s="489"/>
      <c r="CA19" s="490"/>
      <c r="CB19" s="483"/>
      <c r="CC19" s="484"/>
      <c r="CD19" s="484"/>
      <c r="CE19" s="485"/>
      <c r="CF19" s="477"/>
      <c r="CG19" s="478"/>
      <c r="CH19" s="478"/>
      <c r="CI19" s="478"/>
      <c r="CJ19" s="479"/>
      <c r="CK19" s="477"/>
      <c r="CL19" s="478"/>
      <c r="CM19" s="478"/>
      <c r="CN19" s="478"/>
      <c r="CO19" s="479"/>
      <c r="CP19" s="477"/>
      <c r="CQ19" s="478"/>
      <c r="CR19" s="478"/>
      <c r="CS19" s="478"/>
      <c r="CT19" s="479"/>
      <c r="CU19" s="480"/>
      <c r="CV19" s="481"/>
      <c r="CW19" s="481"/>
      <c r="CX19" s="481"/>
      <c r="CY19" s="482"/>
    </row>
    <row r="20" spans="1:103" s="91" customFormat="1" ht="16.5" x14ac:dyDescent="0.15">
      <c r="A20" s="517"/>
      <c r="B20" s="102"/>
      <c r="C20" s="220" t="str">
        <f t="shared" ca="1" si="2"/>
        <v>@</v>
      </c>
      <c r="D20" s="521"/>
      <c r="E20" s="522"/>
      <c r="F20" s="522"/>
      <c r="G20" s="522"/>
      <c r="H20" s="522"/>
      <c r="I20" s="522"/>
      <c r="J20" s="522"/>
      <c r="K20" s="527"/>
      <c r="L20" s="528"/>
      <c r="M20" s="528"/>
      <c r="N20" s="528"/>
      <c r="O20" s="528"/>
      <c r="P20" s="528"/>
      <c r="Q20" s="528"/>
      <c r="R20" s="533"/>
      <c r="S20" s="534"/>
      <c r="T20" s="533"/>
      <c r="U20" s="534"/>
      <c r="V20" s="527"/>
      <c r="W20" s="528"/>
      <c r="X20" s="528"/>
      <c r="Y20" s="528"/>
      <c r="Z20" s="528"/>
      <c r="AA20" s="528"/>
      <c r="AB20" s="528"/>
      <c r="AC20" s="528"/>
      <c r="AD20" s="527"/>
      <c r="AE20" s="528"/>
      <c r="AF20" s="528"/>
      <c r="AG20" s="528"/>
      <c r="AH20" s="528"/>
      <c r="AI20" s="528"/>
      <c r="AJ20" s="528"/>
      <c r="AK20" s="541"/>
      <c r="AL20" s="527"/>
      <c r="AM20" s="528"/>
      <c r="AN20" s="528"/>
      <c r="AO20" s="528"/>
      <c r="AP20" s="528"/>
      <c r="AQ20" s="528"/>
      <c r="AR20" s="541"/>
      <c r="AS20" s="546"/>
      <c r="AT20" s="547"/>
      <c r="AU20" s="547"/>
      <c r="AV20" s="547"/>
      <c r="AW20" s="547"/>
      <c r="AX20" s="547"/>
      <c r="AY20" s="548"/>
      <c r="AZ20" s="493"/>
      <c r="BA20" s="494"/>
      <c r="BB20" s="105">
        <v>4</v>
      </c>
      <c r="BC20" s="483"/>
      <c r="BD20" s="484"/>
      <c r="BE20" s="484"/>
      <c r="BF20" s="485"/>
      <c r="BG20" s="486"/>
      <c r="BH20" s="487"/>
      <c r="BI20" s="224"/>
      <c r="BJ20" s="488"/>
      <c r="BK20" s="489"/>
      <c r="BL20" s="489"/>
      <c r="BM20" s="489"/>
      <c r="BN20" s="489"/>
      <c r="BO20" s="490"/>
      <c r="BP20" s="488"/>
      <c r="BQ20" s="489"/>
      <c r="BR20" s="489"/>
      <c r="BS20" s="489"/>
      <c r="BT20" s="489"/>
      <c r="BU20" s="490"/>
      <c r="BV20" s="488"/>
      <c r="BW20" s="489"/>
      <c r="BX20" s="489"/>
      <c r="BY20" s="489"/>
      <c r="BZ20" s="489"/>
      <c r="CA20" s="490"/>
      <c r="CB20" s="483"/>
      <c r="CC20" s="484"/>
      <c r="CD20" s="484"/>
      <c r="CE20" s="485"/>
      <c r="CF20" s="477"/>
      <c r="CG20" s="478"/>
      <c r="CH20" s="478"/>
      <c r="CI20" s="478"/>
      <c r="CJ20" s="479"/>
      <c r="CK20" s="477"/>
      <c r="CL20" s="478"/>
      <c r="CM20" s="478"/>
      <c r="CN20" s="478"/>
      <c r="CO20" s="479"/>
      <c r="CP20" s="477"/>
      <c r="CQ20" s="478"/>
      <c r="CR20" s="478"/>
      <c r="CS20" s="478"/>
      <c r="CT20" s="479"/>
      <c r="CU20" s="480"/>
      <c r="CV20" s="481"/>
      <c r="CW20" s="481"/>
      <c r="CX20" s="481"/>
      <c r="CY20" s="482"/>
    </row>
    <row r="21" spans="1:103" s="91" customFormat="1" ht="16.5" x14ac:dyDescent="0.15">
      <c r="A21" s="517"/>
      <c r="B21" s="102"/>
      <c r="C21" s="221" t="str">
        <f t="shared" ca="1" si="2"/>
        <v>@</v>
      </c>
      <c r="D21" s="521"/>
      <c r="E21" s="522"/>
      <c r="F21" s="522"/>
      <c r="G21" s="522"/>
      <c r="H21" s="522"/>
      <c r="I21" s="522"/>
      <c r="J21" s="522"/>
      <c r="K21" s="527"/>
      <c r="L21" s="528"/>
      <c r="M21" s="528"/>
      <c r="N21" s="528"/>
      <c r="O21" s="528"/>
      <c r="P21" s="528"/>
      <c r="Q21" s="528"/>
      <c r="R21" s="533"/>
      <c r="S21" s="534"/>
      <c r="T21" s="533"/>
      <c r="U21" s="534"/>
      <c r="V21" s="527"/>
      <c r="W21" s="528"/>
      <c r="X21" s="528"/>
      <c r="Y21" s="528"/>
      <c r="Z21" s="528"/>
      <c r="AA21" s="528"/>
      <c r="AB21" s="528"/>
      <c r="AC21" s="528"/>
      <c r="AD21" s="527"/>
      <c r="AE21" s="528"/>
      <c r="AF21" s="528"/>
      <c r="AG21" s="528"/>
      <c r="AH21" s="528"/>
      <c r="AI21" s="528"/>
      <c r="AJ21" s="528"/>
      <c r="AK21" s="541"/>
      <c r="AL21" s="527"/>
      <c r="AM21" s="528"/>
      <c r="AN21" s="528"/>
      <c r="AO21" s="528"/>
      <c r="AP21" s="528"/>
      <c r="AQ21" s="528"/>
      <c r="AR21" s="541"/>
      <c r="AS21" s="546"/>
      <c r="AT21" s="547"/>
      <c r="AU21" s="547"/>
      <c r="AV21" s="547"/>
      <c r="AW21" s="547"/>
      <c r="AX21" s="547"/>
      <c r="AY21" s="548"/>
      <c r="AZ21" s="493"/>
      <c r="BA21" s="494"/>
      <c r="BB21" s="105">
        <v>5</v>
      </c>
      <c r="BC21" s="483"/>
      <c r="BD21" s="484"/>
      <c r="BE21" s="484"/>
      <c r="BF21" s="485"/>
      <c r="BG21" s="486"/>
      <c r="BH21" s="487"/>
      <c r="BI21" s="224"/>
      <c r="BJ21" s="488"/>
      <c r="BK21" s="489"/>
      <c r="BL21" s="489"/>
      <c r="BM21" s="489"/>
      <c r="BN21" s="489"/>
      <c r="BO21" s="490"/>
      <c r="BP21" s="488"/>
      <c r="BQ21" s="489"/>
      <c r="BR21" s="489"/>
      <c r="BS21" s="489"/>
      <c r="BT21" s="489"/>
      <c r="BU21" s="490"/>
      <c r="BV21" s="488"/>
      <c r="BW21" s="489"/>
      <c r="BX21" s="489"/>
      <c r="BY21" s="489"/>
      <c r="BZ21" s="489"/>
      <c r="CA21" s="490"/>
      <c r="CB21" s="483"/>
      <c r="CC21" s="484"/>
      <c r="CD21" s="484"/>
      <c r="CE21" s="485"/>
      <c r="CF21" s="477"/>
      <c r="CG21" s="478"/>
      <c r="CH21" s="478"/>
      <c r="CI21" s="478"/>
      <c r="CJ21" s="479"/>
      <c r="CK21" s="477"/>
      <c r="CL21" s="478"/>
      <c r="CM21" s="478"/>
      <c r="CN21" s="478"/>
      <c r="CO21" s="479"/>
      <c r="CP21" s="477"/>
      <c r="CQ21" s="478"/>
      <c r="CR21" s="478"/>
      <c r="CS21" s="478"/>
      <c r="CT21" s="479"/>
      <c r="CU21" s="480"/>
      <c r="CV21" s="481"/>
      <c r="CW21" s="481"/>
      <c r="CX21" s="481"/>
      <c r="CY21" s="482"/>
    </row>
    <row r="22" spans="1:103" s="91" customFormat="1" ht="16.5" x14ac:dyDescent="0.15">
      <c r="A22" s="518"/>
      <c r="B22" s="107"/>
      <c r="C22" s="218" t="str">
        <f t="shared" ca="1" si="2"/>
        <v>@</v>
      </c>
      <c r="D22" s="523"/>
      <c r="E22" s="524"/>
      <c r="F22" s="524"/>
      <c r="G22" s="524"/>
      <c r="H22" s="524"/>
      <c r="I22" s="524"/>
      <c r="J22" s="524"/>
      <c r="K22" s="529"/>
      <c r="L22" s="530"/>
      <c r="M22" s="530"/>
      <c r="N22" s="530"/>
      <c r="O22" s="530"/>
      <c r="P22" s="530"/>
      <c r="Q22" s="530"/>
      <c r="R22" s="535"/>
      <c r="S22" s="537"/>
      <c r="T22" s="535"/>
      <c r="U22" s="537"/>
      <c r="V22" s="529"/>
      <c r="W22" s="539"/>
      <c r="X22" s="539"/>
      <c r="Y22" s="539"/>
      <c r="Z22" s="539"/>
      <c r="AA22" s="539"/>
      <c r="AB22" s="539"/>
      <c r="AC22" s="539"/>
      <c r="AD22" s="529"/>
      <c r="AE22" s="539"/>
      <c r="AF22" s="539"/>
      <c r="AG22" s="539"/>
      <c r="AH22" s="539"/>
      <c r="AI22" s="539"/>
      <c r="AJ22" s="539"/>
      <c r="AK22" s="542"/>
      <c r="AL22" s="529"/>
      <c r="AM22" s="539"/>
      <c r="AN22" s="539"/>
      <c r="AO22" s="539"/>
      <c r="AP22" s="539"/>
      <c r="AQ22" s="539"/>
      <c r="AR22" s="542"/>
      <c r="AS22" s="549"/>
      <c r="AT22" s="550"/>
      <c r="AU22" s="550"/>
      <c r="AV22" s="550"/>
      <c r="AW22" s="550"/>
      <c r="AX22" s="550"/>
      <c r="AY22" s="551"/>
      <c r="AZ22" s="495"/>
      <c r="BA22" s="496"/>
      <c r="BB22" s="108">
        <v>6</v>
      </c>
      <c r="BC22" s="505"/>
      <c r="BD22" s="506"/>
      <c r="BE22" s="506"/>
      <c r="BF22" s="507"/>
      <c r="BG22" s="508"/>
      <c r="BH22" s="509"/>
      <c r="BI22" s="227"/>
      <c r="BJ22" s="510"/>
      <c r="BK22" s="511"/>
      <c r="BL22" s="511"/>
      <c r="BM22" s="511"/>
      <c r="BN22" s="511"/>
      <c r="BO22" s="512"/>
      <c r="BP22" s="510"/>
      <c r="BQ22" s="511"/>
      <c r="BR22" s="511"/>
      <c r="BS22" s="511"/>
      <c r="BT22" s="511"/>
      <c r="BU22" s="512"/>
      <c r="BV22" s="510"/>
      <c r="BW22" s="511"/>
      <c r="BX22" s="511"/>
      <c r="BY22" s="511"/>
      <c r="BZ22" s="511"/>
      <c r="CA22" s="512"/>
      <c r="CB22" s="513"/>
      <c r="CC22" s="514"/>
      <c r="CD22" s="514"/>
      <c r="CE22" s="515"/>
      <c r="CF22" s="477"/>
      <c r="CG22" s="478"/>
      <c r="CH22" s="478"/>
      <c r="CI22" s="478"/>
      <c r="CJ22" s="479"/>
      <c r="CK22" s="477"/>
      <c r="CL22" s="478"/>
      <c r="CM22" s="478"/>
      <c r="CN22" s="478"/>
      <c r="CO22" s="479"/>
      <c r="CP22" s="477"/>
      <c r="CQ22" s="478"/>
      <c r="CR22" s="478"/>
      <c r="CS22" s="478"/>
      <c r="CT22" s="479"/>
      <c r="CU22" s="480"/>
      <c r="CV22" s="481"/>
      <c r="CW22" s="481"/>
      <c r="CX22" s="481"/>
      <c r="CY22" s="482"/>
    </row>
    <row r="23" spans="1:103" s="91" customFormat="1" ht="16.149999999999999" customHeight="1" x14ac:dyDescent="0.15">
      <c r="A23" s="516">
        <v>3</v>
      </c>
      <c r="B23" s="102"/>
      <c r="C23" s="217" t="str">
        <f t="shared" ref="C23:C166" ca="1" si="3">IF(AND(OFFSET($K23,-($BB23-1),0)&lt;&gt;"",OFFSET($R23,-($BB23-1),0)&lt;&gt;"x"),"@","")</f>
        <v>@</v>
      </c>
      <c r="D23" s="519" t="s">
        <v>578</v>
      </c>
      <c r="E23" s="520"/>
      <c r="F23" s="520"/>
      <c r="G23" s="520"/>
      <c r="H23" s="520"/>
      <c r="I23" s="520"/>
      <c r="J23" s="520"/>
      <c r="K23" s="525" t="s">
        <v>565</v>
      </c>
      <c r="L23" s="526"/>
      <c r="M23" s="526"/>
      <c r="N23" s="526"/>
      <c r="O23" s="526"/>
      <c r="P23" s="526"/>
      <c r="Q23" s="526"/>
      <c r="R23" s="531"/>
      <c r="S23" s="532"/>
      <c r="T23" s="531" t="s">
        <v>284</v>
      </c>
      <c r="U23" s="532"/>
      <c r="V23" s="525" t="s">
        <v>630</v>
      </c>
      <c r="W23" s="538"/>
      <c r="X23" s="538"/>
      <c r="Y23" s="538"/>
      <c r="Z23" s="538"/>
      <c r="AA23" s="538"/>
      <c r="AB23" s="538"/>
      <c r="AC23" s="538"/>
      <c r="AD23" s="525" t="s">
        <v>566</v>
      </c>
      <c r="AE23" s="538"/>
      <c r="AF23" s="538"/>
      <c r="AG23" s="538"/>
      <c r="AH23" s="538"/>
      <c r="AI23" s="538"/>
      <c r="AJ23" s="538"/>
      <c r="AK23" s="540"/>
      <c r="AL23" s="525" t="s">
        <v>563</v>
      </c>
      <c r="AM23" s="538"/>
      <c r="AN23" s="538"/>
      <c r="AO23" s="538"/>
      <c r="AP23" s="538"/>
      <c r="AQ23" s="538"/>
      <c r="AR23" s="540"/>
      <c r="AS23" s="543"/>
      <c r="AT23" s="544"/>
      <c r="AU23" s="544"/>
      <c r="AV23" s="544"/>
      <c r="AW23" s="544"/>
      <c r="AX23" s="544"/>
      <c r="AY23" s="545"/>
      <c r="AZ23" s="491"/>
      <c r="BA23" s="492"/>
      <c r="BB23" s="103">
        <v>1</v>
      </c>
      <c r="BC23" s="497">
        <v>44166</v>
      </c>
      <c r="BD23" s="498"/>
      <c r="BE23" s="498"/>
      <c r="BF23" s="499"/>
      <c r="BG23" s="500" t="s">
        <v>568</v>
      </c>
      <c r="BH23" s="501"/>
      <c r="BI23" s="226"/>
      <c r="BJ23" s="502"/>
      <c r="BK23" s="503"/>
      <c r="BL23" s="503"/>
      <c r="BM23" s="503"/>
      <c r="BN23" s="503"/>
      <c r="BO23" s="504"/>
      <c r="BP23" s="502"/>
      <c r="BQ23" s="503"/>
      <c r="BR23" s="503"/>
      <c r="BS23" s="503"/>
      <c r="BT23" s="503"/>
      <c r="BU23" s="504"/>
      <c r="BV23" s="502"/>
      <c r="BW23" s="503"/>
      <c r="BX23" s="503"/>
      <c r="BY23" s="503"/>
      <c r="BZ23" s="503"/>
      <c r="CA23" s="504"/>
      <c r="CB23" s="552"/>
      <c r="CC23" s="553"/>
      <c r="CD23" s="553"/>
      <c r="CE23" s="554"/>
      <c r="CF23" s="477"/>
      <c r="CG23" s="478"/>
      <c r="CH23" s="478"/>
      <c r="CI23" s="478"/>
      <c r="CJ23" s="479"/>
      <c r="CK23" s="477"/>
      <c r="CL23" s="478"/>
      <c r="CM23" s="478"/>
      <c r="CN23" s="478"/>
      <c r="CO23" s="479"/>
      <c r="CP23" s="477"/>
      <c r="CQ23" s="478"/>
      <c r="CR23" s="478"/>
      <c r="CS23" s="478"/>
      <c r="CT23" s="479"/>
      <c r="CU23" s="477"/>
      <c r="CV23" s="481"/>
      <c r="CW23" s="481"/>
      <c r="CX23" s="481"/>
      <c r="CY23" s="482"/>
    </row>
    <row r="24" spans="1:103" s="91" customFormat="1" ht="16.5" x14ac:dyDescent="0.15">
      <c r="A24" s="517"/>
      <c r="B24" s="102"/>
      <c r="C24" s="220" t="str">
        <f t="shared" ca="1" si="3"/>
        <v>@</v>
      </c>
      <c r="D24" s="521"/>
      <c r="E24" s="522"/>
      <c r="F24" s="522"/>
      <c r="G24" s="522"/>
      <c r="H24" s="522"/>
      <c r="I24" s="522"/>
      <c r="J24" s="522"/>
      <c r="K24" s="527"/>
      <c r="L24" s="528"/>
      <c r="M24" s="528"/>
      <c r="N24" s="528"/>
      <c r="O24" s="528"/>
      <c r="P24" s="528"/>
      <c r="Q24" s="528"/>
      <c r="R24" s="533"/>
      <c r="S24" s="534"/>
      <c r="T24" s="533"/>
      <c r="U24" s="534"/>
      <c r="V24" s="527"/>
      <c r="W24" s="528"/>
      <c r="X24" s="528"/>
      <c r="Y24" s="528"/>
      <c r="Z24" s="528"/>
      <c r="AA24" s="528"/>
      <c r="AB24" s="528"/>
      <c r="AC24" s="528"/>
      <c r="AD24" s="527"/>
      <c r="AE24" s="528"/>
      <c r="AF24" s="528"/>
      <c r="AG24" s="528"/>
      <c r="AH24" s="528"/>
      <c r="AI24" s="528"/>
      <c r="AJ24" s="528"/>
      <c r="AK24" s="541"/>
      <c r="AL24" s="527"/>
      <c r="AM24" s="528"/>
      <c r="AN24" s="528"/>
      <c r="AO24" s="528"/>
      <c r="AP24" s="528"/>
      <c r="AQ24" s="528"/>
      <c r="AR24" s="541"/>
      <c r="AS24" s="546"/>
      <c r="AT24" s="547"/>
      <c r="AU24" s="547"/>
      <c r="AV24" s="547"/>
      <c r="AW24" s="547"/>
      <c r="AX24" s="547"/>
      <c r="AY24" s="548"/>
      <c r="AZ24" s="493"/>
      <c r="BA24" s="494"/>
      <c r="BB24" s="105">
        <v>2</v>
      </c>
      <c r="BC24" s="483"/>
      <c r="BD24" s="484"/>
      <c r="BE24" s="484"/>
      <c r="BF24" s="485"/>
      <c r="BG24" s="486"/>
      <c r="BH24" s="487"/>
      <c r="BI24" s="224"/>
      <c r="BJ24" s="488"/>
      <c r="BK24" s="489"/>
      <c r="BL24" s="489"/>
      <c r="BM24" s="489"/>
      <c r="BN24" s="489"/>
      <c r="BO24" s="490"/>
      <c r="BP24" s="488"/>
      <c r="BQ24" s="489"/>
      <c r="BR24" s="489"/>
      <c r="BS24" s="489"/>
      <c r="BT24" s="489"/>
      <c r="BU24" s="490"/>
      <c r="BV24" s="488"/>
      <c r="BW24" s="489"/>
      <c r="BX24" s="489"/>
      <c r="BY24" s="489"/>
      <c r="BZ24" s="489"/>
      <c r="CA24" s="490"/>
      <c r="CB24" s="483"/>
      <c r="CC24" s="484"/>
      <c r="CD24" s="484"/>
      <c r="CE24" s="485"/>
      <c r="CF24" s="477"/>
      <c r="CG24" s="478"/>
      <c r="CH24" s="478"/>
      <c r="CI24" s="478"/>
      <c r="CJ24" s="479"/>
      <c r="CK24" s="477"/>
      <c r="CL24" s="478"/>
      <c r="CM24" s="478"/>
      <c r="CN24" s="478"/>
      <c r="CO24" s="479"/>
      <c r="CP24" s="477"/>
      <c r="CQ24" s="478"/>
      <c r="CR24" s="478"/>
      <c r="CS24" s="478"/>
      <c r="CT24" s="479"/>
      <c r="CU24" s="480"/>
      <c r="CV24" s="481"/>
      <c r="CW24" s="481"/>
      <c r="CX24" s="481"/>
      <c r="CY24" s="482"/>
    </row>
    <row r="25" spans="1:103" s="91" customFormat="1" ht="16.5" x14ac:dyDescent="0.15">
      <c r="A25" s="517"/>
      <c r="B25" s="102"/>
      <c r="C25" s="220" t="str">
        <f t="shared" ca="1" si="3"/>
        <v>@</v>
      </c>
      <c r="D25" s="521"/>
      <c r="E25" s="522"/>
      <c r="F25" s="522"/>
      <c r="G25" s="522"/>
      <c r="H25" s="522"/>
      <c r="I25" s="522"/>
      <c r="J25" s="522"/>
      <c r="K25" s="527"/>
      <c r="L25" s="528"/>
      <c r="M25" s="528"/>
      <c r="N25" s="528"/>
      <c r="O25" s="528"/>
      <c r="P25" s="528"/>
      <c r="Q25" s="528"/>
      <c r="R25" s="533"/>
      <c r="S25" s="534"/>
      <c r="T25" s="533"/>
      <c r="U25" s="534"/>
      <c r="V25" s="527"/>
      <c r="W25" s="528"/>
      <c r="X25" s="528"/>
      <c r="Y25" s="528"/>
      <c r="Z25" s="528"/>
      <c r="AA25" s="528"/>
      <c r="AB25" s="528"/>
      <c r="AC25" s="528"/>
      <c r="AD25" s="527"/>
      <c r="AE25" s="528"/>
      <c r="AF25" s="528"/>
      <c r="AG25" s="528"/>
      <c r="AH25" s="528"/>
      <c r="AI25" s="528"/>
      <c r="AJ25" s="528"/>
      <c r="AK25" s="541"/>
      <c r="AL25" s="527"/>
      <c r="AM25" s="528"/>
      <c r="AN25" s="528"/>
      <c r="AO25" s="528"/>
      <c r="AP25" s="528"/>
      <c r="AQ25" s="528"/>
      <c r="AR25" s="541"/>
      <c r="AS25" s="546"/>
      <c r="AT25" s="547"/>
      <c r="AU25" s="547"/>
      <c r="AV25" s="547"/>
      <c r="AW25" s="547"/>
      <c r="AX25" s="547"/>
      <c r="AY25" s="548"/>
      <c r="AZ25" s="493"/>
      <c r="BA25" s="494"/>
      <c r="BB25" s="105">
        <v>3</v>
      </c>
      <c r="BC25" s="483"/>
      <c r="BD25" s="484"/>
      <c r="BE25" s="484"/>
      <c r="BF25" s="485"/>
      <c r="BG25" s="486"/>
      <c r="BH25" s="487"/>
      <c r="BI25" s="224"/>
      <c r="BJ25" s="488"/>
      <c r="BK25" s="489"/>
      <c r="BL25" s="489"/>
      <c r="BM25" s="489"/>
      <c r="BN25" s="489"/>
      <c r="BO25" s="490"/>
      <c r="BP25" s="488"/>
      <c r="BQ25" s="489"/>
      <c r="BR25" s="489"/>
      <c r="BS25" s="489"/>
      <c r="BT25" s="489"/>
      <c r="BU25" s="490"/>
      <c r="BV25" s="488"/>
      <c r="BW25" s="489"/>
      <c r="BX25" s="489"/>
      <c r="BY25" s="489"/>
      <c r="BZ25" s="489"/>
      <c r="CA25" s="490"/>
      <c r="CB25" s="483"/>
      <c r="CC25" s="484"/>
      <c r="CD25" s="484"/>
      <c r="CE25" s="485"/>
      <c r="CF25" s="477"/>
      <c r="CG25" s="478"/>
      <c r="CH25" s="478"/>
      <c r="CI25" s="478"/>
      <c r="CJ25" s="479"/>
      <c r="CK25" s="477"/>
      <c r="CL25" s="478"/>
      <c r="CM25" s="478"/>
      <c r="CN25" s="478"/>
      <c r="CO25" s="479"/>
      <c r="CP25" s="477"/>
      <c r="CQ25" s="478"/>
      <c r="CR25" s="478"/>
      <c r="CS25" s="478"/>
      <c r="CT25" s="479"/>
      <c r="CU25" s="480"/>
      <c r="CV25" s="481"/>
      <c r="CW25" s="481"/>
      <c r="CX25" s="481"/>
      <c r="CY25" s="482"/>
    </row>
    <row r="26" spans="1:103" s="91" customFormat="1" ht="16.5" x14ac:dyDescent="0.15">
      <c r="A26" s="517"/>
      <c r="B26" s="102"/>
      <c r="C26" s="221" t="str">
        <f t="shared" ca="1" si="3"/>
        <v>@</v>
      </c>
      <c r="D26" s="521"/>
      <c r="E26" s="522"/>
      <c r="F26" s="522"/>
      <c r="G26" s="522"/>
      <c r="H26" s="522"/>
      <c r="I26" s="522"/>
      <c r="J26" s="522"/>
      <c r="K26" s="527"/>
      <c r="L26" s="528"/>
      <c r="M26" s="528"/>
      <c r="N26" s="528"/>
      <c r="O26" s="528"/>
      <c r="P26" s="528"/>
      <c r="Q26" s="528"/>
      <c r="R26" s="533"/>
      <c r="S26" s="534"/>
      <c r="T26" s="533"/>
      <c r="U26" s="534"/>
      <c r="V26" s="527"/>
      <c r="W26" s="528"/>
      <c r="X26" s="528"/>
      <c r="Y26" s="528"/>
      <c r="Z26" s="528"/>
      <c r="AA26" s="528"/>
      <c r="AB26" s="528"/>
      <c r="AC26" s="528"/>
      <c r="AD26" s="527"/>
      <c r="AE26" s="528"/>
      <c r="AF26" s="528"/>
      <c r="AG26" s="528"/>
      <c r="AH26" s="528"/>
      <c r="AI26" s="528"/>
      <c r="AJ26" s="528"/>
      <c r="AK26" s="541"/>
      <c r="AL26" s="527"/>
      <c r="AM26" s="528"/>
      <c r="AN26" s="528"/>
      <c r="AO26" s="528"/>
      <c r="AP26" s="528"/>
      <c r="AQ26" s="528"/>
      <c r="AR26" s="541"/>
      <c r="AS26" s="546"/>
      <c r="AT26" s="547"/>
      <c r="AU26" s="547"/>
      <c r="AV26" s="547"/>
      <c r="AW26" s="547"/>
      <c r="AX26" s="547"/>
      <c r="AY26" s="548"/>
      <c r="AZ26" s="493"/>
      <c r="BA26" s="494"/>
      <c r="BB26" s="105">
        <v>4</v>
      </c>
      <c r="BC26" s="483"/>
      <c r="BD26" s="484"/>
      <c r="BE26" s="484"/>
      <c r="BF26" s="485"/>
      <c r="BG26" s="486"/>
      <c r="BH26" s="487"/>
      <c r="BI26" s="224"/>
      <c r="BJ26" s="488"/>
      <c r="BK26" s="489"/>
      <c r="BL26" s="489"/>
      <c r="BM26" s="489"/>
      <c r="BN26" s="489"/>
      <c r="BO26" s="490"/>
      <c r="BP26" s="488"/>
      <c r="BQ26" s="489"/>
      <c r="BR26" s="489"/>
      <c r="BS26" s="489"/>
      <c r="BT26" s="489"/>
      <c r="BU26" s="490"/>
      <c r="BV26" s="488"/>
      <c r="BW26" s="489"/>
      <c r="BX26" s="489"/>
      <c r="BY26" s="489"/>
      <c r="BZ26" s="489"/>
      <c r="CA26" s="490"/>
      <c r="CB26" s="483"/>
      <c r="CC26" s="484"/>
      <c r="CD26" s="484"/>
      <c r="CE26" s="485"/>
      <c r="CF26" s="477"/>
      <c r="CG26" s="478"/>
      <c r="CH26" s="478"/>
      <c r="CI26" s="478"/>
      <c r="CJ26" s="479"/>
      <c r="CK26" s="477"/>
      <c r="CL26" s="478"/>
      <c r="CM26" s="478"/>
      <c r="CN26" s="478"/>
      <c r="CO26" s="479"/>
      <c r="CP26" s="477"/>
      <c r="CQ26" s="478"/>
      <c r="CR26" s="478"/>
      <c r="CS26" s="478"/>
      <c r="CT26" s="479"/>
      <c r="CU26" s="480"/>
      <c r="CV26" s="481"/>
      <c r="CW26" s="481"/>
      <c r="CX26" s="481"/>
      <c r="CY26" s="482"/>
    </row>
    <row r="27" spans="1:103" s="91" customFormat="1" ht="16.5" x14ac:dyDescent="0.15">
      <c r="A27" s="517"/>
      <c r="B27" s="102"/>
      <c r="C27" s="222" t="str">
        <f t="shared" ca="1" si="3"/>
        <v>@</v>
      </c>
      <c r="D27" s="521"/>
      <c r="E27" s="522"/>
      <c r="F27" s="522"/>
      <c r="G27" s="522"/>
      <c r="H27" s="522"/>
      <c r="I27" s="522"/>
      <c r="J27" s="522"/>
      <c r="K27" s="527"/>
      <c r="L27" s="528"/>
      <c r="M27" s="528"/>
      <c r="N27" s="528"/>
      <c r="O27" s="528"/>
      <c r="P27" s="528"/>
      <c r="Q27" s="528"/>
      <c r="R27" s="533"/>
      <c r="S27" s="534"/>
      <c r="T27" s="533"/>
      <c r="U27" s="534"/>
      <c r="V27" s="527"/>
      <c r="W27" s="528"/>
      <c r="X27" s="528"/>
      <c r="Y27" s="528"/>
      <c r="Z27" s="528"/>
      <c r="AA27" s="528"/>
      <c r="AB27" s="528"/>
      <c r="AC27" s="528"/>
      <c r="AD27" s="527"/>
      <c r="AE27" s="528"/>
      <c r="AF27" s="528"/>
      <c r="AG27" s="528"/>
      <c r="AH27" s="528"/>
      <c r="AI27" s="528"/>
      <c r="AJ27" s="528"/>
      <c r="AK27" s="541"/>
      <c r="AL27" s="527"/>
      <c r="AM27" s="528"/>
      <c r="AN27" s="528"/>
      <c r="AO27" s="528"/>
      <c r="AP27" s="528"/>
      <c r="AQ27" s="528"/>
      <c r="AR27" s="541"/>
      <c r="AS27" s="546"/>
      <c r="AT27" s="547"/>
      <c r="AU27" s="547"/>
      <c r="AV27" s="547"/>
      <c r="AW27" s="547"/>
      <c r="AX27" s="547"/>
      <c r="AY27" s="548"/>
      <c r="AZ27" s="493"/>
      <c r="BA27" s="494"/>
      <c r="BB27" s="105">
        <v>5</v>
      </c>
      <c r="BC27" s="483"/>
      <c r="BD27" s="484"/>
      <c r="BE27" s="484"/>
      <c r="BF27" s="485"/>
      <c r="BG27" s="486"/>
      <c r="BH27" s="487"/>
      <c r="BI27" s="224"/>
      <c r="BJ27" s="488"/>
      <c r="BK27" s="489"/>
      <c r="BL27" s="489"/>
      <c r="BM27" s="489"/>
      <c r="BN27" s="489"/>
      <c r="BO27" s="490"/>
      <c r="BP27" s="488"/>
      <c r="BQ27" s="489"/>
      <c r="BR27" s="489"/>
      <c r="BS27" s="489"/>
      <c r="BT27" s="489"/>
      <c r="BU27" s="490"/>
      <c r="BV27" s="488"/>
      <c r="BW27" s="489"/>
      <c r="BX27" s="489"/>
      <c r="BY27" s="489"/>
      <c r="BZ27" s="489"/>
      <c r="CA27" s="490"/>
      <c r="CB27" s="483"/>
      <c r="CC27" s="484"/>
      <c r="CD27" s="484"/>
      <c r="CE27" s="485"/>
      <c r="CF27" s="477"/>
      <c r="CG27" s="478"/>
      <c r="CH27" s="478"/>
      <c r="CI27" s="478"/>
      <c r="CJ27" s="479"/>
      <c r="CK27" s="477"/>
      <c r="CL27" s="478"/>
      <c r="CM27" s="478"/>
      <c r="CN27" s="478"/>
      <c r="CO27" s="479"/>
      <c r="CP27" s="477"/>
      <c r="CQ27" s="478"/>
      <c r="CR27" s="478"/>
      <c r="CS27" s="478"/>
      <c r="CT27" s="479"/>
      <c r="CU27" s="480"/>
      <c r="CV27" s="481"/>
      <c r="CW27" s="481"/>
      <c r="CX27" s="481"/>
      <c r="CY27" s="482"/>
    </row>
    <row r="28" spans="1:103" s="91" customFormat="1" ht="16.5" x14ac:dyDescent="0.15">
      <c r="A28" s="518"/>
      <c r="B28" s="107"/>
      <c r="C28" s="219" t="str">
        <f t="shared" ca="1" si="3"/>
        <v>@</v>
      </c>
      <c r="D28" s="523"/>
      <c r="E28" s="524"/>
      <c r="F28" s="524"/>
      <c r="G28" s="524"/>
      <c r="H28" s="524"/>
      <c r="I28" s="524"/>
      <c r="J28" s="524"/>
      <c r="K28" s="529"/>
      <c r="L28" s="530"/>
      <c r="M28" s="530"/>
      <c r="N28" s="530"/>
      <c r="O28" s="530"/>
      <c r="P28" s="530"/>
      <c r="Q28" s="530"/>
      <c r="R28" s="535"/>
      <c r="S28" s="537"/>
      <c r="T28" s="535"/>
      <c r="U28" s="537"/>
      <c r="V28" s="529"/>
      <c r="W28" s="539"/>
      <c r="X28" s="539"/>
      <c r="Y28" s="539"/>
      <c r="Z28" s="539"/>
      <c r="AA28" s="539"/>
      <c r="AB28" s="539"/>
      <c r="AC28" s="539"/>
      <c r="AD28" s="529"/>
      <c r="AE28" s="539"/>
      <c r="AF28" s="539"/>
      <c r="AG28" s="539"/>
      <c r="AH28" s="539"/>
      <c r="AI28" s="539"/>
      <c r="AJ28" s="539"/>
      <c r="AK28" s="542"/>
      <c r="AL28" s="529"/>
      <c r="AM28" s="539"/>
      <c r="AN28" s="539"/>
      <c r="AO28" s="539"/>
      <c r="AP28" s="539"/>
      <c r="AQ28" s="539"/>
      <c r="AR28" s="542"/>
      <c r="AS28" s="549"/>
      <c r="AT28" s="550"/>
      <c r="AU28" s="550"/>
      <c r="AV28" s="550"/>
      <c r="AW28" s="550"/>
      <c r="AX28" s="550"/>
      <c r="AY28" s="551"/>
      <c r="AZ28" s="495"/>
      <c r="BA28" s="496"/>
      <c r="BB28" s="108">
        <v>6</v>
      </c>
      <c r="BC28" s="505"/>
      <c r="BD28" s="506"/>
      <c r="BE28" s="506"/>
      <c r="BF28" s="507"/>
      <c r="BG28" s="508"/>
      <c r="BH28" s="509"/>
      <c r="BI28" s="225"/>
      <c r="BJ28" s="510"/>
      <c r="BK28" s="511"/>
      <c r="BL28" s="511"/>
      <c r="BM28" s="511"/>
      <c r="BN28" s="511"/>
      <c r="BO28" s="512"/>
      <c r="BP28" s="510"/>
      <c r="BQ28" s="511"/>
      <c r="BR28" s="511"/>
      <c r="BS28" s="511"/>
      <c r="BT28" s="511"/>
      <c r="BU28" s="512"/>
      <c r="BV28" s="510"/>
      <c r="BW28" s="511"/>
      <c r="BX28" s="511"/>
      <c r="BY28" s="511"/>
      <c r="BZ28" s="511"/>
      <c r="CA28" s="512"/>
      <c r="CB28" s="505"/>
      <c r="CC28" s="506"/>
      <c r="CD28" s="506"/>
      <c r="CE28" s="507"/>
      <c r="CF28" s="477"/>
      <c r="CG28" s="478"/>
      <c r="CH28" s="478"/>
      <c r="CI28" s="478"/>
      <c r="CJ28" s="479"/>
      <c r="CK28" s="477"/>
      <c r="CL28" s="478"/>
      <c r="CM28" s="478"/>
      <c r="CN28" s="478"/>
      <c r="CO28" s="479"/>
      <c r="CP28" s="477"/>
      <c r="CQ28" s="478"/>
      <c r="CR28" s="478"/>
      <c r="CS28" s="478"/>
      <c r="CT28" s="479"/>
      <c r="CU28" s="480"/>
      <c r="CV28" s="481"/>
      <c r="CW28" s="481"/>
      <c r="CX28" s="481"/>
      <c r="CY28" s="482"/>
    </row>
    <row r="29" spans="1:103" s="91" customFormat="1" ht="16.149999999999999" customHeight="1" x14ac:dyDescent="0.15">
      <c r="A29" s="516">
        <v>4</v>
      </c>
      <c r="B29" s="102"/>
      <c r="C29" s="217" t="str">
        <f t="shared" ca="1" si="3"/>
        <v>@</v>
      </c>
      <c r="D29" s="519" t="s">
        <v>578</v>
      </c>
      <c r="E29" s="520"/>
      <c r="F29" s="520"/>
      <c r="G29" s="520"/>
      <c r="H29" s="520"/>
      <c r="I29" s="520"/>
      <c r="J29" s="520"/>
      <c r="K29" s="525" t="s">
        <v>557</v>
      </c>
      <c r="L29" s="526"/>
      <c r="M29" s="526"/>
      <c r="N29" s="526"/>
      <c r="O29" s="526"/>
      <c r="P29" s="526"/>
      <c r="Q29" s="526"/>
      <c r="R29" s="531"/>
      <c r="S29" s="532"/>
      <c r="T29" s="531" t="s">
        <v>284</v>
      </c>
      <c r="U29" s="532"/>
      <c r="V29" s="525" t="s">
        <v>630</v>
      </c>
      <c r="W29" s="538"/>
      <c r="X29" s="538"/>
      <c r="Y29" s="538"/>
      <c r="Z29" s="538"/>
      <c r="AA29" s="538"/>
      <c r="AB29" s="538"/>
      <c r="AC29" s="538"/>
      <c r="AD29" s="525" t="s">
        <v>558</v>
      </c>
      <c r="AE29" s="538"/>
      <c r="AF29" s="538"/>
      <c r="AG29" s="538"/>
      <c r="AH29" s="538"/>
      <c r="AI29" s="538"/>
      <c r="AJ29" s="538"/>
      <c r="AK29" s="540"/>
      <c r="AL29" s="525" t="s">
        <v>563</v>
      </c>
      <c r="AM29" s="538"/>
      <c r="AN29" s="538"/>
      <c r="AO29" s="538"/>
      <c r="AP29" s="538"/>
      <c r="AQ29" s="538"/>
      <c r="AR29" s="540"/>
      <c r="AS29" s="543"/>
      <c r="AT29" s="544"/>
      <c r="AU29" s="544"/>
      <c r="AV29" s="544"/>
      <c r="AW29" s="544"/>
      <c r="AX29" s="544"/>
      <c r="AY29" s="545"/>
      <c r="AZ29" s="491" t="s">
        <v>797</v>
      </c>
      <c r="BA29" s="492"/>
      <c r="BB29" s="103">
        <v>1</v>
      </c>
      <c r="BC29" s="497"/>
      <c r="BD29" s="498"/>
      <c r="BE29" s="498"/>
      <c r="BF29" s="499"/>
      <c r="BG29" s="500" t="s">
        <v>568</v>
      </c>
      <c r="BH29" s="501"/>
      <c r="BI29" s="226"/>
      <c r="BJ29" s="502"/>
      <c r="BK29" s="503"/>
      <c r="BL29" s="503"/>
      <c r="BM29" s="503"/>
      <c r="BN29" s="503"/>
      <c r="BO29" s="504"/>
      <c r="BP29" s="502"/>
      <c r="BQ29" s="503"/>
      <c r="BR29" s="503"/>
      <c r="BS29" s="503"/>
      <c r="BT29" s="503"/>
      <c r="BU29" s="504"/>
      <c r="BV29" s="502"/>
      <c r="BW29" s="503"/>
      <c r="BX29" s="503"/>
      <c r="BY29" s="503"/>
      <c r="BZ29" s="503"/>
      <c r="CA29" s="504"/>
      <c r="CB29" s="497"/>
      <c r="CC29" s="498"/>
      <c r="CD29" s="498"/>
      <c r="CE29" s="499"/>
      <c r="CF29" s="477"/>
      <c r="CG29" s="478"/>
      <c r="CH29" s="478"/>
      <c r="CI29" s="478"/>
      <c r="CJ29" s="479"/>
      <c r="CK29" s="477"/>
      <c r="CL29" s="478"/>
      <c r="CM29" s="478"/>
      <c r="CN29" s="478"/>
      <c r="CO29" s="479"/>
      <c r="CP29" s="477"/>
      <c r="CQ29" s="478"/>
      <c r="CR29" s="478"/>
      <c r="CS29" s="478"/>
      <c r="CT29" s="479"/>
      <c r="CU29" s="480"/>
      <c r="CV29" s="481"/>
      <c r="CW29" s="481"/>
      <c r="CX29" s="481"/>
      <c r="CY29" s="482"/>
    </row>
    <row r="30" spans="1:103" s="91" customFormat="1" ht="16.5" x14ac:dyDescent="0.15">
      <c r="A30" s="517"/>
      <c r="B30" s="102"/>
      <c r="C30" s="220" t="str">
        <f t="shared" ca="1" si="3"/>
        <v>@</v>
      </c>
      <c r="D30" s="521"/>
      <c r="E30" s="522"/>
      <c r="F30" s="522"/>
      <c r="G30" s="522"/>
      <c r="H30" s="522"/>
      <c r="I30" s="522"/>
      <c r="J30" s="522"/>
      <c r="K30" s="527"/>
      <c r="L30" s="528"/>
      <c r="M30" s="528"/>
      <c r="N30" s="528"/>
      <c r="O30" s="528"/>
      <c r="P30" s="528"/>
      <c r="Q30" s="528"/>
      <c r="R30" s="533"/>
      <c r="S30" s="534"/>
      <c r="T30" s="533"/>
      <c r="U30" s="534"/>
      <c r="V30" s="527"/>
      <c r="W30" s="528"/>
      <c r="X30" s="528"/>
      <c r="Y30" s="528"/>
      <c r="Z30" s="528"/>
      <c r="AA30" s="528"/>
      <c r="AB30" s="528"/>
      <c r="AC30" s="528"/>
      <c r="AD30" s="527"/>
      <c r="AE30" s="528"/>
      <c r="AF30" s="528"/>
      <c r="AG30" s="528"/>
      <c r="AH30" s="528"/>
      <c r="AI30" s="528"/>
      <c r="AJ30" s="528"/>
      <c r="AK30" s="541"/>
      <c r="AL30" s="527"/>
      <c r="AM30" s="528"/>
      <c r="AN30" s="528"/>
      <c r="AO30" s="528"/>
      <c r="AP30" s="528"/>
      <c r="AQ30" s="528"/>
      <c r="AR30" s="541"/>
      <c r="AS30" s="546"/>
      <c r="AT30" s="547"/>
      <c r="AU30" s="547"/>
      <c r="AV30" s="547"/>
      <c r="AW30" s="547"/>
      <c r="AX30" s="547"/>
      <c r="AY30" s="548"/>
      <c r="AZ30" s="493"/>
      <c r="BA30" s="494"/>
      <c r="BB30" s="105">
        <v>2</v>
      </c>
      <c r="BC30" s="483"/>
      <c r="BD30" s="484"/>
      <c r="BE30" s="484"/>
      <c r="BF30" s="485"/>
      <c r="BG30" s="486"/>
      <c r="BH30" s="487"/>
      <c r="BI30" s="224"/>
      <c r="BJ30" s="488"/>
      <c r="BK30" s="489"/>
      <c r="BL30" s="489"/>
      <c r="BM30" s="489"/>
      <c r="BN30" s="489"/>
      <c r="BO30" s="490"/>
      <c r="BP30" s="488"/>
      <c r="BQ30" s="489"/>
      <c r="BR30" s="489"/>
      <c r="BS30" s="489"/>
      <c r="BT30" s="489"/>
      <c r="BU30" s="490"/>
      <c r="BV30" s="488"/>
      <c r="BW30" s="489"/>
      <c r="BX30" s="489"/>
      <c r="BY30" s="489"/>
      <c r="BZ30" s="489"/>
      <c r="CA30" s="490"/>
      <c r="CB30" s="483"/>
      <c r="CC30" s="484"/>
      <c r="CD30" s="484"/>
      <c r="CE30" s="485"/>
      <c r="CF30" s="477"/>
      <c r="CG30" s="478"/>
      <c r="CH30" s="478"/>
      <c r="CI30" s="478"/>
      <c r="CJ30" s="479"/>
      <c r="CK30" s="477"/>
      <c r="CL30" s="478"/>
      <c r="CM30" s="478"/>
      <c r="CN30" s="478"/>
      <c r="CO30" s="479"/>
      <c r="CP30" s="477"/>
      <c r="CQ30" s="478"/>
      <c r="CR30" s="478"/>
      <c r="CS30" s="478"/>
      <c r="CT30" s="479"/>
      <c r="CU30" s="480"/>
      <c r="CV30" s="481"/>
      <c r="CW30" s="481"/>
      <c r="CX30" s="481"/>
      <c r="CY30" s="482"/>
    </row>
    <row r="31" spans="1:103" s="91" customFormat="1" ht="16.5" x14ac:dyDescent="0.15">
      <c r="A31" s="517"/>
      <c r="B31" s="102"/>
      <c r="C31" s="220" t="str">
        <f t="shared" ca="1" si="3"/>
        <v>@</v>
      </c>
      <c r="D31" s="521"/>
      <c r="E31" s="522"/>
      <c r="F31" s="522"/>
      <c r="G31" s="522"/>
      <c r="H31" s="522"/>
      <c r="I31" s="522"/>
      <c r="J31" s="522"/>
      <c r="K31" s="527"/>
      <c r="L31" s="528"/>
      <c r="M31" s="528"/>
      <c r="N31" s="528"/>
      <c r="O31" s="528"/>
      <c r="P31" s="528"/>
      <c r="Q31" s="528"/>
      <c r="R31" s="533"/>
      <c r="S31" s="534"/>
      <c r="T31" s="533"/>
      <c r="U31" s="534"/>
      <c r="V31" s="527"/>
      <c r="W31" s="528"/>
      <c r="X31" s="528"/>
      <c r="Y31" s="528"/>
      <c r="Z31" s="528"/>
      <c r="AA31" s="528"/>
      <c r="AB31" s="528"/>
      <c r="AC31" s="528"/>
      <c r="AD31" s="527"/>
      <c r="AE31" s="528"/>
      <c r="AF31" s="528"/>
      <c r="AG31" s="528"/>
      <c r="AH31" s="528"/>
      <c r="AI31" s="528"/>
      <c r="AJ31" s="528"/>
      <c r="AK31" s="541"/>
      <c r="AL31" s="527"/>
      <c r="AM31" s="528"/>
      <c r="AN31" s="528"/>
      <c r="AO31" s="528"/>
      <c r="AP31" s="528"/>
      <c r="AQ31" s="528"/>
      <c r="AR31" s="541"/>
      <c r="AS31" s="546"/>
      <c r="AT31" s="547"/>
      <c r="AU31" s="547"/>
      <c r="AV31" s="547"/>
      <c r="AW31" s="547"/>
      <c r="AX31" s="547"/>
      <c r="AY31" s="548"/>
      <c r="AZ31" s="493"/>
      <c r="BA31" s="494"/>
      <c r="BB31" s="105">
        <v>3</v>
      </c>
      <c r="BC31" s="483"/>
      <c r="BD31" s="484"/>
      <c r="BE31" s="484"/>
      <c r="BF31" s="485"/>
      <c r="BG31" s="486"/>
      <c r="BH31" s="487"/>
      <c r="BI31" s="224"/>
      <c r="BJ31" s="488"/>
      <c r="BK31" s="489"/>
      <c r="BL31" s="489"/>
      <c r="BM31" s="489"/>
      <c r="BN31" s="489"/>
      <c r="BO31" s="490"/>
      <c r="BP31" s="488"/>
      <c r="BQ31" s="489"/>
      <c r="BR31" s="489"/>
      <c r="BS31" s="489"/>
      <c r="BT31" s="489"/>
      <c r="BU31" s="490"/>
      <c r="BV31" s="488"/>
      <c r="BW31" s="489"/>
      <c r="BX31" s="489"/>
      <c r="BY31" s="489"/>
      <c r="BZ31" s="489"/>
      <c r="CA31" s="490"/>
      <c r="CB31" s="483"/>
      <c r="CC31" s="484"/>
      <c r="CD31" s="484"/>
      <c r="CE31" s="485"/>
      <c r="CF31" s="477"/>
      <c r="CG31" s="478"/>
      <c r="CH31" s="478"/>
      <c r="CI31" s="478"/>
      <c r="CJ31" s="479"/>
      <c r="CK31" s="477"/>
      <c r="CL31" s="478"/>
      <c r="CM31" s="478"/>
      <c r="CN31" s="478"/>
      <c r="CO31" s="479"/>
      <c r="CP31" s="477"/>
      <c r="CQ31" s="478"/>
      <c r="CR31" s="478"/>
      <c r="CS31" s="478"/>
      <c r="CT31" s="479"/>
      <c r="CU31" s="480"/>
      <c r="CV31" s="481"/>
      <c r="CW31" s="481"/>
      <c r="CX31" s="481"/>
      <c r="CY31" s="482"/>
    </row>
    <row r="32" spans="1:103" s="91" customFormat="1" ht="16.5" x14ac:dyDescent="0.15">
      <c r="A32" s="517"/>
      <c r="B32" s="102"/>
      <c r="C32" s="220" t="str">
        <f t="shared" ca="1" si="3"/>
        <v>@</v>
      </c>
      <c r="D32" s="521"/>
      <c r="E32" s="522"/>
      <c r="F32" s="522"/>
      <c r="G32" s="522"/>
      <c r="H32" s="522"/>
      <c r="I32" s="522"/>
      <c r="J32" s="522"/>
      <c r="K32" s="527"/>
      <c r="L32" s="528"/>
      <c r="M32" s="528"/>
      <c r="N32" s="528"/>
      <c r="O32" s="528"/>
      <c r="P32" s="528"/>
      <c r="Q32" s="528"/>
      <c r="R32" s="533"/>
      <c r="S32" s="534"/>
      <c r="T32" s="533"/>
      <c r="U32" s="534"/>
      <c r="V32" s="527"/>
      <c r="W32" s="528"/>
      <c r="X32" s="528"/>
      <c r="Y32" s="528"/>
      <c r="Z32" s="528"/>
      <c r="AA32" s="528"/>
      <c r="AB32" s="528"/>
      <c r="AC32" s="528"/>
      <c r="AD32" s="527"/>
      <c r="AE32" s="528"/>
      <c r="AF32" s="528"/>
      <c r="AG32" s="528"/>
      <c r="AH32" s="528"/>
      <c r="AI32" s="528"/>
      <c r="AJ32" s="528"/>
      <c r="AK32" s="541"/>
      <c r="AL32" s="527"/>
      <c r="AM32" s="528"/>
      <c r="AN32" s="528"/>
      <c r="AO32" s="528"/>
      <c r="AP32" s="528"/>
      <c r="AQ32" s="528"/>
      <c r="AR32" s="541"/>
      <c r="AS32" s="546"/>
      <c r="AT32" s="547"/>
      <c r="AU32" s="547"/>
      <c r="AV32" s="547"/>
      <c r="AW32" s="547"/>
      <c r="AX32" s="547"/>
      <c r="AY32" s="548"/>
      <c r="AZ32" s="493"/>
      <c r="BA32" s="494"/>
      <c r="BB32" s="105">
        <v>4</v>
      </c>
      <c r="BC32" s="483"/>
      <c r="BD32" s="484"/>
      <c r="BE32" s="484"/>
      <c r="BF32" s="485"/>
      <c r="BG32" s="486"/>
      <c r="BH32" s="487"/>
      <c r="BI32" s="224"/>
      <c r="BJ32" s="488"/>
      <c r="BK32" s="489"/>
      <c r="BL32" s="489"/>
      <c r="BM32" s="489"/>
      <c r="BN32" s="489"/>
      <c r="BO32" s="490"/>
      <c r="BP32" s="488"/>
      <c r="BQ32" s="489"/>
      <c r="BR32" s="489"/>
      <c r="BS32" s="489"/>
      <c r="BT32" s="489"/>
      <c r="BU32" s="490"/>
      <c r="BV32" s="488"/>
      <c r="BW32" s="489"/>
      <c r="BX32" s="489"/>
      <c r="BY32" s="489"/>
      <c r="BZ32" s="489"/>
      <c r="CA32" s="490"/>
      <c r="CB32" s="483"/>
      <c r="CC32" s="484"/>
      <c r="CD32" s="484"/>
      <c r="CE32" s="485"/>
      <c r="CF32" s="477"/>
      <c r="CG32" s="478"/>
      <c r="CH32" s="478"/>
      <c r="CI32" s="478"/>
      <c r="CJ32" s="479"/>
      <c r="CK32" s="477"/>
      <c r="CL32" s="478"/>
      <c r="CM32" s="478"/>
      <c r="CN32" s="478"/>
      <c r="CO32" s="479"/>
      <c r="CP32" s="477"/>
      <c r="CQ32" s="478"/>
      <c r="CR32" s="478"/>
      <c r="CS32" s="478"/>
      <c r="CT32" s="479"/>
      <c r="CU32" s="480"/>
      <c r="CV32" s="481"/>
      <c r="CW32" s="481"/>
      <c r="CX32" s="481"/>
      <c r="CY32" s="482"/>
    </row>
    <row r="33" spans="1:103" s="91" customFormat="1" ht="16.5" x14ac:dyDescent="0.15">
      <c r="A33" s="517"/>
      <c r="B33" s="102"/>
      <c r="C33" s="220" t="str">
        <f t="shared" ca="1" si="3"/>
        <v>@</v>
      </c>
      <c r="D33" s="521"/>
      <c r="E33" s="522"/>
      <c r="F33" s="522"/>
      <c r="G33" s="522"/>
      <c r="H33" s="522"/>
      <c r="I33" s="522"/>
      <c r="J33" s="522"/>
      <c r="K33" s="527"/>
      <c r="L33" s="528"/>
      <c r="M33" s="528"/>
      <c r="N33" s="528"/>
      <c r="O33" s="528"/>
      <c r="P33" s="528"/>
      <c r="Q33" s="528"/>
      <c r="R33" s="533"/>
      <c r="S33" s="534"/>
      <c r="T33" s="533"/>
      <c r="U33" s="534"/>
      <c r="V33" s="527"/>
      <c r="W33" s="528"/>
      <c r="X33" s="528"/>
      <c r="Y33" s="528"/>
      <c r="Z33" s="528"/>
      <c r="AA33" s="528"/>
      <c r="AB33" s="528"/>
      <c r="AC33" s="528"/>
      <c r="AD33" s="527"/>
      <c r="AE33" s="528"/>
      <c r="AF33" s="528"/>
      <c r="AG33" s="528"/>
      <c r="AH33" s="528"/>
      <c r="AI33" s="528"/>
      <c r="AJ33" s="528"/>
      <c r="AK33" s="541"/>
      <c r="AL33" s="527"/>
      <c r="AM33" s="528"/>
      <c r="AN33" s="528"/>
      <c r="AO33" s="528"/>
      <c r="AP33" s="528"/>
      <c r="AQ33" s="528"/>
      <c r="AR33" s="541"/>
      <c r="AS33" s="546"/>
      <c r="AT33" s="547"/>
      <c r="AU33" s="547"/>
      <c r="AV33" s="547"/>
      <c r="AW33" s="547"/>
      <c r="AX33" s="547"/>
      <c r="AY33" s="548"/>
      <c r="AZ33" s="493"/>
      <c r="BA33" s="494"/>
      <c r="BB33" s="105">
        <v>5</v>
      </c>
      <c r="BC33" s="483"/>
      <c r="BD33" s="484"/>
      <c r="BE33" s="484"/>
      <c r="BF33" s="485"/>
      <c r="BG33" s="486"/>
      <c r="BH33" s="487"/>
      <c r="BI33" s="224"/>
      <c r="BJ33" s="488"/>
      <c r="BK33" s="489"/>
      <c r="BL33" s="489"/>
      <c r="BM33" s="489"/>
      <c r="BN33" s="489"/>
      <c r="BO33" s="490"/>
      <c r="BP33" s="488"/>
      <c r="BQ33" s="489"/>
      <c r="BR33" s="489"/>
      <c r="BS33" s="489"/>
      <c r="BT33" s="489"/>
      <c r="BU33" s="490"/>
      <c r="BV33" s="488"/>
      <c r="BW33" s="489"/>
      <c r="BX33" s="489"/>
      <c r="BY33" s="489"/>
      <c r="BZ33" s="489"/>
      <c r="CA33" s="490"/>
      <c r="CB33" s="483"/>
      <c r="CC33" s="484"/>
      <c r="CD33" s="484"/>
      <c r="CE33" s="485"/>
      <c r="CF33" s="477"/>
      <c r="CG33" s="478"/>
      <c r="CH33" s="478"/>
      <c r="CI33" s="478"/>
      <c r="CJ33" s="479"/>
      <c r="CK33" s="477"/>
      <c r="CL33" s="478"/>
      <c r="CM33" s="478"/>
      <c r="CN33" s="478"/>
      <c r="CO33" s="479"/>
      <c r="CP33" s="477"/>
      <c r="CQ33" s="478"/>
      <c r="CR33" s="478"/>
      <c r="CS33" s="478"/>
      <c r="CT33" s="479"/>
      <c r="CU33" s="480"/>
      <c r="CV33" s="481"/>
      <c r="CW33" s="481"/>
      <c r="CX33" s="481"/>
      <c r="CY33" s="482"/>
    </row>
    <row r="34" spans="1:103" s="91" customFormat="1" ht="16.5" x14ac:dyDescent="0.15">
      <c r="A34" s="518"/>
      <c r="B34" s="107"/>
      <c r="C34" s="220" t="str">
        <f t="shared" ca="1" si="3"/>
        <v>@</v>
      </c>
      <c r="D34" s="523"/>
      <c r="E34" s="524"/>
      <c r="F34" s="524"/>
      <c r="G34" s="524"/>
      <c r="H34" s="524"/>
      <c r="I34" s="524"/>
      <c r="J34" s="524"/>
      <c r="K34" s="529"/>
      <c r="L34" s="530"/>
      <c r="M34" s="530"/>
      <c r="N34" s="530"/>
      <c r="O34" s="530"/>
      <c r="P34" s="530"/>
      <c r="Q34" s="530"/>
      <c r="R34" s="535"/>
      <c r="S34" s="537"/>
      <c r="T34" s="535"/>
      <c r="U34" s="537"/>
      <c r="V34" s="529"/>
      <c r="W34" s="539"/>
      <c r="X34" s="539"/>
      <c r="Y34" s="539"/>
      <c r="Z34" s="539"/>
      <c r="AA34" s="539"/>
      <c r="AB34" s="539"/>
      <c r="AC34" s="539"/>
      <c r="AD34" s="529"/>
      <c r="AE34" s="539"/>
      <c r="AF34" s="539"/>
      <c r="AG34" s="539"/>
      <c r="AH34" s="539"/>
      <c r="AI34" s="539"/>
      <c r="AJ34" s="539"/>
      <c r="AK34" s="542"/>
      <c r="AL34" s="529"/>
      <c r="AM34" s="539"/>
      <c r="AN34" s="539"/>
      <c r="AO34" s="539"/>
      <c r="AP34" s="539"/>
      <c r="AQ34" s="539"/>
      <c r="AR34" s="542"/>
      <c r="AS34" s="549"/>
      <c r="AT34" s="550"/>
      <c r="AU34" s="550"/>
      <c r="AV34" s="550"/>
      <c r="AW34" s="550"/>
      <c r="AX34" s="550"/>
      <c r="AY34" s="551"/>
      <c r="AZ34" s="495"/>
      <c r="BA34" s="496"/>
      <c r="BB34" s="108">
        <v>6</v>
      </c>
      <c r="BC34" s="505"/>
      <c r="BD34" s="506"/>
      <c r="BE34" s="506"/>
      <c r="BF34" s="507"/>
      <c r="BG34" s="508"/>
      <c r="BH34" s="509"/>
      <c r="BI34" s="227"/>
      <c r="BJ34" s="510"/>
      <c r="BK34" s="511"/>
      <c r="BL34" s="511"/>
      <c r="BM34" s="511"/>
      <c r="BN34" s="511"/>
      <c r="BO34" s="512"/>
      <c r="BP34" s="510"/>
      <c r="BQ34" s="511"/>
      <c r="BR34" s="511"/>
      <c r="BS34" s="511"/>
      <c r="BT34" s="511"/>
      <c r="BU34" s="512"/>
      <c r="BV34" s="510"/>
      <c r="BW34" s="511"/>
      <c r="BX34" s="511"/>
      <c r="BY34" s="511"/>
      <c r="BZ34" s="511"/>
      <c r="CA34" s="512"/>
      <c r="CB34" s="513"/>
      <c r="CC34" s="514"/>
      <c r="CD34" s="514"/>
      <c r="CE34" s="515"/>
      <c r="CF34" s="477"/>
      <c r="CG34" s="478"/>
      <c r="CH34" s="478"/>
      <c r="CI34" s="478"/>
      <c r="CJ34" s="479"/>
      <c r="CK34" s="477"/>
      <c r="CL34" s="478"/>
      <c r="CM34" s="478"/>
      <c r="CN34" s="478"/>
      <c r="CO34" s="479"/>
      <c r="CP34" s="477"/>
      <c r="CQ34" s="478"/>
      <c r="CR34" s="478"/>
      <c r="CS34" s="478"/>
      <c r="CT34" s="479"/>
      <c r="CU34" s="480"/>
      <c r="CV34" s="481"/>
      <c r="CW34" s="481"/>
      <c r="CX34" s="481"/>
      <c r="CY34" s="482"/>
    </row>
    <row r="35" spans="1:103" s="91" customFormat="1" ht="16.149999999999999" customHeight="1" x14ac:dyDescent="0.15">
      <c r="A35" s="516">
        <v>5</v>
      </c>
      <c r="B35" s="102"/>
      <c r="C35" s="216" t="str">
        <f t="shared" ca="1" si="3"/>
        <v/>
      </c>
      <c r="D35" s="519" t="s">
        <v>578</v>
      </c>
      <c r="E35" s="520"/>
      <c r="F35" s="520"/>
      <c r="G35" s="520"/>
      <c r="H35" s="520"/>
      <c r="I35" s="520"/>
      <c r="J35" s="520"/>
      <c r="K35" s="525" t="s">
        <v>559</v>
      </c>
      <c r="L35" s="526"/>
      <c r="M35" s="526"/>
      <c r="N35" s="526"/>
      <c r="O35" s="526"/>
      <c r="P35" s="526"/>
      <c r="Q35" s="526"/>
      <c r="R35" s="531" t="s">
        <v>805</v>
      </c>
      <c r="S35" s="532"/>
      <c r="T35" s="531" t="s">
        <v>284</v>
      </c>
      <c r="U35" s="532"/>
      <c r="V35" s="525" t="s">
        <v>630</v>
      </c>
      <c r="W35" s="538"/>
      <c r="X35" s="538"/>
      <c r="Y35" s="538"/>
      <c r="Z35" s="538"/>
      <c r="AA35" s="538"/>
      <c r="AB35" s="538"/>
      <c r="AC35" s="538"/>
      <c r="AD35" s="525" t="s">
        <v>574</v>
      </c>
      <c r="AE35" s="538"/>
      <c r="AF35" s="538"/>
      <c r="AG35" s="538"/>
      <c r="AH35" s="538"/>
      <c r="AI35" s="538"/>
      <c r="AJ35" s="538"/>
      <c r="AK35" s="540"/>
      <c r="AL35" s="525" t="s">
        <v>563</v>
      </c>
      <c r="AM35" s="538"/>
      <c r="AN35" s="538"/>
      <c r="AO35" s="538"/>
      <c r="AP35" s="538"/>
      <c r="AQ35" s="538"/>
      <c r="AR35" s="540"/>
      <c r="AS35" s="543"/>
      <c r="AT35" s="544"/>
      <c r="AU35" s="544"/>
      <c r="AV35" s="544"/>
      <c r="AW35" s="544"/>
      <c r="AX35" s="544"/>
      <c r="AY35" s="545"/>
      <c r="AZ35" s="491"/>
      <c r="BA35" s="492"/>
      <c r="BB35" s="103">
        <v>1</v>
      </c>
      <c r="BC35" s="497"/>
      <c r="BD35" s="498"/>
      <c r="BE35" s="498"/>
      <c r="BF35" s="499"/>
      <c r="BG35" s="500" t="s">
        <v>568</v>
      </c>
      <c r="BH35" s="501"/>
      <c r="BI35" s="226"/>
      <c r="BJ35" s="502"/>
      <c r="BK35" s="503"/>
      <c r="BL35" s="503"/>
      <c r="BM35" s="503"/>
      <c r="BN35" s="503"/>
      <c r="BO35" s="504"/>
      <c r="BP35" s="502"/>
      <c r="BQ35" s="503"/>
      <c r="BR35" s="503"/>
      <c r="BS35" s="503"/>
      <c r="BT35" s="503"/>
      <c r="BU35" s="504"/>
      <c r="BV35" s="502"/>
      <c r="BW35" s="503"/>
      <c r="BX35" s="503"/>
      <c r="BY35" s="503"/>
      <c r="BZ35" s="503"/>
      <c r="CA35" s="504"/>
      <c r="CB35" s="552"/>
      <c r="CC35" s="553"/>
      <c r="CD35" s="553"/>
      <c r="CE35" s="554"/>
      <c r="CF35" s="477"/>
      <c r="CG35" s="478"/>
      <c r="CH35" s="478"/>
      <c r="CI35" s="478"/>
      <c r="CJ35" s="479"/>
      <c r="CK35" s="477"/>
      <c r="CL35" s="478"/>
      <c r="CM35" s="478"/>
      <c r="CN35" s="478"/>
      <c r="CO35" s="479"/>
      <c r="CP35" s="477"/>
      <c r="CQ35" s="478"/>
      <c r="CR35" s="478"/>
      <c r="CS35" s="478"/>
      <c r="CT35" s="479"/>
      <c r="CU35" s="480"/>
      <c r="CV35" s="481"/>
      <c r="CW35" s="481"/>
      <c r="CX35" s="481"/>
      <c r="CY35" s="482"/>
    </row>
    <row r="36" spans="1:103" s="91" customFormat="1" ht="31.5" customHeight="1" x14ac:dyDescent="0.15">
      <c r="A36" s="517"/>
      <c r="B36" s="102"/>
      <c r="C36" s="220" t="str">
        <f t="shared" ca="1" si="3"/>
        <v/>
      </c>
      <c r="D36" s="521"/>
      <c r="E36" s="522"/>
      <c r="F36" s="522"/>
      <c r="G36" s="522"/>
      <c r="H36" s="522"/>
      <c r="I36" s="522"/>
      <c r="J36" s="522"/>
      <c r="K36" s="527"/>
      <c r="L36" s="528"/>
      <c r="M36" s="528"/>
      <c r="N36" s="528"/>
      <c r="O36" s="528"/>
      <c r="P36" s="528"/>
      <c r="Q36" s="528"/>
      <c r="R36" s="533"/>
      <c r="S36" s="534"/>
      <c r="T36" s="533"/>
      <c r="U36" s="534"/>
      <c r="V36" s="527"/>
      <c r="W36" s="528"/>
      <c r="X36" s="528"/>
      <c r="Y36" s="528"/>
      <c r="Z36" s="528"/>
      <c r="AA36" s="528"/>
      <c r="AB36" s="528"/>
      <c r="AC36" s="528"/>
      <c r="AD36" s="527"/>
      <c r="AE36" s="528"/>
      <c r="AF36" s="528"/>
      <c r="AG36" s="528"/>
      <c r="AH36" s="528"/>
      <c r="AI36" s="528"/>
      <c r="AJ36" s="528"/>
      <c r="AK36" s="541"/>
      <c r="AL36" s="527"/>
      <c r="AM36" s="528"/>
      <c r="AN36" s="528"/>
      <c r="AO36" s="528"/>
      <c r="AP36" s="528"/>
      <c r="AQ36" s="528"/>
      <c r="AR36" s="541"/>
      <c r="AS36" s="546"/>
      <c r="AT36" s="547"/>
      <c r="AU36" s="547"/>
      <c r="AV36" s="547"/>
      <c r="AW36" s="547"/>
      <c r="AX36" s="547"/>
      <c r="AY36" s="548"/>
      <c r="AZ36" s="493"/>
      <c r="BA36" s="494"/>
      <c r="BB36" s="105">
        <v>2</v>
      </c>
      <c r="BC36" s="483"/>
      <c r="BD36" s="484"/>
      <c r="BE36" s="484"/>
      <c r="BF36" s="485"/>
      <c r="BG36" s="486"/>
      <c r="BH36" s="487"/>
      <c r="BI36" s="224"/>
      <c r="BJ36" s="488"/>
      <c r="BK36" s="489"/>
      <c r="BL36" s="489"/>
      <c r="BM36" s="489"/>
      <c r="BN36" s="489"/>
      <c r="BO36" s="490"/>
      <c r="BP36" s="488"/>
      <c r="BQ36" s="489"/>
      <c r="BR36" s="489"/>
      <c r="BS36" s="489"/>
      <c r="BT36" s="489"/>
      <c r="BU36" s="490"/>
      <c r="BV36" s="488"/>
      <c r="BW36" s="489"/>
      <c r="BX36" s="489"/>
      <c r="BY36" s="489"/>
      <c r="BZ36" s="489"/>
      <c r="CA36" s="490"/>
      <c r="CB36" s="483"/>
      <c r="CC36" s="484"/>
      <c r="CD36" s="484"/>
      <c r="CE36" s="485"/>
      <c r="CF36" s="477"/>
      <c r="CG36" s="478"/>
      <c r="CH36" s="478"/>
      <c r="CI36" s="478"/>
      <c r="CJ36" s="479"/>
      <c r="CK36" s="477"/>
      <c r="CL36" s="478"/>
      <c r="CM36" s="478"/>
      <c r="CN36" s="478"/>
      <c r="CO36" s="479"/>
      <c r="CP36" s="477"/>
      <c r="CQ36" s="478"/>
      <c r="CR36" s="478"/>
      <c r="CS36" s="478"/>
      <c r="CT36" s="479"/>
      <c r="CU36" s="480"/>
      <c r="CV36" s="481"/>
      <c r="CW36" s="481"/>
      <c r="CX36" s="481"/>
      <c r="CY36" s="482"/>
    </row>
    <row r="37" spans="1:103" s="91" customFormat="1" ht="31.5" customHeight="1" x14ac:dyDescent="0.15">
      <c r="A37" s="517"/>
      <c r="B37" s="102"/>
      <c r="C37" s="220" t="str">
        <f t="shared" ca="1" si="3"/>
        <v/>
      </c>
      <c r="D37" s="521"/>
      <c r="E37" s="522"/>
      <c r="F37" s="522"/>
      <c r="G37" s="522"/>
      <c r="H37" s="522"/>
      <c r="I37" s="522"/>
      <c r="J37" s="522"/>
      <c r="K37" s="527"/>
      <c r="L37" s="528"/>
      <c r="M37" s="528"/>
      <c r="N37" s="528"/>
      <c r="O37" s="528"/>
      <c r="P37" s="528"/>
      <c r="Q37" s="528"/>
      <c r="R37" s="533"/>
      <c r="S37" s="534"/>
      <c r="T37" s="533"/>
      <c r="U37" s="534"/>
      <c r="V37" s="527"/>
      <c r="W37" s="528"/>
      <c r="X37" s="528"/>
      <c r="Y37" s="528"/>
      <c r="Z37" s="528"/>
      <c r="AA37" s="528"/>
      <c r="AB37" s="528"/>
      <c r="AC37" s="528"/>
      <c r="AD37" s="527"/>
      <c r="AE37" s="528"/>
      <c r="AF37" s="528"/>
      <c r="AG37" s="528"/>
      <c r="AH37" s="528"/>
      <c r="AI37" s="528"/>
      <c r="AJ37" s="528"/>
      <c r="AK37" s="541"/>
      <c r="AL37" s="527"/>
      <c r="AM37" s="528"/>
      <c r="AN37" s="528"/>
      <c r="AO37" s="528"/>
      <c r="AP37" s="528"/>
      <c r="AQ37" s="528"/>
      <c r="AR37" s="541"/>
      <c r="AS37" s="546"/>
      <c r="AT37" s="547"/>
      <c r="AU37" s="547"/>
      <c r="AV37" s="547"/>
      <c r="AW37" s="547"/>
      <c r="AX37" s="547"/>
      <c r="AY37" s="548"/>
      <c r="AZ37" s="493"/>
      <c r="BA37" s="494"/>
      <c r="BB37" s="105">
        <v>3</v>
      </c>
      <c r="BC37" s="483"/>
      <c r="BD37" s="484"/>
      <c r="BE37" s="484"/>
      <c r="BF37" s="485"/>
      <c r="BG37" s="486"/>
      <c r="BH37" s="487"/>
      <c r="BI37" s="224"/>
      <c r="BJ37" s="488"/>
      <c r="BK37" s="489"/>
      <c r="BL37" s="489"/>
      <c r="BM37" s="489"/>
      <c r="BN37" s="489"/>
      <c r="BO37" s="490"/>
      <c r="BP37" s="488"/>
      <c r="BQ37" s="489"/>
      <c r="BR37" s="489"/>
      <c r="BS37" s="489"/>
      <c r="BT37" s="489"/>
      <c r="BU37" s="490"/>
      <c r="BV37" s="488"/>
      <c r="BW37" s="489"/>
      <c r="BX37" s="489"/>
      <c r="BY37" s="489"/>
      <c r="BZ37" s="489"/>
      <c r="CA37" s="490"/>
      <c r="CB37" s="483"/>
      <c r="CC37" s="484"/>
      <c r="CD37" s="484"/>
      <c r="CE37" s="485"/>
      <c r="CF37" s="477"/>
      <c r="CG37" s="478"/>
      <c r="CH37" s="478"/>
      <c r="CI37" s="478"/>
      <c r="CJ37" s="479"/>
      <c r="CK37" s="477"/>
      <c r="CL37" s="478"/>
      <c r="CM37" s="478"/>
      <c r="CN37" s="478"/>
      <c r="CO37" s="479"/>
      <c r="CP37" s="477"/>
      <c r="CQ37" s="478"/>
      <c r="CR37" s="478"/>
      <c r="CS37" s="478"/>
      <c r="CT37" s="479"/>
      <c r="CU37" s="480"/>
      <c r="CV37" s="481"/>
      <c r="CW37" s="481"/>
      <c r="CX37" s="481"/>
      <c r="CY37" s="482"/>
    </row>
    <row r="38" spans="1:103" s="91" customFormat="1" ht="31.5" customHeight="1" x14ac:dyDescent="0.15">
      <c r="A38" s="517"/>
      <c r="B38" s="102"/>
      <c r="C38" s="220" t="str">
        <f t="shared" ca="1" si="3"/>
        <v/>
      </c>
      <c r="D38" s="521"/>
      <c r="E38" s="522"/>
      <c r="F38" s="522"/>
      <c r="G38" s="522"/>
      <c r="H38" s="522"/>
      <c r="I38" s="522"/>
      <c r="J38" s="522"/>
      <c r="K38" s="527"/>
      <c r="L38" s="528"/>
      <c r="M38" s="528"/>
      <c r="N38" s="528"/>
      <c r="O38" s="528"/>
      <c r="P38" s="528"/>
      <c r="Q38" s="528"/>
      <c r="R38" s="533"/>
      <c r="S38" s="534"/>
      <c r="T38" s="533"/>
      <c r="U38" s="534"/>
      <c r="V38" s="527"/>
      <c r="W38" s="528"/>
      <c r="X38" s="528"/>
      <c r="Y38" s="528"/>
      <c r="Z38" s="528"/>
      <c r="AA38" s="528"/>
      <c r="AB38" s="528"/>
      <c r="AC38" s="528"/>
      <c r="AD38" s="527"/>
      <c r="AE38" s="528"/>
      <c r="AF38" s="528"/>
      <c r="AG38" s="528"/>
      <c r="AH38" s="528"/>
      <c r="AI38" s="528"/>
      <c r="AJ38" s="528"/>
      <c r="AK38" s="541"/>
      <c r="AL38" s="527"/>
      <c r="AM38" s="528"/>
      <c r="AN38" s="528"/>
      <c r="AO38" s="528"/>
      <c r="AP38" s="528"/>
      <c r="AQ38" s="528"/>
      <c r="AR38" s="541"/>
      <c r="AS38" s="546"/>
      <c r="AT38" s="547"/>
      <c r="AU38" s="547"/>
      <c r="AV38" s="547"/>
      <c r="AW38" s="547"/>
      <c r="AX38" s="547"/>
      <c r="AY38" s="548"/>
      <c r="AZ38" s="493"/>
      <c r="BA38" s="494"/>
      <c r="BB38" s="105">
        <v>4</v>
      </c>
      <c r="BC38" s="483"/>
      <c r="BD38" s="484"/>
      <c r="BE38" s="484"/>
      <c r="BF38" s="485"/>
      <c r="BG38" s="486"/>
      <c r="BH38" s="487"/>
      <c r="BI38" s="224"/>
      <c r="BJ38" s="488"/>
      <c r="BK38" s="489"/>
      <c r="BL38" s="489"/>
      <c r="BM38" s="489"/>
      <c r="BN38" s="489"/>
      <c r="BO38" s="490"/>
      <c r="BP38" s="488"/>
      <c r="BQ38" s="489"/>
      <c r="BR38" s="489"/>
      <c r="BS38" s="489"/>
      <c r="BT38" s="489"/>
      <c r="BU38" s="490"/>
      <c r="BV38" s="488"/>
      <c r="BW38" s="489"/>
      <c r="BX38" s="489"/>
      <c r="BY38" s="489"/>
      <c r="BZ38" s="489"/>
      <c r="CA38" s="490"/>
      <c r="CB38" s="483"/>
      <c r="CC38" s="484"/>
      <c r="CD38" s="484"/>
      <c r="CE38" s="485"/>
      <c r="CF38" s="477"/>
      <c r="CG38" s="478"/>
      <c r="CH38" s="478"/>
      <c r="CI38" s="478"/>
      <c r="CJ38" s="479"/>
      <c r="CK38" s="477"/>
      <c r="CL38" s="478"/>
      <c r="CM38" s="478"/>
      <c r="CN38" s="478"/>
      <c r="CO38" s="479"/>
      <c r="CP38" s="477"/>
      <c r="CQ38" s="478"/>
      <c r="CR38" s="478"/>
      <c r="CS38" s="478"/>
      <c r="CT38" s="479"/>
      <c r="CU38" s="480"/>
      <c r="CV38" s="481"/>
      <c r="CW38" s="481"/>
      <c r="CX38" s="481"/>
      <c r="CY38" s="482"/>
    </row>
    <row r="39" spans="1:103" s="91" customFormat="1" ht="31.5" customHeight="1" x14ac:dyDescent="0.15">
      <c r="A39" s="517"/>
      <c r="B39" s="102"/>
      <c r="C39" s="220" t="str">
        <f t="shared" ca="1" si="3"/>
        <v/>
      </c>
      <c r="D39" s="521"/>
      <c r="E39" s="522"/>
      <c r="F39" s="522"/>
      <c r="G39" s="522"/>
      <c r="H39" s="522"/>
      <c r="I39" s="522"/>
      <c r="J39" s="522"/>
      <c r="K39" s="527"/>
      <c r="L39" s="528"/>
      <c r="M39" s="528"/>
      <c r="N39" s="528"/>
      <c r="O39" s="528"/>
      <c r="P39" s="528"/>
      <c r="Q39" s="528"/>
      <c r="R39" s="533"/>
      <c r="S39" s="534"/>
      <c r="T39" s="533"/>
      <c r="U39" s="534"/>
      <c r="V39" s="527"/>
      <c r="W39" s="528"/>
      <c r="X39" s="528"/>
      <c r="Y39" s="528"/>
      <c r="Z39" s="528"/>
      <c r="AA39" s="528"/>
      <c r="AB39" s="528"/>
      <c r="AC39" s="528"/>
      <c r="AD39" s="527"/>
      <c r="AE39" s="528"/>
      <c r="AF39" s="528"/>
      <c r="AG39" s="528"/>
      <c r="AH39" s="528"/>
      <c r="AI39" s="528"/>
      <c r="AJ39" s="528"/>
      <c r="AK39" s="541"/>
      <c r="AL39" s="527"/>
      <c r="AM39" s="528"/>
      <c r="AN39" s="528"/>
      <c r="AO39" s="528"/>
      <c r="AP39" s="528"/>
      <c r="AQ39" s="528"/>
      <c r="AR39" s="541"/>
      <c r="AS39" s="546"/>
      <c r="AT39" s="547"/>
      <c r="AU39" s="547"/>
      <c r="AV39" s="547"/>
      <c r="AW39" s="547"/>
      <c r="AX39" s="547"/>
      <c r="AY39" s="548"/>
      <c r="AZ39" s="493"/>
      <c r="BA39" s="494"/>
      <c r="BB39" s="105">
        <v>5</v>
      </c>
      <c r="BC39" s="483"/>
      <c r="BD39" s="484"/>
      <c r="BE39" s="484"/>
      <c r="BF39" s="485"/>
      <c r="BG39" s="486"/>
      <c r="BH39" s="487"/>
      <c r="BI39" s="224"/>
      <c r="BJ39" s="488"/>
      <c r="BK39" s="489"/>
      <c r="BL39" s="489"/>
      <c r="BM39" s="489"/>
      <c r="BN39" s="489"/>
      <c r="BO39" s="490"/>
      <c r="BP39" s="488"/>
      <c r="BQ39" s="489"/>
      <c r="BR39" s="489"/>
      <c r="BS39" s="489"/>
      <c r="BT39" s="489"/>
      <c r="BU39" s="490"/>
      <c r="BV39" s="488"/>
      <c r="BW39" s="489"/>
      <c r="BX39" s="489"/>
      <c r="BY39" s="489"/>
      <c r="BZ39" s="489"/>
      <c r="CA39" s="490"/>
      <c r="CB39" s="483"/>
      <c r="CC39" s="484"/>
      <c r="CD39" s="484"/>
      <c r="CE39" s="485"/>
      <c r="CF39" s="477"/>
      <c r="CG39" s="478"/>
      <c r="CH39" s="478"/>
      <c r="CI39" s="478"/>
      <c r="CJ39" s="479"/>
      <c r="CK39" s="477"/>
      <c r="CL39" s="478"/>
      <c r="CM39" s="478"/>
      <c r="CN39" s="478"/>
      <c r="CO39" s="479"/>
      <c r="CP39" s="477"/>
      <c r="CQ39" s="478"/>
      <c r="CR39" s="478"/>
      <c r="CS39" s="478"/>
      <c r="CT39" s="479"/>
      <c r="CU39" s="480"/>
      <c r="CV39" s="481"/>
      <c r="CW39" s="481"/>
      <c r="CX39" s="481"/>
      <c r="CY39" s="482"/>
    </row>
    <row r="40" spans="1:103" s="91" customFormat="1" ht="31.5" customHeight="1" x14ac:dyDescent="0.15">
      <c r="A40" s="518"/>
      <c r="B40" s="107"/>
      <c r="C40" s="219" t="str">
        <f t="shared" ca="1" si="3"/>
        <v/>
      </c>
      <c r="D40" s="523"/>
      <c r="E40" s="524"/>
      <c r="F40" s="524"/>
      <c r="G40" s="524"/>
      <c r="H40" s="524"/>
      <c r="I40" s="524"/>
      <c r="J40" s="524"/>
      <c r="K40" s="529"/>
      <c r="L40" s="530"/>
      <c r="M40" s="530"/>
      <c r="N40" s="530"/>
      <c r="O40" s="530"/>
      <c r="P40" s="530"/>
      <c r="Q40" s="530"/>
      <c r="R40" s="535"/>
      <c r="S40" s="537"/>
      <c r="T40" s="535"/>
      <c r="U40" s="537"/>
      <c r="V40" s="529"/>
      <c r="W40" s="539"/>
      <c r="X40" s="539"/>
      <c r="Y40" s="539"/>
      <c r="Z40" s="539"/>
      <c r="AA40" s="539"/>
      <c r="AB40" s="539"/>
      <c r="AC40" s="539"/>
      <c r="AD40" s="529"/>
      <c r="AE40" s="539"/>
      <c r="AF40" s="539"/>
      <c r="AG40" s="539"/>
      <c r="AH40" s="539"/>
      <c r="AI40" s="539"/>
      <c r="AJ40" s="539"/>
      <c r="AK40" s="542"/>
      <c r="AL40" s="529"/>
      <c r="AM40" s="539"/>
      <c r="AN40" s="539"/>
      <c r="AO40" s="539"/>
      <c r="AP40" s="539"/>
      <c r="AQ40" s="539"/>
      <c r="AR40" s="542"/>
      <c r="AS40" s="549"/>
      <c r="AT40" s="550"/>
      <c r="AU40" s="550"/>
      <c r="AV40" s="550"/>
      <c r="AW40" s="550"/>
      <c r="AX40" s="550"/>
      <c r="AY40" s="551"/>
      <c r="AZ40" s="495"/>
      <c r="BA40" s="496"/>
      <c r="BB40" s="108">
        <v>6</v>
      </c>
      <c r="BC40" s="505"/>
      <c r="BD40" s="506"/>
      <c r="BE40" s="506"/>
      <c r="BF40" s="507"/>
      <c r="BG40" s="508"/>
      <c r="BH40" s="509"/>
      <c r="BI40" s="225"/>
      <c r="BJ40" s="510"/>
      <c r="BK40" s="511"/>
      <c r="BL40" s="511"/>
      <c r="BM40" s="511"/>
      <c r="BN40" s="511"/>
      <c r="BO40" s="512"/>
      <c r="BP40" s="510"/>
      <c r="BQ40" s="511"/>
      <c r="BR40" s="511"/>
      <c r="BS40" s="511"/>
      <c r="BT40" s="511"/>
      <c r="BU40" s="512"/>
      <c r="BV40" s="510"/>
      <c r="BW40" s="511"/>
      <c r="BX40" s="511"/>
      <c r="BY40" s="511"/>
      <c r="BZ40" s="511"/>
      <c r="CA40" s="512"/>
      <c r="CB40" s="505"/>
      <c r="CC40" s="506"/>
      <c r="CD40" s="506"/>
      <c r="CE40" s="507"/>
      <c r="CF40" s="477"/>
      <c r="CG40" s="478"/>
      <c r="CH40" s="478"/>
      <c r="CI40" s="478"/>
      <c r="CJ40" s="479"/>
      <c r="CK40" s="477"/>
      <c r="CL40" s="478"/>
      <c r="CM40" s="478"/>
      <c r="CN40" s="478"/>
      <c r="CO40" s="479"/>
      <c r="CP40" s="477"/>
      <c r="CQ40" s="478"/>
      <c r="CR40" s="478"/>
      <c r="CS40" s="478"/>
      <c r="CT40" s="479"/>
      <c r="CU40" s="480"/>
      <c r="CV40" s="481"/>
      <c r="CW40" s="481"/>
      <c r="CX40" s="481"/>
      <c r="CY40" s="482"/>
    </row>
    <row r="41" spans="1:103" s="91" customFormat="1" ht="16.149999999999999" customHeight="1" x14ac:dyDescent="0.15">
      <c r="A41" s="516">
        <v>6</v>
      </c>
      <c r="B41" s="102"/>
      <c r="C41" s="222" t="str">
        <f t="shared" ca="1" si="3"/>
        <v>@</v>
      </c>
      <c r="D41" s="519" t="s">
        <v>578</v>
      </c>
      <c r="E41" s="520"/>
      <c r="F41" s="520"/>
      <c r="G41" s="520"/>
      <c r="H41" s="520"/>
      <c r="I41" s="520"/>
      <c r="J41" s="520"/>
      <c r="K41" s="525" t="s">
        <v>560</v>
      </c>
      <c r="L41" s="526"/>
      <c r="M41" s="526"/>
      <c r="N41" s="526"/>
      <c r="O41" s="526"/>
      <c r="P41" s="526"/>
      <c r="Q41" s="526"/>
      <c r="R41" s="531"/>
      <c r="S41" s="532"/>
      <c r="T41" s="531" t="s">
        <v>284</v>
      </c>
      <c r="U41" s="532"/>
      <c r="V41" s="525" t="s">
        <v>630</v>
      </c>
      <c r="W41" s="538"/>
      <c r="X41" s="538"/>
      <c r="Y41" s="538"/>
      <c r="Z41" s="538"/>
      <c r="AA41" s="538"/>
      <c r="AB41" s="538"/>
      <c r="AC41" s="538"/>
      <c r="AD41" s="525" t="s">
        <v>561</v>
      </c>
      <c r="AE41" s="526"/>
      <c r="AF41" s="526"/>
      <c r="AG41" s="526"/>
      <c r="AH41" s="526"/>
      <c r="AI41" s="526"/>
      <c r="AJ41" s="526"/>
      <c r="AK41" s="540"/>
      <c r="AL41" s="525" t="s">
        <v>563</v>
      </c>
      <c r="AM41" s="538"/>
      <c r="AN41" s="538"/>
      <c r="AO41" s="538"/>
      <c r="AP41" s="538"/>
      <c r="AQ41" s="538"/>
      <c r="AR41" s="540"/>
      <c r="AS41" s="543"/>
      <c r="AT41" s="544"/>
      <c r="AU41" s="544"/>
      <c r="AV41" s="544"/>
      <c r="AW41" s="544"/>
      <c r="AX41" s="544"/>
      <c r="AY41" s="545"/>
      <c r="AZ41" s="491" t="s">
        <v>797</v>
      </c>
      <c r="BA41" s="492"/>
      <c r="BB41" s="103">
        <v>1</v>
      </c>
      <c r="BC41" s="497">
        <v>44166</v>
      </c>
      <c r="BD41" s="498"/>
      <c r="BE41" s="498"/>
      <c r="BF41" s="499"/>
      <c r="BG41" s="500" t="s">
        <v>568</v>
      </c>
      <c r="BH41" s="501"/>
      <c r="BI41" s="226"/>
      <c r="BJ41" s="502"/>
      <c r="BK41" s="503"/>
      <c r="BL41" s="503"/>
      <c r="BM41" s="503"/>
      <c r="BN41" s="503"/>
      <c r="BO41" s="504"/>
      <c r="BP41" s="502"/>
      <c r="BQ41" s="503"/>
      <c r="BR41" s="503"/>
      <c r="BS41" s="503"/>
      <c r="BT41" s="503"/>
      <c r="BU41" s="504"/>
      <c r="BV41" s="502"/>
      <c r="BW41" s="503"/>
      <c r="BX41" s="503"/>
      <c r="BY41" s="503"/>
      <c r="BZ41" s="503"/>
      <c r="CA41" s="504"/>
      <c r="CB41" s="497"/>
      <c r="CC41" s="498"/>
      <c r="CD41" s="498"/>
      <c r="CE41" s="499"/>
      <c r="CF41" s="477"/>
      <c r="CG41" s="478"/>
      <c r="CH41" s="478"/>
      <c r="CI41" s="478"/>
      <c r="CJ41" s="479"/>
      <c r="CK41" s="477"/>
      <c r="CL41" s="478"/>
      <c r="CM41" s="478"/>
      <c r="CN41" s="478"/>
      <c r="CO41" s="479"/>
      <c r="CP41" s="477"/>
      <c r="CQ41" s="478"/>
      <c r="CR41" s="478"/>
      <c r="CS41" s="478"/>
      <c r="CT41" s="479"/>
      <c r="CU41" s="480"/>
      <c r="CV41" s="481"/>
      <c r="CW41" s="481"/>
      <c r="CX41" s="481"/>
      <c r="CY41" s="482"/>
    </row>
    <row r="42" spans="1:103" s="91" customFormat="1" ht="16.5" x14ac:dyDescent="0.15">
      <c r="A42" s="517"/>
      <c r="B42" s="102"/>
      <c r="C42" s="220" t="str">
        <f t="shared" ca="1" si="3"/>
        <v>@</v>
      </c>
      <c r="D42" s="521"/>
      <c r="E42" s="522"/>
      <c r="F42" s="522"/>
      <c r="G42" s="522"/>
      <c r="H42" s="522"/>
      <c r="I42" s="522"/>
      <c r="J42" s="522"/>
      <c r="K42" s="527"/>
      <c r="L42" s="528"/>
      <c r="M42" s="528"/>
      <c r="N42" s="528"/>
      <c r="O42" s="528"/>
      <c r="P42" s="528"/>
      <c r="Q42" s="528"/>
      <c r="R42" s="533"/>
      <c r="S42" s="534"/>
      <c r="T42" s="533"/>
      <c r="U42" s="534"/>
      <c r="V42" s="527"/>
      <c r="W42" s="528"/>
      <c r="X42" s="528"/>
      <c r="Y42" s="528"/>
      <c r="Z42" s="528"/>
      <c r="AA42" s="528"/>
      <c r="AB42" s="528"/>
      <c r="AC42" s="528"/>
      <c r="AD42" s="527"/>
      <c r="AE42" s="528"/>
      <c r="AF42" s="528"/>
      <c r="AG42" s="528"/>
      <c r="AH42" s="528"/>
      <c r="AI42" s="528"/>
      <c r="AJ42" s="528"/>
      <c r="AK42" s="541"/>
      <c r="AL42" s="527"/>
      <c r="AM42" s="528"/>
      <c r="AN42" s="528"/>
      <c r="AO42" s="528"/>
      <c r="AP42" s="528"/>
      <c r="AQ42" s="528"/>
      <c r="AR42" s="541"/>
      <c r="AS42" s="546"/>
      <c r="AT42" s="547"/>
      <c r="AU42" s="547"/>
      <c r="AV42" s="547"/>
      <c r="AW42" s="547"/>
      <c r="AX42" s="547"/>
      <c r="AY42" s="548"/>
      <c r="AZ42" s="493"/>
      <c r="BA42" s="494"/>
      <c r="BB42" s="105">
        <v>2</v>
      </c>
      <c r="BC42" s="483"/>
      <c r="BD42" s="484"/>
      <c r="BE42" s="484"/>
      <c r="BF42" s="485"/>
      <c r="BG42" s="486"/>
      <c r="BH42" s="487"/>
      <c r="BI42" s="224"/>
      <c r="BJ42" s="488"/>
      <c r="BK42" s="489"/>
      <c r="BL42" s="489"/>
      <c r="BM42" s="489"/>
      <c r="BN42" s="489"/>
      <c r="BO42" s="490"/>
      <c r="BP42" s="488"/>
      <c r="BQ42" s="489"/>
      <c r="BR42" s="489"/>
      <c r="BS42" s="489"/>
      <c r="BT42" s="489"/>
      <c r="BU42" s="490"/>
      <c r="BV42" s="488"/>
      <c r="BW42" s="489"/>
      <c r="BX42" s="489"/>
      <c r="BY42" s="489"/>
      <c r="BZ42" s="489"/>
      <c r="CA42" s="490"/>
      <c r="CB42" s="483"/>
      <c r="CC42" s="484"/>
      <c r="CD42" s="484"/>
      <c r="CE42" s="485"/>
      <c r="CF42" s="477"/>
      <c r="CG42" s="478"/>
      <c r="CH42" s="478"/>
      <c r="CI42" s="478"/>
      <c r="CJ42" s="479"/>
      <c r="CK42" s="477"/>
      <c r="CL42" s="478"/>
      <c r="CM42" s="478"/>
      <c r="CN42" s="478"/>
      <c r="CO42" s="479"/>
      <c r="CP42" s="477"/>
      <c r="CQ42" s="478"/>
      <c r="CR42" s="478"/>
      <c r="CS42" s="478"/>
      <c r="CT42" s="479"/>
      <c r="CU42" s="480"/>
      <c r="CV42" s="481"/>
      <c r="CW42" s="481"/>
      <c r="CX42" s="481"/>
      <c r="CY42" s="482"/>
    </row>
    <row r="43" spans="1:103" s="91" customFormat="1" ht="16.5" x14ac:dyDescent="0.15">
      <c r="A43" s="517"/>
      <c r="B43" s="102"/>
      <c r="C43" s="220" t="str">
        <f t="shared" ca="1" si="3"/>
        <v>@</v>
      </c>
      <c r="D43" s="521"/>
      <c r="E43" s="522"/>
      <c r="F43" s="522"/>
      <c r="G43" s="522"/>
      <c r="H43" s="522"/>
      <c r="I43" s="522"/>
      <c r="J43" s="522"/>
      <c r="K43" s="527"/>
      <c r="L43" s="528"/>
      <c r="M43" s="528"/>
      <c r="N43" s="528"/>
      <c r="O43" s="528"/>
      <c r="P43" s="528"/>
      <c r="Q43" s="528"/>
      <c r="R43" s="533"/>
      <c r="S43" s="534"/>
      <c r="T43" s="533"/>
      <c r="U43" s="534"/>
      <c r="V43" s="527"/>
      <c r="W43" s="528"/>
      <c r="X43" s="528"/>
      <c r="Y43" s="528"/>
      <c r="Z43" s="528"/>
      <c r="AA43" s="528"/>
      <c r="AB43" s="528"/>
      <c r="AC43" s="528"/>
      <c r="AD43" s="527"/>
      <c r="AE43" s="528"/>
      <c r="AF43" s="528"/>
      <c r="AG43" s="528"/>
      <c r="AH43" s="528"/>
      <c r="AI43" s="528"/>
      <c r="AJ43" s="528"/>
      <c r="AK43" s="541"/>
      <c r="AL43" s="527"/>
      <c r="AM43" s="528"/>
      <c r="AN43" s="528"/>
      <c r="AO43" s="528"/>
      <c r="AP43" s="528"/>
      <c r="AQ43" s="528"/>
      <c r="AR43" s="541"/>
      <c r="AS43" s="546"/>
      <c r="AT43" s="547"/>
      <c r="AU43" s="547"/>
      <c r="AV43" s="547"/>
      <c r="AW43" s="547"/>
      <c r="AX43" s="547"/>
      <c r="AY43" s="548"/>
      <c r="AZ43" s="493"/>
      <c r="BA43" s="494"/>
      <c r="BB43" s="105">
        <v>3</v>
      </c>
      <c r="BC43" s="483"/>
      <c r="BD43" s="484"/>
      <c r="BE43" s="484"/>
      <c r="BF43" s="485"/>
      <c r="BG43" s="486"/>
      <c r="BH43" s="487"/>
      <c r="BI43" s="224"/>
      <c r="BJ43" s="488"/>
      <c r="BK43" s="489"/>
      <c r="BL43" s="489"/>
      <c r="BM43" s="489"/>
      <c r="BN43" s="489"/>
      <c r="BO43" s="490"/>
      <c r="BP43" s="488"/>
      <c r="BQ43" s="489"/>
      <c r="BR43" s="489"/>
      <c r="BS43" s="489"/>
      <c r="BT43" s="489"/>
      <c r="BU43" s="490"/>
      <c r="BV43" s="488"/>
      <c r="BW43" s="489"/>
      <c r="BX43" s="489"/>
      <c r="BY43" s="489"/>
      <c r="BZ43" s="489"/>
      <c r="CA43" s="490"/>
      <c r="CB43" s="483"/>
      <c r="CC43" s="484"/>
      <c r="CD43" s="484"/>
      <c r="CE43" s="485"/>
      <c r="CF43" s="477"/>
      <c r="CG43" s="478"/>
      <c r="CH43" s="478"/>
      <c r="CI43" s="478"/>
      <c r="CJ43" s="479"/>
      <c r="CK43" s="477"/>
      <c r="CL43" s="478"/>
      <c r="CM43" s="478"/>
      <c r="CN43" s="478"/>
      <c r="CO43" s="479"/>
      <c r="CP43" s="477"/>
      <c r="CQ43" s="478"/>
      <c r="CR43" s="478"/>
      <c r="CS43" s="478"/>
      <c r="CT43" s="479"/>
      <c r="CU43" s="480"/>
      <c r="CV43" s="481"/>
      <c r="CW43" s="481"/>
      <c r="CX43" s="481"/>
      <c r="CY43" s="482"/>
    </row>
    <row r="44" spans="1:103" s="91" customFormat="1" ht="16.5" x14ac:dyDescent="0.15">
      <c r="A44" s="517"/>
      <c r="B44" s="102"/>
      <c r="C44" s="220" t="str">
        <f t="shared" ca="1" si="3"/>
        <v>@</v>
      </c>
      <c r="D44" s="521"/>
      <c r="E44" s="522"/>
      <c r="F44" s="522"/>
      <c r="G44" s="522"/>
      <c r="H44" s="522"/>
      <c r="I44" s="522"/>
      <c r="J44" s="522"/>
      <c r="K44" s="527"/>
      <c r="L44" s="528"/>
      <c r="M44" s="528"/>
      <c r="N44" s="528"/>
      <c r="O44" s="528"/>
      <c r="P44" s="528"/>
      <c r="Q44" s="528"/>
      <c r="R44" s="533"/>
      <c r="S44" s="534"/>
      <c r="T44" s="533"/>
      <c r="U44" s="534"/>
      <c r="V44" s="527"/>
      <c r="W44" s="528"/>
      <c r="X44" s="528"/>
      <c r="Y44" s="528"/>
      <c r="Z44" s="528"/>
      <c r="AA44" s="528"/>
      <c r="AB44" s="528"/>
      <c r="AC44" s="528"/>
      <c r="AD44" s="527"/>
      <c r="AE44" s="528"/>
      <c r="AF44" s="528"/>
      <c r="AG44" s="528"/>
      <c r="AH44" s="528"/>
      <c r="AI44" s="528"/>
      <c r="AJ44" s="528"/>
      <c r="AK44" s="541"/>
      <c r="AL44" s="527"/>
      <c r="AM44" s="528"/>
      <c r="AN44" s="528"/>
      <c r="AO44" s="528"/>
      <c r="AP44" s="528"/>
      <c r="AQ44" s="528"/>
      <c r="AR44" s="541"/>
      <c r="AS44" s="546"/>
      <c r="AT44" s="547"/>
      <c r="AU44" s="547"/>
      <c r="AV44" s="547"/>
      <c r="AW44" s="547"/>
      <c r="AX44" s="547"/>
      <c r="AY44" s="548"/>
      <c r="AZ44" s="493"/>
      <c r="BA44" s="494"/>
      <c r="BB44" s="105">
        <v>4</v>
      </c>
      <c r="BC44" s="483"/>
      <c r="BD44" s="484"/>
      <c r="BE44" s="484"/>
      <c r="BF44" s="485"/>
      <c r="BG44" s="486"/>
      <c r="BH44" s="487"/>
      <c r="BI44" s="224"/>
      <c r="BJ44" s="488"/>
      <c r="BK44" s="489"/>
      <c r="BL44" s="489"/>
      <c r="BM44" s="489"/>
      <c r="BN44" s="489"/>
      <c r="BO44" s="490"/>
      <c r="BP44" s="488"/>
      <c r="BQ44" s="489"/>
      <c r="BR44" s="489"/>
      <c r="BS44" s="489"/>
      <c r="BT44" s="489"/>
      <c r="BU44" s="490"/>
      <c r="BV44" s="488"/>
      <c r="BW44" s="489"/>
      <c r="BX44" s="489"/>
      <c r="BY44" s="489"/>
      <c r="BZ44" s="489"/>
      <c r="CA44" s="490"/>
      <c r="CB44" s="483"/>
      <c r="CC44" s="484"/>
      <c r="CD44" s="484"/>
      <c r="CE44" s="485"/>
      <c r="CF44" s="477"/>
      <c r="CG44" s="478"/>
      <c r="CH44" s="478"/>
      <c r="CI44" s="478"/>
      <c r="CJ44" s="479"/>
      <c r="CK44" s="477"/>
      <c r="CL44" s="478"/>
      <c r="CM44" s="478"/>
      <c r="CN44" s="478"/>
      <c r="CO44" s="479"/>
      <c r="CP44" s="477"/>
      <c r="CQ44" s="478"/>
      <c r="CR44" s="478"/>
      <c r="CS44" s="478"/>
      <c r="CT44" s="479"/>
      <c r="CU44" s="480"/>
      <c r="CV44" s="481"/>
      <c r="CW44" s="481"/>
      <c r="CX44" s="481"/>
      <c r="CY44" s="482"/>
    </row>
    <row r="45" spans="1:103" s="91" customFormat="1" ht="16.5" x14ac:dyDescent="0.15">
      <c r="A45" s="517"/>
      <c r="B45" s="102"/>
      <c r="C45" s="220" t="str">
        <f t="shared" ca="1" si="3"/>
        <v>@</v>
      </c>
      <c r="D45" s="521"/>
      <c r="E45" s="522"/>
      <c r="F45" s="522"/>
      <c r="G45" s="522"/>
      <c r="H45" s="522"/>
      <c r="I45" s="522"/>
      <c r="J45" s="522"/>
      <c r="K45" s="527"/>
      <c r="L45" s="528"/>
      <c r="M45" s="528"/>
      <c r="N45" s="528"/>
      <c r="O45" s="528"/>
      <c r="P45" s="528"/>
      <c r="Q45" s="528"/>
      <c r="R45" s="533"/>
      <c r="S45" s="534"/>
      <c r="T45" s="533"/>
      <c r="U45" s="534"/>
      <c r="V45" s="527"/>
      <c r="W45" s="528"/>
      <c r="X45" s="528"/>
      <c r="Y45" s="528"/>
      <c r="Z45" s="528"/>
      <c r="AA45" s="528"/>
      <c r="AB45" s="528"/>
      <c r="AC45" s="528"/>
      <c r="AD45" s="527"/>
      <c r="AE45" s="528"/>
      <c r="AF45" s="528"/>
      <c r="AG45" s="528"/>
      <c r="AH45" s="528"/>
      <c r="AI45" s="528"/>
      <c r="AJ45" s="528"/>
      <c r="AK45" s="541"/>
      <c r="AL45" s="527"/>
      <c r="AM45" s="528"/>
      <c r="AN45" s="528"/>
      <c r="AO45" s="528"/>
      <c r="AP45" s="528"/>
      <c r="AQ45" s="528"/>
      <c r="AR45" s="541"/>
      <c r="AS45" s="546"/>
      <c r="AT45" s="547"/>
      <c r="AU45" s="547"/>
      <c r="AV45" s="547"/>
      <c r="AW45" s="547"/>
      <c r="AX45" s="547"/>
      <c r="AY45" s="548"/>
      <c r="AZ45" s="493"/>
      <c r="BA45" s="494"/>
      <c r="BB45" s="105">
        <v>5</v>
      </c>
      <c r="BC45" s="483"/>
      <c r="BD45" s="484"/>
      <c r="BE45" s="484"/>
      <c r="BF45" s="485"/>
      <c r="BG45" s="486"/>
      <c r="BH45" s="487"/>
      <c r="BI45" s="224"/>
      <c r="BJ45" s="488"/>
      <c r="BK45" s="489"/>
      <c r="BL45" s="489"/>
      <c r="BM45" s="489"/>
      <c r="BN45" s="489"/>
      <c r="BO45" s="490"/>
      <c r="BP45" s="488"/>
      <c r="BQ45" s="489"/>
      <c r="BR45" s="489"/>
      <c r="BS45" s="489"/>
      <c r="BT45" s="489"/>
      <c r="BU45" s="490"/>
      <c r="BV45" s="488"/>
      <c r="BW45" s="489"/>
      <c r="BX45" s="489"/>
      <c r="BY45" s="489"/>
      <c r="BZ45" s="489"/>
      <c r="CA45" s="490"/>
      <c r="CB45" s="483"/>
      <c r="CC45" s="484"/>
      <c r="CD45" s="484"/>
      <c r="CE45" s="485"/>
      <c r="CF45" s="477"/>
      <c r="CG45" s="478"/>
      <c r="CH45" s="478"/>
      <c r="CI45" s="478"/>
      <c r="CJ45" s="479"/>
      <c r="CK45" s="477"/>
      <c r="CL45" s="478"/>
      <c r="CM45" s="478"/>
      <c r="CN45" s="478"/>
      <c r="CO45" s="479"/>
      <c r="CP45" s="477"/>
      <c r="CQ45" s="478"/>
      <c r="CR45" s="478"/>
      <c r="CS45" s="478"/>
      <c r="CT45" s="479"/>
      <c r="CU45" s="480"/>
      <c r="CV45" s="481"/>
      <c r="CW45" s="481"/>
      <c r="CX45" s="481"/>
      <c r="CY45" s="482"/>
    </row>
    <row r="46" spans="1:103" s="91" customFormat="1" ht="16.5" x14ac:dyDescent="0.15">
      <c r="A46" s="518"/>
      <c r="B46" s="107"/>
      <c r="C46" s="220" t="str">
        <f t="shared" ca="1" si="3"/>
        <v>@</v>
      </c>
      <c r="D46" s="523"/>
      <c r="E46" s="524"/>
      <c r="F46" s="524"/>
      <c r="G46" s="524"/>
      <c r="H46" s="524"/>
      <c r="I46" s="524"/>
      <c r="J46" s="524"/>
      <c r="K46" s="529"/>
      <c r="L46" s="530"/>
      <c r="M46" s="530"/>
      <c r="N46" s="530"/>
      <c r="O46" s="530"/>
      <c r="P46" s="530"/>
      <c r="Q46" s="530"/>
      <c r="R46" s="535"/>
      <c r="S46" s="536"/>
      <c r="T46" s="535"/>
      <c r="U46" s="537"/>
      <c r="V46" s="529"/>
      <c r="W46" s="539"/>
      <c r="X46" s="539"/>
      <c r="Y46" s="539"/>
      <c r="Z46" s="539"/>
      <c r="AA46" s="539"/>
      <c r="AB46" s="539"/>
      <c r="AC46" s="539"/>
      <c r="AD46" s="529"/>
      <c r="AE46" s="530"/>
      <c r="AF46" s="530"/>
      <c r="AG46" s="530"/>
      <c r="AH46" s="530"/>
      <c r="AI46" s="530"/>
      <c r="AJ46" s="530"/>
      <c r="AK46" s="555"/>
      <c r="AL46" s="529"/>
      <c r="AM46" s="539"/>
      <c r="AN46" s="539"/>
      <c r="AO46" s="539"/>
      <c r="AP46" s="539"/>
      <c r="AQ46" s="539"/>
      <c r="AR46" s="542"/>
      <c r="AS46" s="549"/>
      <c r="AT46" s="550"/>
      <c r="AU46" s="550"/>
      <c r="AV46" s="550"/>
      <c r="AW46" s="550"/>
      <c r="AX46" s="550"/>
      <c r="AY46" s="551"/>
      <c r="AZ46" s="495"/>
      <c r="BA46" s="496"/>
      <c r="BB46" s="108">
        <v>6</v>
      </c>
      <c r="BC46" s="505"/>
      <c r="BD46" s="506"/>
      <c r="BE46" s="506"/>
      <c r="BF46" s="507"/>
      <c r="BG46" s="508"/>
      <c r="BH46" s="509"/>
      <c r="BI46" s="227"/>
      <c r="BJ46" s="510"/>
      <c r="BK46" s="511"/>
      <c r="BL46" s="511"/>
      <c r="BM46" s="511"/>
      <c r="BN46" s="511"/>
      <c r="BO46" s="512"/>
      <c r="BP46" s="510"/>
      <c r="BQ46" s="511"/>
      <c r="BR46" s="511"/>
      <c r="BS46" s="511"/>
      <c r="BT46" s="511"/>
      <c r="BU46" s="512"/>
      <c r="BV46" s="510"/>
      <c r="BW46" s="511"/>
      <c r="BX46" s="511"/>
      <c r="BY46" s="511"/>
      <c r="BZ46" s="511"/>
      <c r="CA46" s="512"/>
      <c r="CB46" s="513"/>
      <c r="CC46" s="514"/>
      <c r="CD46" s="514"/>
      <c r="CE46" s="515"/>
      <c r="CF46" s="477"/>
      <c r="CG46" s="478"/>
      <c r="CH46" s="478"/>
      <c r="CI46" s="478"/>
      <c r="CJ46" s="479"/>
      <c r="CK46" s="477"/>
      <c r="CL46" s="478"/>
      <c r="CM46" s="478"/>
      <c r="CN46" s="478"/>
      <c r="CO46" s="479"/>
      <c r="CP46" s="477"/>
      <c r="CQ46" s="478"/>
      <c r="CR46" s="478"/>
      <c r="CS46" s="478"/>
      <c r="CT46" s="479"/>
      <c r="CU46" s="480"/>
      <c r="CV46" s="481"/>
      <c r="CW46" s="481"/>
      <c r="CX46" s="481"/>
      <c r="CY46" s="482"/>
    </row>
    <row r="47" spans="1:103" s="91" customFormat="1" ht="16.149999999999999" customHeight="1" x14ac:dyDescent="0.15">
      <c r="A47" s="516">
        <v>7</v>
      </c>
      <c r="B47" s="102"/>
      <c r="C47" s="220" t="str">
        <f t="shared" ca="1" si="3"/>
        <v>@</v>
      </c>
      <c r="D47" s="519" t="s">
        <v>578</v>
      </c>
      <c r="E47" s="520"/>
      <c r="F47" s="520"/>
      <c r="G47" s="520"/>
      <c r="H47" s="520"/>
      <c r="I47" s="520"/>
      <c r="J47" s="520"/>
      <c r="K47" s="525" t="s">
        <v>567</v>
      </c>
      <c r="L47" s="526"/>
      <c r="M47" s="526"/>
      <c r="N47" s="526"/>
      <c r="O47" s="526"/>
      <c r="P47" s="526"/>
      <c r="Q47" s="526"/>
      <c r="R47" s="531"/>
      <c r="S47" s="532"/>
      <c r="T47" s="531" t="s">
        <v>284</v>
      </c>
      <c r="U47" s="532"/>
      <c r="V47" s="525" t="s">
        <v>630</v>
      </c>
      <c r="W47" s="538"/>
      <c r="X47" s="538"/>
      <c r="Y47" s="538"/>
      <c r="Z47" s="538"/>
      <c r="AA47" s="538"/>
      <c r="AB47" s="538"/>
      <c r="AC47" s="538"/>
      <c r="AD47" s="525" t="s">
        <v>572</v>
      </c>
      <c r="AE47" s="526"/>
      <c r="AF47" s="526"/>
      <c r="AG47" s="526"/>
      <c r="AH47" s="526"/>
      <c r="AI47" s="526"/>
      <c r="AJ47" s="526"/>
      <c r="AK47" s="540"/>
      <c r="AL47" s="525" t="s">
        <v>563</v>
      </c>
      <c r="AM47" s="538"/>
      <c r="AN47" s="538"/>
      <c r="AO47" s="538"/>
      <c r="AP47" s="538"/>
      <c r="AQ47" s="538"/>
      <c r="AR47" s="540"/>
      <c r="AS47" s="543"/>
      <c r="AT47" s="544"/>
      <c r="AU47" s="544"/>
      <c r="AV47" s="544"/>
      <c r="AW47" s="544"/>
      <c r="AX47" s="544"/>
      <c r="AY47" s="545"/>
      <c r="AZ47" s="491"/>
      <c r="BA47" s="492"/>
      <c r="BB47" s="103">
        <v>1</v>
      </c>
      <c r="BC47" s="497"/>
      <c r="BD47" s="498"/>
      <c r="BE47" s="498"/>
      <c r="BF47" s="499"/>
      <c r="BG47" s="500" t="s">
        <v>568</v>
      </c>
      <c r="BH47" s="501"/>
      <c r="BI47" s="226"/>
      <c r="BJ47" s="502"/>
      <c r="BK47" s="503"/>
      <c r="BL47" s="503"/>
      <c r="BM47" s="503"/>
      <c r="BN47" s="503"/>
      <c r="BO47" s="504"/>
      <c r="BP47" s="502"/>
      <c r="BQ47" s="503"/>
      <c r="BR47" s="503"/>
      <c r="BS47" s="503"/>
      <c r="BT47" s="503"/>
      <c r="BU47" s="504"/>
      <c r="BV47" s="502"/>
      <c r="BW47" s="503"/>
      <c r="BX47" s="503"/>
      <c r="BY47" s="503"/>
      <c r="BZ47" s="503"/>
      <c r="CA47" s="504"/>
      <c r="CB47" s="552"/>
      <c r="CC47" s="553"/>
      <c r="CD47" s="553"/>
      <c r="CE47" s="554"/>
      <c r="CF47" s="477"/>
      <c r="CG47" s="478"/>
      <c r="CH47" s="478"/>
      <c r="CI47" s="478"/>
      <c r="CJ47" s="479"/>
      <c r="CK47" s="477"/>
      <c r="CL47" s="478"/>
      <c r="CM47" s="478"/>
      <c r="CN47" s="478"/>
      <c r="CO47" s="479"/>
      <c r="CP47" s="477"/>
      <c r="CQ47" s="478"/>
      <c r="CR47" s="478"/>
      <c r="CS47" s="478"/>
      <c r="CT47" s="479"/>
      <c r="CU47" s="477"/>
      <c r="CV47" s="481"/>
      <c r="CW47" s="481"/>
      <c r="CX47" s="481"/>
      <c r="CY47" s="482"/>
    </row>
    <row r="48" spans="1:103" s="91" customFormat="1" ht="16.5" x14ac:dyDescent="0.15">
      <c r="A48" s="517"/>
      <c r="B48" s="102"/>
      <c r="C48" s="220" t="str">
        <f t="shared" ca="1" si="3"/>
        <v>@</v>
      </c>
      <c r="D48" s="521"/>
      <c r="E48" s="522"/>
      <c r="F48" s="522"/>
      <c r="G48" s="522"/>
      <c r="H48" s="522"/>
      <c r="I48" s="522"/>
      <c r="J48" s="522"/>
      <c r="K48" s="527"/>
      <c r="L48" s="528"/>
      <c r="M48" s="528"/>
      <c r="N48" s="528"/>
      <c r="O48" s="528"/>
      <c r="P48" s="528"/>
      <c r="Q48" s="528"/>
      <c r="R48" s="533"/>
      <c r="S48" s="534"/>
      <c r="T48" s="533"/>
      <c r="U48" s="534"/>
      <c r="V48" s="527"/>
      <c r="W48" s="528"/>
      <c r="X48" s="528"/>
      <c r="Y48" s="528"/>
      <c r="Z48" s="528"/>
      <c r="AA48" s="528"/>
      <c r="AB48" s="528"/>
      <c r="AC48" s="528"/>
      <c r="AD48" s="527"/>
      <c r="AE48" s="528"/>
      <c r="AF48" s="528"/>
      <c r="AG48" s="528"/>
      <c r="AH48" s="528"/>
      <c r="AI48" s="528"/>
      <c r="AJ48" s="528"/>
      <c r="AK48" s="541"/>
      <c r="AL48" s="527"/>
      <c r="AM48" s="528"/>
      <c r="AN48" s="528"/>
      <c r="AO48" s="528"/>
      <c r="AP48" s="528"/>
      <c r="AQ48" s="528"/>
      <c r="AR48" s="541"/>
      <c r="AS48" s="546"/>
      <c r="AT48" s="547"/>
      <c r="AU48" s="547"/>
      <c r="AV48" s="547"/>
      <c r="AW48" s="547"/>
      <c r="AX48" s="547"/>
      <c r="AY48" s="548"/>
      <c r="AZ48" s="493"/>
      <c r="BA48" s="494"/>
      <c r="BB48" s="105">
        <v>2</v>
      </c>
      <c r="BC48" s="483"/>
      <c r="BD48" s="484"/>
      <c r="BE48" s="484"/>
      <c r="BF48" s="485"/>
      <c r="BG48" s="486"/>
      <c r="BH48" s="487"/>
      <c r="BI48" s="224"/>
      <c r="BJ48" s="488"/>
      <c r="BK48" s="489"/>
      <c r="BL48" s="489"/>
      <c r="BM48" s="489"/>
      <c r="BN48" s="489"/>
      <c r="BO48" s="490"/>
      <c r="BP48" s="488"/>
      <c r="BQ48" s="489"/>
      <c r="BR48" s="489"/>
      <c r="BS48" s="489"/>
      <c r="BT48" s="489"/>
      <c r="BU48" s="490"/>
      <c r="BV48" s="488"/>
      <c r="BW48" s="489"/>
      <c r="BX48" s="489"/>
      <c r="BY48" s="489"/>
      <c r="BZ48" s="489"/>
      <c r="CA48" s="490"/>
      <c r="CB48" s="483"/>
      <c r="CC48" s="484"/>
      <c r="CD48" s="484"/>
      <c r="CE48" s="485"/>
      <c r="CF48" s="477"/>
      <c r="CG48" s="478"/>
      <c r="CH48" s="478"/>
      <c r="CI48" s="478"/>
      <c r="CJ48" s="479"/>
      <c r="CK48" s="477"/>
      <c r="CL48" s="478"/>
      <c r="CM48" s="478"/>
      <c r="CN48" s="478"/>
      <c r="CO48" s="479"/>
      <c r="CP48" s="477"/>
      <c r="CQ48" s="478"/>
      <c r="CR48" s="478"/>
      <c r="CS48" s="478"/>
      <c r="CT48" s="479"/>
      <c r="CU48" s="480"/>
      <c r="CV48" s="481"/>
      <c r="CW48" s="481"/>
      <c r="CX48" s="481"/>
      <c r="CY48" s="482"/>
    </row>
    <row r="49" spans="1:103" s="91" customFormat="1" ht="16.5" x14ac:dyDescent="0.15">
      <c r="A49" s="517"/>
      <c r="B49" s="102"/>
      <c r="C49" s="220" t="str">
        <f t="shared" ca="1" si="3"/>
        <v>@</v>
      </c>
      <c r="D49" s="521"/>
      <c r="E49" s="522"/>
      <c r="F49" s="522"/>
      <c r="G49" s="522"/>
      <c r="H49" s="522"/>
      <c r="I49" s="522"/>
      <c r="J49" s="522"/>
      <c r="K49" s="527"/>
      <c r="L49" s="528"/>
      <c r="M49" s="528"/>
      <c r="N49" s="528"/>
      <c r="O49" s="528"/>
      <c r="P49" s="528"/>
      <c r="Q49" s="528"/>
      <c r="R49" s="533"/>
      <c r="S49" s="534"/>
      <c r="T49" s="533"/>
      <c r="U49" s="534"/>
      <c r="V49" s="527"/>
      <c r="W49" s="528"/>
      <c r="X49" s="528"/>
      <c r="Y49" s="528"/>
      <c r="Z49" s="528"/>
      <c r="AA49" s="528"/>
      <c r="AB49" s="528"/>
      <c r="AC49" s="528"/>
      <c r="AD49" s="527"/>
      <c r="AE49" s="528"/>
      <c r="AF49" s="528"/>
      <c r="AG49" s="528"/>
      <c r="AH49" s="528"/>
      <c r="AI49" s="528"/>
      <c r="AJ49" s="528"/>
      <c r="AK49" s="541"/>
      <c r="AL49" s="527"/>
      <c r="AM49" s="528"/>
      <c r="AN49" s="528"/>
      <c r="AO49" s="528"/>
      <c r="AP49" s="528"/>
      <c r="AQ49" s="528"/>
      <c r="AR49" s="541"/>
      <c r="AS49" s="546"/>
      <c r="AT49" s="547"/>
      <c r="AU49" s="547"/>
      <c r="AV49" s="547"/>
      <c r="AW49" s="547"/>
      <c r="AX49" s="547"/>
      <c r="AY49" s="548"/>
      <c r="AZ49" s="493"/>
      <c r="BA49" s="494"/>
      <c r="BB49" s="105">
        <v>3</v>
      </c>
      <c r="BC49" s="483"/>
      <c r="BD49" s="484"/>
      <c r="BE49" s="484"/>
      <c r="BF49" s="485"/>
      <c r="BG49" s="486"/>
      <c r="BH49" s="487"/>
      <c r="BI49" s="224"/>
      <c r="BJ49" s="488"/>
      <c r="BK49" s="489"/>
      <c r="BL49" s="489"/>
      <c r="BM49" s="489"/>
      <c r="BN49" s="489"/>
      <c r="BO49" s="490"/>
      <c r="BP49" s="488"/>
      <c r="BQ49" s="489"/>
      <c r="BR49" s="489"/>
      <c r="BS49" s="489"/>
      <c r="BT49" s="489"/>
      <c r="BU49" s="490"/>
      <c r="BV49" s="488"/>
      <c r="BW49" s="489"/>
      <c r="BX49" s="489"/>
      <c r="BY49" s="489"/>
      <c r="BZ49" s="489"/>
      <c r="CA49" s="490"/>
      <c r="CB49" s="483"/>
      <c r="CC49" s="484"/>
      <c r="CD49" s="484"/>
      <c r="CE49" s="485"/>
      <c r="CF49" s="477"/>
      <c r="CG49" s="478"/>
      <c r="CH49" s="478"/>
      <c r="CI49" s="478"/>
      <c r="CJ49" s="479"/>
      <c r="CK49" s="477"/>
      <c r="CL49" s="478"/>
      <c r="CM49" s="478"/>
      <c r="CN49" s="478"/>
      <c r="CO49" s="479"/>
      <c r="CP49" s="477"/>
      <c r="CQ49" s="478"/>
      <c r="CR49" s="478"/>
      <c r="CS49" s="478"/>
      <c r="CT49" s="479"/>
      <c r="CU49" s="480"/>
      <c r="CV49" s="481"/>
      <c r="CW49" s="481"/>
      <c r="CX49" s="481"/>
      <c r="CY49" s="482"/>
    </row>
    <row r="50" spans="1:103" s="91" customFormat="1" ht="16.5" x14ac:dyDescent="0.15">
      <c r="A50" s="517"/>
      <c r="B50" s="102"/>
      <c r="C50" s="220" t="str">
        <f t="shared" ca="1" si="3"/>
        <v>@</v>
      </c>
      <c r="D50" s="521"/>
      <c r="E50" s="522"/>
      <c r="F50" s="522"/>
      <c r="G50" s="522"/>
      <c r="H50" s="522"/>
      <c r="I50" s="522"/>
      <c r="J50" s="522"/>
      <c r="K50" s="527"/>
      <c r="L50" s="528"/>
      <c r="M50" s="528"/>
      <c r="N50" s="528"/>
      <c r="O50" s="528"/>
      <c r="P50" s="528"/>
      <c r="Q50" s="528"/>
      <c r="R50" s="533"/>
      <c r="S50" s="534"/>
      <c r="T50" s="533"/>
      <c r="U50" s="534"/>
      <c r="V50" s="527"/>
      <c r="W50" s="528"/>
      <c r="X50" s="528"/>
      <c r="Y50" s="528"/>
      <c r="Z50" s="528"/>
      <c r="AA50" s="528"/>
      <c r="AB50" s="528"/>
      <c r="AC50" s="528"/>
      <c r="AD50" s="527"/>
      <c r="AE50" s="528"/>
      <c r="AF50" s="528"/>
      <c r="AG50" s="528"/>
      <c r="AH50" s="528"/>
      <c r="AI50" s="528"/>
      <c r="AJ50" s="528"/>
      <c r="AK50" s="541"/>
      <c r="AL50" s="527"/>
      <c r="AM50" s="528"/>
      <c r="AN50" s="528"/>
      <c r="AO50" s="528"/>
      <c r="AP50" s="528"/>
      <c r="AQ50" s="528"/>
      <c r="AR50" s="541"/>
      <c r="AS50" s="546"/>
      <c r="AT50" s="547"/>
      <c r="AU50" s="547"/>
      <c r="AV50" s="547"/>
      <c r="AW50" s="547"/>
      <c r="AX50" s="547"/>
      <c r="AY50" s="548"/>
      <c r="AZ50" s="493"/>
      <c r="BA50" s="494"/>
      <c r="BB50" s="105">
        <v>4</v>
      </c>
      <c r="BC50" s="483"/>
      <c r="BD50" s="484"/>
      <c r="BE50" s="484"/>
      <c r="BF50" s="485"/>
      <c r="BG50" s="486"/>
      <c r="BH50" s="487"/>
      <c r="BI50" s="224"/>
      <c r="BJ50" s="488"/>
      <c r="BK50" s="489"/>
      <c r="BL50" s="489"/>
      <c r="BM50" s="489"/>
      <c r="BN50" s="489"/>
      <c r="BO50" s="490"/>
      <c r="BP50" s="488"/>
      <c r="BQ50" s="489"/>
      <c r="BR50" s="489"/>
      <c r="BS50" s="489"/>
      <c r="BT50" s="489"/>
      <c r="BU50" s="490"/>
      <c r="BV50" s="488"/>
      <c r="BW50" s="489"/>
      <c r="BX50" s="489"/>
      <c r="BY50" s="489"/>
      <c r="BZ50" s="489"/>
      <c r="CA50" s="490"/>
      <c r="CB50" s="483"/>
      <c r="CC50" s="484"/>
      <c r="CD50" s="484"/>
      <c r="CE50" s="485"/>
      <c r="CF50" s="477"/>
      <c r="CG50" s="478"/>
      <c r="CH50" s="478"/>
      <c r="CI50" s="478"/>
      <c r="CJ50" s="479"/>
      <c r="CK50" s="477"/>
      <c r="CL50" s="478"/>
      <c r="CM50" s="478"/>
      <c r="CN50" s="478"/>
      <c r="CO50" s="479"/>
      <c r="CP50" s="477"/>
      <c r="CQ50" s="478"/>
      <c r="CR50" s="478"/>
      <c r="CS50" s="478"/>
      <c r="CT50" s="479"/>
      <c r="CU50" s="480"/>
      <c r="CV50" s="481"/>
      <c r="CW50" s="481"/>
      <c r="CX50" s="481"/>
      <c r="CY50" s="482"/>
    </row>
    <row r="51" spans="1:103" s="91" customFormat="1" ht="16.5" x14ac:dyDescent="0.15">
      <c r="A51" s="517"/>
      <c r="B51" s="102"/>
      <c r="C51" s="220" t="str">
        <f t="shared" ca="1" si="3"/>
        <v>@</v>
      </c>
      <c r="D51" s="521"/>
      <c r="E51" s="522"/>
      <c r="F51" s="522"/>
      <c r="G51" s="522"/>
      <c r="H51" s="522"/>
      <c r="I51" s="522"/>
      <c r="J51" s="522"/>
      <c r="K51" s="527"/>
      <c r="L51" s="528"/>
      <c r="M51" s="528"/>
      <c r="N51" s="528"/>
      <c r="O51" s="528"/>
      <c r="P51" s="528"/>
      <c r="Q51" s="528"/>
      <c r="R51" s="533"/>
      <c r="S51" s="534"/>
      <c r="T51" s="533"/>
      <c r="U51" s="534"/>
      <c r="V51" s="527"/>
      <c r="W51" s="528"/>
      <c r="X51" s="528"/>
      <c r="Y51" s="528"/>
      <c r="Z51" s="528"/>
      <c r="AA51" s="528"/>
      <c r="AB51" s="528"/>
      <c r="AC51" s="528"/>
      <c r="AD51" s="527"/>
      <c r="AE51" s="528"/>
      <c r="AF51" s="528"/>
      <c r="AG51" s="528"/>
      <c r="AH51" s="528"/>
      <c r="AI51" s="528"/>
      <c r="AJ51" s="528"/>
      <c r="AK51" s="541"/>
      <c r="AL51" s="527"/>
      <c r="AM51" s="528"/>
      <c r="AN51" s="528"/>
      <c r="AO51" s="528"/>
      <c r="AP51" s="528"/>
      <c r="AQ51" s="528"/>
      <c r="AR51" s="541"/>
      <c r="AS51" s="546"/>
      <c r="AT51" s="547"/>
      <c r="AU51" s="547"/>
      <c r="AV51" s="547"/>
      <c r="AW51" s="547"/>
      <c r="AX51" s="547"/>
      <c r="AY51" s="548"/>
      <c r="AZ51" s="493"/>
      <c r="BA51" s="494"/>
      <c r="BB51" s="105">
        <v>5</v>
      </c>
      <c r="BC51" s="483"/>
      <c r="BD51" s="484"/>
      <c r="BE51" s="484"/>
      <c r="BF51" s="485"/>
      <c r="BG51" s="486"/>
      <c r="BH51" s="487"/>
      <c r="BI51" s="224"/>
      <c r="BJ51" s="488"/>
      <c r="BK51" s="489"/>
      <c r="BL51" s="489"/>
      <c r="BM51" s="489"/>
      <c r="BN51" s="489"/>
      <c r="BO51" s="490"/>
      <c r="BP51" s="488"/>
      <c r="BQ51" s="489"/>
      <c r="BR51" s="489"/>
      <c r="BS51" s="489"/>
      <c r="BT51" s="489"/>
      <c r="BU51" s="490"/>
      <c r="BV51" s="488"/>
      <c r="BW51" s="489"/>
      <c r="BX51" s="489"/>
      <c r="BY51" s="489"/>
      <c r="BZ51" s="489"/>
      <c r="CA51" s="490"/>
      <c r="CB51" s="483"/>
      <c r="CC51" s="484"/>
      <c r="CD51" s="484"/>
      <c r="CE51" s="485"/>
      <c r="CF51" s="477"/>
      <c r="CG51" s="478"/>
      <c r="CH51" s="478"/>
      <c r="CI51" s="478"/>
      <c r="CJ51" s="479"/>
      <c r="CK51" s="477"/>
      <c r="CL51" s="478"/>
      <c r="CM51" s="478"/>
      <c r="CN51" s="478"/>
      <c r="CO51" s="479"/>
      <c r="CP51" s="477"/>
      <c r="CQ51" s="478"/>
      <c r="CR51" s="478"/>
      <c r="CS51" s="478"/>
      <c r="CT51" s="479"/>
      <c r="CU51" s="480"/>
      <c r="CV51" s="481"/>
      <c r="CW51" s="481"/>
      <c r="CX51" s="481"/>
      <c r="CY51" s="482"/>
    </row>
    <row r="52" spans="1:103" s="91" customFormat="1" ht="16.5" x14ac:dyDescent="0.15">
      <c r="A52" s="518"/>
      <c r="B52" s="107"/>
      <c r="C52" s="220" t="str">
        <f t="shared" ca="1" si="3"/>
        <v>@</v>
      </c>
      <c r="D52" s="523"/>
      <c r="E52" s="524"/>
      <c r="F52" s="524"/>
      <c r="G52" s="524"/>
      <c r="H52" s="524"/>
      <c r="I52" s="524"/>
      <c r="J52" s="524"/>
      <c r="K52" s="529"/>
      <c r="L52" s="530"/>
      <c r="M52" s="530"/>
      <c r="N52" s="530"/>
      <c r="O52" s="530"/>
      <c r="P52" s="530"/>
      <c r="Q52" s="530"/>
      <c r="R52" s="535"/>
      <c r="S52" s="536"/>
      <c r="T52" s="535"/>
      <c r="U52" s="537"/>
      <c r="V52" s="529"/>
      <c r="W52" s="539"/>
      <c r="X52" s="539"/>
      <c r="Y52" s="539"/>
      <c r="Z52" s="539"/>
      <c r="AA52" s="539"/>
      <c r="AB52" s="539"/>
      <c r="AC52" s="539"/>
      <c r="AD52" s="529"/>
      <c r="AE52" s="530"/>
      <c r="AF52" s="530"/>
      <c r="AG52" s="530"/>
      <c r="AH52" s="530"/>
      <c r="AI52" s="530"/>
      <c r="AJ52" s="530"/>
      <c r="AK52" s="555"/>
      <c r="AL52" s="529"/>
      <c r="AM52" s="539"/>
      <c r="AN52" s="539"/>
      <c r="AO52" s="539"/>
      <c r="AP52" s="539"/>
      <c r="AQ52" s="539"/>
      <c r="AR52" s="542"/>
      <c r="AS52" s="549"/>
      <c r="AT52" s="550"/>
      <c r="AU52" s="550"/>
      <c r="AV52" s="550"/>
      <c r="AW52" s="550"/>
      <c r="AX52" s="550"/>
      <c r="AY52" s="551"/>
      <c r="AZ52" s="495"/>
      <c r="BA52" s="496"/>
      <c r="BB52" s="108">
        <v>6</v>
      </c>
      <c r="BC52" s="505"/>
      <c r="BD52" s="506"/>
      <c r="BE52" s="506"/>
      <c r="BF52" s="507"/>
      <c r="BG52" s="508"/>
      <c r="BH52" s="509"/>
      <c r="BI52" s="225"/>
      <c r="BJ52" s="510"/>
      <c r="BK52" s="511"/>
      <c r="BL52" s="511"/>
      <c r="BM52" s="511"/>
      <c r="BN52" s="511"/>
      <c r="BO52" s="512"/>
      <c r="BP52" s="510"/>
      <c r="BQ52" s="511"/>
      <c r="BR52" s="511"/>
      <c r="BS52" s="511"/>
      <c r="BT52" s="511"/>
      <c r="BU52" s="512"/>
      <c r="BV52" s="510"/>
      <c r="BW52" s="511"/>
      <c r="BX52" s="511"/>
      <c r="BY52" s="511"/>
      <c r="BZ52" s="511"/>
      <c r="CA52" s="512"/>
      <c r="CB52" s="505"/>
      <c r="CC52" s="506"/>
      <c r="CD52" s="506"/>
      <c r="CE52" s="507"/>
      <c r="CF52" s="477"/>
      <c r="CG52" s="478"/>
      <c r="CH52" s="478"/>
      <c r="CI52" s="478"/>
      <c r="CJ52" s="479"/>
      <c r="CK52" s="477"/>
      <c r="CL52" s="478"/>
      <c r="CM52" s="478"/>
      <c r="CN52" s="478"/>
      <c r="CO52" s="479"/>
      <c r="CP52" s="477"/>
      <c r="CQ52" s="478"/>
      <c r="CR52" s="478"/>
      <c r="CS52" s="478"/>
      <c r="CT52" s="479"/>
      <c r="CU52" s="480"/>
      <c r="CV52" s="481"/>
      <c r="CW52" s="481"/>
      <c r="CX52" s="481"/>
      <c r="CY52" s="482"/>
    </row>
    <row r="53" spans="1:103" s="91" customFormat="1" ht="16.149999999999999" customHeight="1" x14ac:dyDescent="0.15">
      <c r="A53" s="516">
        <v>8</v>
      </c>
      <c r="B53" s="102"/>
      <c r="C53" s="216" t="str">
        <f t="shared" ca="1" si="3"/>
        <v>@</v>
      </c>
      <c r="D53" s="519" t="s">
        <v>578</v>
      </c>
      <c r="E53" s="520"/>
      <c r="F53" s="520"/>
      <c r="G53" s="520"/>
      <c r="H53" s="520"/>
      <c r="I53" s="520"/>
      <c r="J53" s="520"/>
      <c r="K53" s="525" t="s">
        <v>562</v>
      </c>
      <c r="L53" s="526"/>
      <c r="M53" s="526"/>
      <c r="N53" s="526"/>
      <c r="O53" s="526"/>
      <c r="P53" s="526"/>
      <c r="Q53" s="526"/>
      <c r="R53" s="531"/>
      <c r="S53" s="532"/>
      <c r="T53" s="531" t="s">
        <v>284</v>
      </c>
      <c r="U53" s="532"/>
      <c r="V53" s="525" t="s">
        <v>630</v>
      </c>
      <c r="W53" s="538"/>
      <c r="X53" s="538"/>
      <c r="Y53" s="538"/>
      <c r="Z53" s="538"/>
      <c r="AA53" s="538"/>
      <c r="AB53" s="538"/>
      <c r="AC53" s="538"/>
      <c r="AD53" s="525" t="s">
        <v>573</v>
      </c>
      <c r="AE53" s="538"/>
      <c r="AF53" s="538"/>
      <c r="AG53" s="538"/>
      <c r="AH53" s="538"/>
      <c r="AI53" s="538"/>
      <c r="AJ53" s="538"/>
      <c r="AK53" s="540"/>
      <c r="AL53" s="525" t="s">
        <v>563</v>
      </c>
      <c r="AM53" s="538"/>
      <c r="AN53" s="538"/>
      <c r="AO53" s="538"/>
      <c r="AP53" s="538"/>
      <c r="AQ53" s="538"/>
      <c r="AR53" s="540"/>
      <c r="AS53" s="543"/>
      <c r="AT53" s="544"/>
      <c r="AU53" s="544"/>
      <c r="AV53" s="544"/>
      <c r="AW53" s="544"/>
      <c r="AX53" s="544"/>
      <c r="AY53" s="545"/>
      <c r="AZ53" s="491" t="s">
        <v>797</v>
      </c>
      <c r="BA53" s="492"/>
      <c r="BB53" s="103">
        <v>1</v>
      </c>
      <c r="BC53" s="497">
        <v>44166</v>
      </c>
      <c r="BD53" s="498"/>
      <c r="BE53" s="498"/>
      <c r="BF53" s="499"/>
      <c r="BG53" s="500" t="s">
        <v>568</v>
      </c>
      <c r="BH53" s="501"/>
      <c r="BI53" s="226"/>
      <c r="BJ53" s="502"/>
      <c r="BK53" s="503"/>
      <c r="BL53" s="503"/>
      <c r="BM53" s="503"/>
      <c r="BN53" s="503"/>
      <c r="BO53" s="504"/>
      <c r="BP53" s="502"/>
      <c r="BQ53" s="503"/>
      <c r="BR53" s="503"/>
      <c r="BS53" s="503"/>
      <c r="BT53" s="503"/>
      <c r="BU53" s="504"/>
      <c r="BV53" s="502"/>
      <c r="BW53" s="503"/>
      <c r="BX53" s="503"/>
      <c r="BY53" s="503"/>
      <c r="BZ53" s="503"/>
      <c r="CA53" s="504"/>
      <c r="CB53" s="497"/>
      <c r="CC53" s="498"/>
      <c r="CD53" s="498"/>
      <c r="CE53" s="499"/>
      <c r="CF53" s="477"/>
      <c r="CG53" s="478"/>
      <c r="CH53" s="478"/>
      <c r="CI53" s="478"/>
      <c r="CJ53" s="479"/>
      <c r="CK53" s="477"/>
      <c r="CL53" s="478"/>
      <c r="CM53" s="478"/>
      <c r="CN53" s="478"/>
      <c r="CO53" s="479"/>
      <c r="CP53" s="477"/>
      <c r="CQ53" s="478"/>
      <c r="CR53" s="478"/>
      <c r="CS53" s="478"/>
      <c r="CT53" s="479"/>
      <c r="CU53" s="480"/>
      <c r="CV53" s="481"/>
      <c r="CW53" s="481"/>
      <c r="CX53" s="481"/>
      <c r="CY53" s="482"/>
    </row>
    <row r="54" spans="1:103" s="91" customFormat="1" ht="16.5" x14ac:dyDescent="0.15">
      <c r="A54" s="517"/>
      <c r="B54" s="102"/>
      <c r="C54" s="220" t="str">
        <f t="shared" ca="1" si="3"/>
        <v>@</v>
      </c>
      <c r="D54" s="521"/>
      <c r="E54" s="522"/>
      <c r="F54" s="522"/>
      <c r="G54" s="522"/>
      <c r="H54" s="522"/>
      <c r="I54" s="522"/>
      <c r="J54" s="522"/>
      <c r="K54" s="527"/>
      <c r="L54" s="528"/>
      <c r="M54" s="528"/>
      <c r="N54" s="528"/>
      <c r="O54" s="528"/>
      <c r="P54" s="528"/>
      <c r="Q54" s="528"/>
      <c r="R54" s="533"/>
      <c r="S54" s="534"/>
      <c r="T54" s="533"/>
      <c r="U54" s="534"/>
      <c r="V54" s="527"/>
      <c r="W54" s="528"/>
      <c r="X54" s="528"/>
      <c r="Y54" s="528"/>
      <c r="Z54" s="528"/>
      <c r="AA54" s="528"/>
      <c r="AB54" s="528"/>
      <c r="AC54" s="528"/>
      <c r="AD54" s="527"/>
      <c r="AE54" s="528"/>
      <c r="AF54" s="528"/>
      <c r="AG54" s="528"/>
      <c r="AH54" s="528"/>
      <c r="AI54" s="528"/>
      <c r="AJ54" s="528"/>
      <c r="AK54" s="541"/>
      <c r="AL54" s="527"/>
      <c r="AM54" s="528"/>
      <c r="AN54" s="528"/>
      <c r="AO54" s="528"/>
      <c r="AP54" s="528"/>
      <c r="AQ54" s="528"/>
      <c r="AR54" s="541"/>
      <c r="AS54" s="546"/>
      <c r="AT54" s="547"/>
      <c r="AU54" s="547"/>
      <c r="AV54" s="547"/>
      <c r="AW54" s="547"/>
      <c r="AX54" s="547"/>
      <c r="AY54" s="548"/>
      <c r="AZ54" s="493"/>
      <c r="BA54" s="494"/>
      <c r="BB54" s="105">
        <v>2</v>
      </c>
      <c r="BC54" s="483"/>
      <c r="BD54" s="484"/>
      <c r="BE54" s="484"/>
      <c r="BF54" s="485"/>
      <c r="BG54" s="486"/>
      <c r="BH54" s="487"/>
      <c r="BI54" s="224"/>
      <c r="BJ54" s="488"/>
      <c r="BK54" s="489"/>
      <c r="BL54" s="489"/>
      <c r="BM54" s="489"/>
      <c r="BN54" s="489"/>
      <c r="BO54" s="490"/>
      <c r="BP54" s="488"/>
      <c r="BQ54" s="489"/>
      <c r="BR54" s="489"/>
      <c r="BS54" s="489"/>
      <c r="BT54" s="489"/>
      <c r="BU54" s="490"/>
      <c r="BV54" s="488"/>
      <c r="BW54" s="489"/>
      <c r="BX54" s="489"/>
      <c r="BY54" s="489"/>
      <c r="BZ54" s="489"/>
      <c r="CA54" s="490"/>
      <c r="CB54" s="483"/>
      <c r="CC54" s="484"/>
      <c r="CD54" s="484"/>
      <c r="CE54" s="485"/>
      <c r="CF54" s="477"/>
      <c r="CG54" s="478"/>
      <c r="CH54" s="478"/>
      <c r="CI54" s="478"/>
      <c r="CJ54" s="479"/>
      <c r="CK54" s="477"/>
      <c r="CL54" s="478"/>
      <c r="CM54" s="478"/>
      <c r="CN54" s="478"/>
      <c r="CO54" s="479"/>
      <c r="CP54" s="477"/>
      <c r="CQ54" s="478"/>
      <c r="CR54" s="478"/>
      <c r="CS54" s="478"/>
      <c r="CT54" s="479"/>
      <c r="CU54" s="480"/>
      <c r="CV54" s="481"/>
      <c r="CW54" s="481"/>
      <c r="CX54" s="481"/>
      <c r="CY54" s="482"/>
    </row>
    <row r="55" spans="1:103" s="91" customFormat="1" ht="16.5" x14ac:dyDescent="0.15">
      <c r="A55" s="517"/>
      <c r="B55" s="102"/>
      <c r="C55" s="220" t="str">
        <f t="shared" ca="1" si="3"/>
        <v>@</v>
      </c>
      <c r="D55" s="521"/>
      <c r="E55" s="522"/>
      <c r="F55" s="522"/>
      <c r="G55" s="522"/>
      <c r="H55" s="522"/>
      <c r="I55" s="522"/>
      <c r="J55" s="522"/>
      <c r="K55" s="527"/>
      <c r="L55" s="528"/>
      <c r="M55" s="528"/>
      <c r="N55" s="528"/>
      <c r="O55" s="528"/>
      <c r="P55" s="528"/>
      <c r="Q55" s="528"/>
      <c r="R55" s="533"/>
      <c r="S55" s="534"/>
      <c r="T55" s="533"/>
      <c r="U55" s="534"/>
      <c r="V55" s="527"/>
      <c r="W55" s="528"/>
      <c r="X55" s="528"/>
      <c r="Y55" s="528"/>
      <c r="Z55" s="528"/>
      <c r="AA55" s="528"/>
      <c r="AB55" s="528"/>
      <c r="AC55" s="528"/>
      <c r="AD55" s="527"/>
      <c r="AE55" s="528"/>
      <c r="AF55" s="528"/>
      <c r="AG55" s="528"/>
      <c r="AH55" s="528"/>
      <c r="AI55" s="528"/>
      <c r="AJ55" s="528"/>
      <c r="AK55" s="541"/>
      <c r="AL55" s="527"/>
      <c r="AM55" s="528"/>
      <c r="AN55" s="528"/>
      <c r="AO55" s="528"/>
      <c r="AP55" s="528"/>
      <c r="AQ55" s="528"/>
      <c r="AR55" s="541"/>
      <c r="AS55" s="546"/>
      <c r="AT55" s="547"/>
      <c r="AU55" s="547"/>
      <c r="AV55" s="547"/>
      <c r="AW55" s="547"/>
      <c r="AX55" s="547"/>
      <c r="AY55" s="548"/>
      <c r="AZ55" s="493"/>
      <c r="BA55" s="494"/>
      <c r="BB55" s="105">
        <v>3</v>
      </c>
      <c r="BC55" s="483"/>
      <c r="BD55" s="484"/>
      <c r="BE55" s="484"/>
      <c r="BF55" s="485"/>
      <c r="BG55" s="486"/>
      <c r="BH55" s="487"/>
      <c r="BI55" s="224"/>
      <c r="BJ55" s="488"/>
      <c r="BK55" s="489"/>
      <c r="BL55" s="489"/>
      <c r="BM55" s="489"/>
      <c r="BN55" s="489"/>
      <c r="BO55" s="490"/>
      <c r="BP55" s="488"/>
      <c r="BQ55" s="489"/>
      <c r="BR55" s="489"/>
      <c r="BS55" s="489"/>
      <c r="BT55" s="489"/>
      <c r="BU55" s="490"/>
      <c r="BV55" s="488"/>
      <c r="BW55" s="489"/>
      <c r="BX55" s="489"/>
      <c r="BY55" s="489"/>
      <c r="BZ55" s="489"/>
      <c r="CA55" s="490"/>
      <c r="CB55" s="483"/>
      <c r="CC55" s="484"/>
      <c r="CD55" s="484"/>
      <c r="CE55" s="485"/>
      <c r="CF55" s="477"/>
      <c r="CG55" s="478"/>
      <c r="CH55" s="478"/>
      <c r="CI55" s="478"/>
      <c r="CJ55" s="479"/>
      <c r="CK55" s="477"/>
      <c r="CL55" s="478"/>
      <c r="CM55" s="478"/>
      <c r="CN55" s="478"/>
      <c r="CO55" s="479"/>
      <c r="CP55" s="477"/>
      <c r="CQ55" s="478"/>
      <c r="CR55" s="478"/>
      <c r="CS55" s="478"/>
      <c r="CT55" s="479"/>
      <c r="CU55" s="480"/>
      <c r="CV55" s="481"/>
      <c r="CW55" s="481"/>
      <c r="CX55" s="481"/>
      <c r="CY55" s="482"/>
    </row>
    <row r="56" spans="1:103" s="91" customFormat="1" ht="16.5" x14ac:dyDescent="0.15">
      <c r="A56" s="517"/>
      <c r="B56" s="102"/>
      <c r="C56" s="220" t="str">
        <f t="shared" ca="1" si="3"/>
        <v>@</v>
      </c>
      <c r="D56" s="521"/>
      <c r="E56" s="522"/>
      <c r="F56" s="522"/>
      <c r="G56" s="522"/>
      <c r="H56" s="522"/>
      <c r="I56" s="522"/>
      <c r="J56" s="522"/>
      <c r="K56" s="527"/>
      <c r="L56" s="528"/>
      <c r="M56" s="528"/>
      <c r="N56" s="528"/>
      <c r="O56" s="528"/>
      <c r="P56" s="528"/>
      <c r="Q56" s="528"/>
      <c r="R56" s="533"/>
      <c r="S56" s="534"/>
      <c r="T56" s="533"/>
      <c r="U56" s="534"/>
      <c r="V56" s="527"/>
      <c r="W56" s="528"/>
      <c r="X56" s="528"/>
      <c r="Y56" s="528"/>
      <c r="Z56" s="528"/>
      <c r="AA56" s="528"/>
      <c r="AB56" s="528"/>
      <c r="AC56" s="528"/>
      <c r="AD56" s="527"/>
      <c r="AE56" s="528"/>
      <c r="AF56" s="528"/>
      <c r="AG56" s="528"/>
      <c r="AH56" s="528"/>
      <c r="AI56" s="528"/>
      <c r="AJ56" s="528"/>
      <c r="AK56" s="541"/>
      <c r="AL56" s="527"/>
      <c r="AM56" s="528"/>
      <c r="AN56" s="528"/>
      <c r="AO56" s="528"/>
      <c r="AP56" s="528"/>
      <c r="AQ56" s="528"/>
      <c r="AR56" s="541"/>
      <c r="AS56" s="546"/>
      <c r="AT56" s="547"/>
      <c r="AU56" s="547"/>
      <c r="AV56" s="547"/>
      <c r="AW56" s="547"/>
      <c r="AX56" s="547"/>
      <c r="AY56" s="548"/>
      <c r="AZ56" s="493"/>
      <c r="BA56" s="494"/>
      <c r="BB56" s="105">
        <v>4</v>
      </c>
      <c r="BC56" s="483"/>
      <c r="BD56" s="484"/>
      <c r="BE56" s="484"/>
      <c r="BF56" s="485"/>
      <c r="BG56" s="486"/>
      <c r="BH56" s="487"/>
      <c r="BI56" s="224"/>
      <c r="BJ56" s="488"/>
      <c r="BK56" s="489"/>
      <c r="BL56" s="489"/>
      <c r="BM56" s="489"/>
      <c r="BN56" s="489"/>
      <c r="BO56" s="490"/>
      <c r="BP56" s="488"/>
      <c r="BQ56" s="489"/>
      <c r="BR56" s="489"/>
      <c r="BS56" s="489"/>
      <c r="BT56" s="489"/>
      <c r="BU56" s="490"/>
      <c r="BV56" s="488"/>
      <c r="BW56" s="489"/>
      <c r="BX56" s="489"/>
      <c r="BY56" s="489"/>
      <c r="BZ56" s="489"/>
      <c r="CA56" s="490"/>
      <c r="CB56" s="483"/>
      <c r="CC56" s="484"/>
      <c r="CD56" s="484"/>
      <c r="CE56" s="485"/>
      <c r="CF56" s="477"/>
      <c r="CG56" s="478"/>
      <c r="CH56" s="478"/>
      <c r="CI56" s="478"/>
      <c r="CJ56" s="479"/>
      <c r="CK56" s="477"/>
      <c r="CL56" s="478"/>
      <c r="CM56" s="478"/>
      <c r="CN56" s="478"/>
      <c r="CO56" s="479"/>
      <c r="CP56" s="477"/>
      <c r="CQ56" s="478"/>
      <c r="CR56" s="478"/>
      <c r="CS56" s="478"/>
      <c r="CT56" s="479"/>
      <c r="CU56" s="480"/>
      <c r="CV56" s="481"/>
      <c r="CW56" s="481"/>
      <c r="CX56" s="481"/>
      <c r="CY56" s="482"/>
    </row>
    <row r="57" spans="1:103" s="91" customFormat="1" ht="16.5" x14ac:dyDescent="0.15">
      <c r="A57" s="517"/>
      <c r="B57" s="102"/>
      <c r="C57" s="220" t="str">
        <f t="shared" ca="1" si="3"/>
        <v>@</v>
      </c>
      <c r="D57" s="521"/>
      <c r="E57" s="522"/>
      <c r="F57" s="522"/>
      <c r="G57" s="522"/>
      <c r="H57" s="522"/>
      <c r="I57" s="522"/>
      <c r="J57" s="522"/>
      <c r="K57" s="527"/>
      <c r="L57" s="528"/>
      <c r="M57" s="528"/>
      <c r="N57" s="528"/>
      <c r="O57" s="528"/>
      <c r="P57" s="528"/>
      <c r="Q57" s="528"/>
      <c r="R57" s="533"/>
      <c r="S57" s="534"/>
      <c r="T57" s="533"/>
      <c r="U57" s="534"/>
      <c r="V57" s="527"/>
      <c r="W57" s="528"/>
      <c r="X57" s="528"/>
      <c r="Y57" s="528"/>
      <c r="Z57" s="528"/>
      <c r="AA57" s="528"/>
      <c r="AB57" s="528"/>
      <c r="AC57" s="528"/>
      <c r="AD57" s="527"/>
      <c r="AE57" s="528"/>
      <c r="AF57" s="528"/>
      <c r="AG57" s="528"/>
      <c r="AH57" s="528"/>
      <c r="AI57" s="528"/>
      <c r="AJ57" s="528"/>
      <c r="AK57" s="541"/>
      <c r="AL57" s="527"/>
      <c r="AM57" s="528"/>
      <c r="AN57" s="528"/>
      <c r="AO57" s="528"/>
      <c r="AP57" s="528"/>
      <c r="AQ57" s="528"/>
      <c r="AR57" s="541"/>
      <c r="AS57" s="546"/>
      <c r="AT57" s="547"/>
      <c r="AU57" s="547"/>
      <c r="AV57" s="547"/>
      <c r="AW57" s="547"/>
      <c r="AX57" s="547"/>
      <c r="AY57" s="548"/>
      <c r="AZ57" s="493"/>
      <c r="BA57" s="494"/>
      <c r="BB57" s="105">
        <v>5</v>
      </c>
      <c r="BC57" s="483"/>
      <c r="BD57" s="484"/>
      <c r="BE57" s="484"/>
      <c r="BF57" s="485"/>
      <c r="BG57" s="486"/>
      <c r="BH57" s="487"/>
      <c r="BI57" s="224"/>
      <c r="BJ57" s="488"/>
      <c r="BK57" s="489"/>
      <c r="BL57" s="489"/>
      <c r="BM57" s="489"/>
      <c r="BN57" s="489"/>
      <c r="BO57" s="490"/>
      <c r="BP57" s="488"/>
      <c r="BQ57" s="489"/>
      <c r="BR57" s="489"/>
      <c r="BS57" s="489"/>
      <c r="BT57" s="489"/>
      <c r="BU57" s="490"/>
      <c r="BV57" s="488"/>
      <c r="BW57" s="489"/>
      <c r="BX57" s="489"/>
      <c r="BY57" s="489"/>
      <c r="BZ57" s="489"/>
      <c r="CA57" s="490"/>
      <c r="CB57" s="483"/>
      <c r="CC57" s="484"/>
      <c r="CD57" s="484"/>
      <c r="CE57" s="485"/>
      <c r="CF57" s="477"/>
      <c r="CG57" s="478"/>
      <c r="CH57" s="478"/>
      <c r="CI57" s="478"/>
      <c r="CJ57" s="479"/>
      <c r="CK57" s="477"/>
      <c r="CL57" s="478"/>
      <c r="CM57" s="478"/>
      <c r="CN57" s="478"/>
      <c r="CO57" s="479"/>
      <c r="CP57" s="477"/>
      <c r="CQ57" s="478"/>
      <c r="CR57" s="478"/>
      <c r="CS57" s="478"/>
      <c r="CT57" s="479"/>
      <c r="CU57" s="480"/>
      <c r="CV57" s="481"/>
      <c r="CW57" s="481"/>
      <c r="CX57" s="481"/>
      <c r="CY57" s="482"/>
    </row>
    <row r="58" spans="1:103" s="91" customFormat="1" ht="16.5" x14ac:dyDescent="0.15">
      <c r="A58" s="518"/>
      <c r="B58" s="107"/>
      <c r="C58" s="219" t="str">
        <f t="shared" ca="1" si="3"/>
        <v>@</v>
      </c>
      <c r="D58" s="523"/>
      <c r="E58" s="524"/>
      <c r="F58" s="524"/>
      <c r="G58" s="524"/>
      <c r="H58" s="524"/>
      <c r="I58" s="524"/>
      <c r="J58" s="524"/>
      <c r="K58" s="529"/>
      <c r="L58" s="530"/>
      <c r="M58" s="530"/>
      <c r="N58" s="530"/>
      <c r="O58" s="530"/>
      <c r="P58" s="530"/>
      <c r="Q58" s="530"/>
      <c r="R58" s="535"/>
      <c r="S58" s="536"/>
      <c r="T58" s="535"/>
      <c r="U58" s="537"/>
      <c r="V58" s="529"/>
      <c r="W58" s="539"/>
      <c r="X58" s="539"/>
      <c r="Y58" s="539"/>
      <c r="Z58" s="539"/>
      <c r="AA58" s="539"/>
      <c r="AB58" s="539"/>
      <c r="AC58" s="539"/>
      <c r="AD58" s="529"/>
      <c r="AE58" s="539"/>
      <c r="AF58" s="539"/>
      <c r="AG58" s="539"/>
      <c r="AH58" s="539"/>
      <c r="AI58" s="539"/>
      <c r="AJ58" s="539"/>
      <c r="AK58" s="542"/>
      <c r="AL58" s="529"/>
      <c r="AM58" s="539"/>
      <c r="AN58" s="539"/>
      <c r="AO58" s="539"/>
      <c r="AP58" s="539"/>
      <c r="AQ58" s="539"/>
      <c r="AR58" s="542"/>
      <c r="AS58" s="549"/>
      <c r="AT58" s="550"/>
      <c r="AU58" s="550"/>
      <c r="AV58" s="550"/>
      <c r="AW58" s="550"/>
      <c r="AX58" s="550"/>
      <c r="AY58" s="551"/>
      <c r="AZ58" s="495"/>
      <c r="BA58" s="496"/>
      <c r="BB58" s="108">
        <v>6</v>
      </c>
      <c r="BC58" s="505"/>
      <c r="BD58" s="506"/>
      <c r="BE58" s="506"/>
      <c r="BF58" s="507"/>
      <c r="BG58" s="508"/>
      <c r="BH58" s="509"/>
      <c r="BI58" s="227"/>
      <c r="BJ58" s="510"/>
      <c r="BK58" s="511"/>
      <c r="BL58" s="511"/>
      <c r="BM58" s="511"/>
      <c r="BN58" s="511"/>
      <c r="BO58" s="512"/>
      <c r="BP58" s="510"/>
      <c r="BQ58" s="511"/>
      <c r="BR58" s="511"/>
      <c r="BS58" s="511"/>
      <c r="BT58" s="511"/>
      <c r="BU58" s="512"/>
      <c r="BV58" s="510"/>
      <c r="BW58" s="511"/>
      <c r="BX58" s="511"/>
      <c r="BY58" s="511"/>
      <c r="BZ58" s="511"/>
      <c r="CA58" s="512"/>
      <c r="CB58" s="513"/>
      <c r="CC58" s="514"/>
      <c r="CD58" s="514"/>
      <c r="CE58" s="515"/>
      <c r="CF58" s="477"/>
      <c r="CG58" s="478"/>
      <c r="CH58" s="478"/>
      <c r="CI58" s="478"/>
      <c r="CJ58" s="479"/>
      <c r="CK58" s="477"/>
      <c r="CL58" s="478"/>
      <c r="CM58" s="478"/>
      <c r="CN58" s="478"/>
      <c r="CO58" s="479"/>
      <c r="CP58" s="477"/>
      <c r="CQ58" s="478"/>
      <c r="CR58" s="478"/>
      <c r="CS58" s="478"/>
      <c r="CT58" s="479"/>
      <c r="CU58" s="480"/>
      <c r="CV58" s="481"/>
      <c r="CW58" s="481"/>
      <c r="CX58" s="481"/>
      <c r="CY58" s="482"/>
    </row>
    <row r="59" spans="1:103" s="91" customFormat="1" ht="16.149999999999999" customHeight="1" x14ac:dyDescent="0.15">
      <c r="A59" s="516">
        <v>9</v>
      </c>
      <c r="B59" s="102"/>
      <c r="C59" s="222" t="str">
        <f t="shared" ca="1" si="3"/>
        <v>@</v>
      </c>
      <c r="D59" s="519" t="s">
        <v>579</v>
      </c>
      <c r="E59" s="520"/>
      <c r="F59" s="520"/>
      <c r="G59" s="520"/>
      <c r="H59" s="520"/>
      <c r="I59" s="520"/>
      <c r="J59" s="520"/>
      <c r="K59" s="525" t="s">
        <v>582</v>
      </c>
      <c r="L59" s="526"/>
      <c r="M59" s="526"/>
      <c r="N59" s="526"/>
      <c r="O59" s="526"/>
      <c r="P59" s="526"/>
      <c r="Q59" s="526"/>
      <c r="R59" s="531"/>
      <c r="S59" s="532"/>
      <c r="T59" s="531" t="s">
        <v>284</v>
      </c>
      <c r="U59" s="532"/>
      <c r="V59" s="525" t="s">
        <v>580</v>
      </c>
      <c r="W59" s="538"/>
      <c r="X59" s="538"/>
      <c r="Y59" s="538"/>
      <c r="Z59" s="538"/>
      <c r="AA59" s="538"/>
      <c r="AB59" s="538"/>
      <c r="AC59" s="538"/>
      <c r="AD59" s="525" t="s">
        <v>581</v>
      </c>
      <c r="AE59" s="526"/>
      <c r="AF59" s="526"/>
      <c r="AG59" s="526"/>
      <c r="AH59" s="526"/>
      <c r="AI59" s="526"/>
      <c r="AJ59" s="526"/>
      <c r="AK59" s="540"/>
      <c r="AL59" s="525"/>
      <c r="AM59" s="538"/>
      <c r="AN59" s="538"/>
      <c r="AO59" s="538"/>
      <c r="AP59" s="538"/>
      <c r="AQ59" s="538"/>
      <c r="AR59" s="540"/>
      <c r="AS59" s="543"/>
      <c r="AT59" s="544"/>
      <c r="AU59" s="544"/>
      <c r="AV59" s="544"/>
      <c r="AW59" s="544"/>
      <c r="AX59" s="544"/>
      <c r="AY59" s="545"/>
      <c r="AZ59" s="491"/>
      <c r="BA59" s="492"/>
      <c r="BB59" s="103">
        <v>1</v>
      </c>
      <c r="BC59" s="497"/>
      <c r="BD59" s="498"/>
      <c r="BE59" s="498"/>
      <c r="BF59" s="499"/>
      <c r="BG59" s="500" t="s">
        <v>568</v>
      </c>
      <c r="BH59" s="501"/>
      <c r="BI59" s="226"/>
      <c r="BJ59" s="502"/>
      <c r="BK59" s="503"/>
      <c r="BL59" s="503"/>
      <c r="BM59" s="503"/>
      <c r="BN59" s="503"/>
      <c r="BO59" s="504"/>
      <c r="BP59" s="502"/>
      <c r="BQ59" s="503"/>
      <c r="BR59" s="503"/>
      <c r="BS59" s="503"/>
      <c r="BT59" s="503"/>
      <c r="BU59" s="504"/>
      <c r="BV59" s="502"/>
      <c r="BW59" s="503"/>
      <c r="BX59" s="503"/>
      <c r="BY59" s="503"/>
      <c r="BZ59" s="503"/>
      <c r="CA59" s="504"/>
      <c r="CB59" s="497"/>
      <c r="CC59" s="498"/>
      <c r="CD59" s="498"/>
      <c r="CE59" s="499"/>
      <c r="CF59" s="477"/>
      <c r="CG59" s="478"/>
      <c r="CH59" s="478"/>
      <c r="CI59" s="478"/>
      <c r="CJ59" s="479"/>
      <c r="CK59" s="477"/>
      <c r="CL59" s="478"/>
      <c r="CM59" s="478"/>
      <c r="CN59" s="478"/>
      <c r="CO59" s="479"/>
      <c r="CP59" s="477"/>
      <c r="CQ59" s="478"/>
      <c r="CR59" s="478"/>
      <c r="CS59" s="478"/>
      <c r="CT59" s="479"/>
      <c r="CU59" s="480"/>
      <c r="CV59" s="481"/>
      <c r="CW59" s="481"/>
      <c r="CX59" s="481"/>
      <c r="CY59" s="482"/>
    </row>
    <row r="60" spans="1:103" s="91" customFormat="1" ht="16.5" x14ac:dyDescent="0.15">
      <c r="A60" s="517"/>
      <c r="B60" s="102"/>
      <c r="C60" s="220" t="str">
        <f t="shared" ca="1" si="3"/>
        <v>@</v>
      </c>
      <c r="D60" s="521"/>
      <c r="E60" s="522"/>
      <c r="F60" s="522"/>
      <c r="G60" s="522"/>
      <c r="H60" s="522"/>
      <c r="I60" s="522"/>
      <c r="J60" s="522"/>
      <c r="K60" s="527"/>
      <c r="L60" s="528"/>
      <c r="M60" s="528"/>
      <c r="N60" s="528"/>
      <c r="O60" s="528"/>
      <c r="P60" s="528"/>
      <c r="Q60" s="528"/>
      <c r="R60" s="533"/>
      <c r="S60" s="534"/>
      <c r="T60" s="533"/>
      <c r="U60" s="534"/>
      <c r="V60" s="527"/>
      <c r="W60" s="528"/>
      <c r="X60" s="528"/>
      <c r="Y60" s="528"/>
      <c r="Z60" s="528"/>
      <c r="AA60" s="528"/>
      <c r="AB60" s="528"/>
      <c r="AC60" s="528"/>
      <c r="AD60" s="527"/>
      <c r="AE60" s="528"/>
      <c r="AF60" s="528"/>
      <c r="AG60" s="528"/>
      <c r="AH60" s="528"/>
      <c r="AI60" s="528"/>
      <c r="AJ60" s="528"/>
      <c r="AK60" s="541"/>
      <c r="AL60" s="527"/>
      <c r="AM60" s="528"/>
      <c r="AN60" s="528"/>
      <c r="AO60" s="528"/>
      <c r="AP60" s="528"/>
      <c r="AQ60" s="528"/>
      <c r="AR60" s="541"/>
      <c r="AS60" s="546"/>
      <c r="AT60" s="547"/>
      <c r="AU60" s="547"/>
      <c r="AV60" s="547"/>
      <c r="AW60" s="547"/>
      <c r="AX60" s="547"/>
      <c r="AY60" s="548"/>
      <c r="AZ60" s="493"/>
      <c r="BA60" s="494"/>
      <c r="BB60" s="105">
        <v>2</v>
      </c>
      <c r="BC60" s="483"/>
      <c r="BD60" s="484"/>
      <c r="BE60" s="484"/>
      <c r="BF60" s="485"/>
      <c r="BG60" s="486"/>
      <c r="BH60" s="487"/>
      <c r="BI60" s="224"/>
      <c r="BJ60" s="488"/>
      <c r="BK60" s="489"/>
      <c r="BL60" s="489"/>
      <c r="BM60" s="489"/>
      <c r="BN60" s="489"/>
      <c r="BO60" s="490"/>
      <c r="BP60" s="488"/>
      <c r="BQ60" s="489"/>
      <c r="BR60" s="489"/>
      <c r="BS60" s="489"/>
      <c r="BT60" s="489"/>
      <c r="BU60" s="490"/>
      <c r="BV60" s="488"/>
      <c r="BW60" s="489"/>
      <c r="BX60" s="489"/>
      <c r="BY60" s="489"/>
      <c r="BZ60" s="489"/>
      <c r="CA60" s="490"/>
      <c r="CB60" s="483"/>
      <c r="CC60" s="484"/>
      <c r="CD60" s="484"/>
      <c r="CE60" s="485"/>
      <c r="CF60" s="477"/>
      <c r="CG60" s="478"/>
      <c r="CH60" s="478"/>
      <c r="CI60" s="478"/>
      <c r="CJ60" s="479"/>
      <c r="CK60" s="477"/>
      <c r="CL60" s="478"/>
      <c r="CM60" s="478"/>
      <c r="CN60" s="478"/>
      <c r="CO60" s="479"/>
      <c r="CP60" s="477"/>
      <c r="CQ60" s="478"/>
      <c r="CR60" s="478"/>
      <c r="CS60" s="478"/>
      <c r="CT60" s="479"/>
      <c r="CU60" s="480"/>
      <c r="CV60" s="481"/>
      <c r="CW60" s="481"/>
      <c r="CX60" s="481"/>
      <c r="CY60" s="482"/>
    </row>
    <row r="61" spans="1:103" s="91" customFormat="1" ht="16.5" x14ac:dyDescent="0.15">
      <c r="A61" s="517"/>
      <c r="B61" s="102"/>
      <c r="C61" s="220" t="str">
        <f t="shared" ca="1" si="3"/>
        <v>@</v>
      </c>
      <c r="D61" s="521"/>
      <c r="E61" s="522"/>
      <c r="F61" s="522"/>
      <c r="G61" s="522"/>
      <c r="H61" s="522"/>
      <c r="I61" s="522"/>
      <c r="J61" s="522"/>
      <c r="K61" s="527"/>
      <c r="L61" s="528"/>
      <c r="M61" s="528"/>
      <c r="N61" s="528"/>
      <c r="O61" s="528"/>
      <c r="P61" s="528"/>
      <c r="Q61" s="528"/>
      <c r="R61" s="533"/>
      <c r="S61" s="534"/>
      <c r="T61" s="533"/>
      <c r="U61" s="534"/>
      <c r="V61" s="527"/>
      <c r="W61" s="528"/>
      <c r="X61" s="528"/>
      <c r="Y61" s="528"/>
      <c r="Z61" s="528"/>
      <c r="AA61" s="528"/>
      <c r="AB61" s="528"/>
      <c r="AC61" s="528"/>
      <c r="AD61" s="527"/>
      <c r="AE61" s="528"/>
      <c r="AF61" s="528"/>
      <c r="AG61" s="528"/>
      <c r="AH61" s="528"/>
      <c r="AI61" s="528"/>
      <c r="AJ61" s="528"/>
      <c r="AK61" s="541"/>
      <c r="AL61" s="527"/>
      <c r="AM61" s="528"/>
      <c r="AN61" s="528"/>
      <c r="AO61" s="528"/>
      <c r="AP61" s="528"/>
      <c r="AQ61" s="528"/>
      <c r="AR61" s="541"/>
      <c r="AS61" s="546"/>
      <c r="AT61" s="547"/>
      <c r="AU61" s="547"/>
      <c r="AV61" s="547"/>
      <c r="AW61" s="547"/>
      <c r="AX61" s="547"/>
      <c r="AY61" s="548"/>
      <c r="AZ61" s="493"/>
      <c r="BA61" s="494"/>
      <c r="BB61" s="105">
        <v>3</v>
      </c>
      <c r="BC61" s="483"/>
      <c r="BD61" s="484"/>
      <c r="BE61" s="484"/>
      <c r="BF61" s="485"/>
      <c r="BG61" s="486"/>
      <c r="BH61" s="487"/>
      <c r="BI61" s="224"/>
      <c r="BJ61" s="488"/>
      <c r="BK61" s="489"/>
      <c r="BL61" s="489"/>
      <c r="BM61" s="489"/>
      <c r="BN61" s="489"/>
      <c r="BO61" s="490"/>
      <c r="BP61" s="488"/>
      <c r="BQ61" s="489"/>
      <c r="BR61" s="489"/>
      <c r="BS61" s="489"/>
      <c r="BT61" s="489"/>
      <c r="BU61" s="490"/>
      <c r="BV61" s="488"/>
      <c r="BW61" s="489"/>
      <c r="BX61" s="489"/>
      <c r="BY61" s="489"/>
      <c r="BZ61" s="489"/>
      <c r="CA61" s="490"/>
      <c r="CB61" s="483"/>
      <c r="CC61" s="484"/>
      <c r="CD61" s="484"/>
      <c r="CE61" s="485"/>
      <c r="CF61" s="477"/>
      <c r="CG61" s="478"/>
      <c r="CH61" s="478"/>
      <c r="CI61" s="478"/>
      <c r="CJ61" s="479"/>
      <c r="CK61" s="477"/>
      <c r="CL61" s="478"/>
      <c r="CM61" s="478"/>
      <c r="CN61" s="478"/>
      <c r="CO61" s="479"/>
      <c r="CP61" s="477"/>
      <c r="CQ61" s="478"/>
      <c r="CR61" s="478"/>
      <c r="CS61" s="478"/>
      <c r="CT61" s="479"/>
      <c r="CU61" s="480"/>
      <c r="CV61" s="481"/>
      <c r="CW61" s="481"/>
      <c r="CX61" s="481"/>
      <c r="CY61" s="482"/>
    </row>
    <row r="62" spans="1:103" s="91" customFormat="1" ht="16.5" x14ac:dyDescent="0.15">
      <c r="A62" s="517"/>
      <c r="B62" s="102"/>
      <c r="C62" s="220" t="str">
        <f t="shared" ca="1" si="3"/>
        <v>@</v>
      </c>
      <c r="D62" s="521"/>
      <c r="E62" s="522"/>
      <c r="F62" s="522"/>
      <c r="G62" s="522"/>
      <c r="H62" s="522"/>
      <c r="I62" s="522"/>
      <c r="J62" s="522"/>
      <c r="K62" s="527"/>
      <c r="L62" s="528"/>
      <c r="M62" s="528"/>
      <c r="N62" s="528"/>
      <c r="O62" s="528"/>
      <c r="P62" s="528"/>
      <c r="Q62" s="528"/>
      <c r="R62" s="533"/>
      <c r="S62" s="534"/>
      <c r="T62" s="533"/>
      <c r="U62" s="534"/>
      <c r="V62" s="527"/>
      <c r="W62" s="528"/>
      <c r="X62" s="528"/>
      <c r="Y62" s="528"/>
      <c r="Z62" s="528"/>
      <c r="AA62" s="528"/>
      <c r="AB62" s="528"/>
      <c r="AC62" s="528"/>
      <c r="AD62" s="527"/>
      <c r="AE62" s="528"/>
      <c r="AF62" s="528"/>
      <c r="AG62" s="528"/>
      <c r="AH62" s="528"/>
      <c r="AI62" s="528"/>
      <c r="AJ62" s="528"/>
      <c r="AK62" s="541"/>
      <c r="AL62" s="527"/>
      <c r="AM62" s="528"/>
      <c r="AN62" s="528"/>
      <c r="AO62" s="528"/>
      <c r="AP62" s="528"/>
      <c r="AQ62" s="528"/>
      <c r="AR62" s="541"/>
      <c r="AS62" s="546"/>
      <c r="AT62" s="547"/>
      <c r="AU62" s="547"/>
      <c r="AV62" s="547"/>
      <c r="AW62" s="547"/>
      <c r="AX62" s="547"/>
      <c r="AY62" s="548"/>
      <c r="AZ62" s="493"/>
      <c r="BA62" s="494"/>
      <c r="BB62" s="105">
        <v>4</v>
      </c>
      <c r="BC62" s="483"/>
      <c r="BD62" s="484"/>
      <c r="BE62" s="484"/>
      <c r="BF62" s="485"/>
      <c r="BG62" s="486"/>
      <c r="BH62" s="487"/>
      <c r="BI62" s="224"/>
      <c r="BJ62" s="488"/>
      <c r="BK62" s="489"/>
      <c r="BL62" s="489"/>
      <c r="BM62" s="489"/>
      <c r="BN62" s="489"/>
      <c r="BO62" s="490"/>
      <c r="BP62" s="488"/>
      <c r="BQ62" s="489"/>
      <c r="BR62" s="489"/>
      <c r="BS62" s="489"/>
      <c r="BT62" s="489"/>
      <c r="BU62" s="490"/>
      <c r="BV62" s="488"/>
      <c r="BW62" s="489"/>
      <c r="BX62" s="489"/>
      <c r="BY62" s="489"/>
      <c r="BZ62" s="489"/>
      <c r="CA62" s="490"/>
      <c r="CB62" s="483"/>
      <c r="CC62" s="484"/>
      <c r="CD62" s="484"/>
      <c r="CE62" s="485"/>
      <c r="CF62" s="477"/>
      <c r="CG62" s="478"/>
      <c r="CH62" s="478"/>
      <c r="CI62" s="478"/>
      <c r="CJ62" s="479"/>
      <c r="CK62" s="477"/>
      <c r="CL62" s="478"/>
      <c r="CM62" s="478"/>
      <c r="CN62" s="478"/>
      <c r="CO62" s="479"/>
      <c r="CP62" s="477"/>
      <c r="CQ62" s="478"/>
      <c r="CR62" s="478"/>
      <c r="CS62" s="478"/>
      <c r="CT62" s="479"/>
      <c r="CU62" s="480"/>
      <c r="CV62" s="481"/>
      <c r="CW62" s="481"/>
      <c r="CX62" s="481"/>
      <c r="CY62" s="482"/>
    </row>
    <row r="63" spans="1:103" s="91" customFormat="1" ht="16.5" x14ac:dyDescent="0.15">
      <c r="A63" s="517"/>
      <c r="B63" s="102"/>
      <c r="C63" s="220" t="str">
        <f t="shared" ca="1" si="3"/>
        <v>@</v>
      </c>
      <c r="D63" s="521"/>
      <c r="E63" s="522"/>
      <c r="F63" s="522"/>
      <c r="G63" s="522"/>
      <c r="H63" s="522"/>
      <c r="I63" s="522"/>
      <c r="J63" s="522"/>
      <c r="K63" s="527"/>
      <c r="L63" s="528"/>
      <c r="M63" s="528"/>
      <c r="N63" s="528"/>
      <c r="O63" s="528"/>
      <c r="P63" s="528"/>
      <c r="Q63" s="528"/>
      <c r="R63" s="533"/>
      <c r="S63" s="534"/>
      <c r="T63" s="533"/>
      <c r="U63" s="534"/>
      <c r="V63" s="527"/>
      <c r="W63" s="528"/>
      <c r="X63" s="528"/>
      <c r="Y63" s="528"/>
      <c r="Z63" s="528"/>
      <c r="AA63" s="528"/>
      <c r="AB63" s="528"/>
      <c r="AC63" s="528"/>
      <c r="AD63" s="527"/>
      <c r="AE63" s="528"/>
      <c r="AF63" s="528"/>
      <c r="AG63" s="528"/>
      <c r="AH63" s="528"/>
      <c r="AI63" s="528"/>
      <c r="AJ63" s="528"/>
      <c r="AK63" s="541"/>
      <c r="AL63" s="527"/>
      <c r="AM63" s="528"/>
      <c r="AN63" s="528"/>
      <c r="AO63" s="528"/>
      <c r="AP63" s="528"/>
      <c r="AQ63" s="528"/>
      <c r="AR63" s="541"/>
      <c r="AS63" s="546"/>
      <c r="AT63" s="547"/>
      <c r="AU63" s="547"/>
      <c r="AV63" s="547"/>
      <c r="AW63" s="547"/>
      <c r="AX63" s="547"/>
      <c r="AY63" s="548"/>
      <c r="AZ63" s="493"/>
      <c r="BA63" s="494"/>
      <c r="BB63" s="105">
        <v>5</v>
      </c>
      <c r="BC63" s="483"/>
      <c r="BD63" s="484"/>
      <c r="BE63" s="484"/>
      <c r="BF63" s="485"/>
      <c r="BG63" s="486"/>
      <c r="BH63" s="487"/>
      <c r="BI63" s="224"/>
      <c r="BJ63" s="488"/>
      <c r="BK63" s="489"/>
      <c r="BL63" s="489"/>
      <c r="BM63" s="489"/>
      <c r="BN63" s="489"/>
      <c r="BO63" s="490"/>
      <c r="BP63" s="488"/>
      <c r="BQ63" s="489"/>
      <c r="BR63" s="489"/>
      <c r="BS63" s="489"/>
      <c r="BT63" s="489"/>
      <c r="BU63" s="490"/>
      <c r="BV63" s="488"/>
      <c r="BW63" s="489"/>
      <c r="BX63" s="489"/>
      <c r="BY63" s="489"/>
      <c r="BZ63" s="489"/>
      <c r="CA63" s="490"/>
      <c r="CB63" s="483"/>
      <c r="CC63" s="484"/>
      <c r="CD63" s="484"/>
      <c r="CE63" s="485"/>
      <c r="CF63" s="477"/>
      <c r="CG63" s="478"/>
      <c r="CH63" s="478"/>
      <c r="CI63" s="478"/>
      <c r="CJ63" s="479"/>
      <c r="CK63" s="477"/>
      <c r="CL63" s="478"/>
      <c r="CM63" s="478"/>
      <c r="CN63" s="478"/>
      <c r="CO63" s="479"/>
      <c r="CP63" s="477"/>
      <c r="CQ63" s="478"/>
      <c r="CR63" s="478"/>
      <c r="CS63" s="478"/>
      <c r="CT63" s="479"/>
      <c r="CU63" s="480"/>
      <c r="CV63" s="481"/>
      <c r="CW63" s="481"/>
      <c r="CX63" s="481"/>
      <c r="CY63" s="482"/>
    </row>
    <row r="64" spans="1:103" s="91" customFormat="1" ht="16.5" x14ac:dyDescent="0.15">
      <c r="A64" s="518"/>
      <c r="B64" s="107"/>
      <c r="C64" s="220" t="str">
        <f t="shared" ca="1" si="3"/>
        <v>@</v>
      </c>
      <c r="D64" s="523"/>
      <c r="E64" s="524"/>
      <c r="F64" s="524"/>
      <c r="G64" s="524"/>
      <c r="H64" s="524"/>
      <c r="I64" s="524"/>
      <c r="J64" s="524"/>
      <c r="K64" s="529"/>
      <c r="L64" s="530"/>
      <c r="M64" s="530"/>
      <c r="N64" s="530"/>
      <c r="O64" s="530"/>
      <c r="P64" s="530"/>
      <c r="Q64" s="530"/>
      <c r="R64" s="535"/>
      <c r="S64" s="536"/>
      <c r="T64" s="535"/>
      <c r="U64" s="537"/>
      <c r="V64" s="529"/>
      <c r="W64" s="539"/>
      <c r="X64" s="539"/>
      <c r="Y64" s="539"/>
      <c r="Z64" s="539"/>
      <c r="AA64" s="539"/>
      <c r="AB64" s="539"/>
      <c r="AC64" s="539"/>
      <c r="AD64" s="529"/>
      <c r="AE64" s="530"/>
      <c r="AF64" s="530"/>
      <c r="AG64" s="530"/>
      <c r="AH64" s="530"/>
      <c r="AI64" s="530"/>
      <c r="AJ64" s="530"/>
      <c r="AK64" s="555"/>
      <c r="AL64" s="529"/>
      <c r="AM64" s="539"/>
      <c r="AN64" s="539"/>
      <c r="AO64" s="539"/>
      <c r="AP64" s="539"/>
      <c r="AQ64" s="539"/>
      <c r="AR64" s="542"/>
      <c r="AS64" s="549"/>
      <c r="AT64" s="550"/>
      <c r="AU64" s="550"/>
      <c r="AV64" s="550"/>
      <c r="AW64" s="550"/>
      <c r="AX64" s="550"/>
      <c r="AY64" s="551"/>
      <c r="AZ64" s="495"/>
      <c r="BA64" s="496"/>
      <c r="BB64" s="108">
        <v>6</v>
      </c>
      <c r="BC64" s="505"/>
      <c r="BD64" s="506"/>
      <c r="BE64" s="506"/>
      <c r="BF64" s="507"/>
      <c r="BG64" s="508"/>
      <c r="BH64" s="509"/>
      <c r="BI64" s="227"/>
      <c r="BJ64" s="510"/>
      <c r="BK64" s="511"/>
      <c r="BL64" s="511"/>
      <c r="BM64" s="511"/>
      <c r="BN64" s="511"/>
      <c r="BO64" s="512"/>
      <c r="BP64" s="510"/>
      <c r="BQ64" s="511"/>
      <c r="BR64" s="511"/>
      <c r="BS64" s="511"/>
      <c r="BT64" s="511"/>
      <c r="BU64" s="512"/>
      <c r="BV64" s="510"/>
      <c r="BW64" s="511"/>
      <c r="BX64" s="511"/>
      <c r="BY64" s="511"/>
      <c r="BZ64" s="511"/>
      <c r="CA64" s="512"/>
      <c r="CB64" s="513"/>
      <c r="CC64" s="514"/>
      <c r="CD64" s="514"/>
      <c r="CE64" s="515"/>
      <c r="CF64" s="477"/>
      <c r="CG64" s="478"/>
      <c r="CH64" s="478"/>
      <c r="CI64" s="478"/>
      <c r="CJ64" s="479"/>
      <c r="CK64" s="477"/>
      <c r="CL64" s="478"/>
      <c r="CM64" s="478"/>
      <c r="CN64" s="478"/>
      <c r="CO64" s="479"/>
      <c r="CP64" s="477"/>
      <c r="CQ64" s="478"/>
      <c r="CR64" s="478"/>
      <c r="CS64" s="478"/>
      <c r="CT64" s="479"/>
      <c r="CU64" s="480"/>
      <c r="CV64" s="481"/>
      <c r="CW64" s="481"/>
      <c r="CX64" s="481"/>
      <c r="CY64" s="482"/>
    </row>
    <row r="65" spans="1:103" s="91" customFormat="1" ht="16.149999999999999" customHeight="1" x14ac:dyDescent="0.15">
      <c r="A65" s="516">
        <v>10</v>
      </c>
      <c r="B65" s="102"/>
      <c r="C65" s="220" t="str">
        <f t="shared" ca="1" si="3"/>
        <v>@</v>
      </c>
      <c r="D65" s="519" t="s">
        <v>579</v>
      </c>
      <c r="E65" s="520"/>
      <c r="F65" s="520"/>
      <c r="G65" s="520"/>
      <c r="H65" s="520"/>
      <c r="I65" s="520"/>
      <c r="J65" s="520"/>
      <c r="K65" s="525" t="s">
        <v>583</v>
      </c>
      <c r="L65" s="526"/>
      <c r="M65" s="526"/>
      <c r="N65" s="526"/>
      <c r="O65" s="526"/>
      <c r="P65" s="526"/>
      <c r="Q65" s="526"/>
      <c r="R65" s="531"/>
      <c r="S65" s="532"/>
      <c r="T65" s="531" t="s">
        <v>284</v>
      </c>
      <c r="U65" s="532"/>
      <c r="V65" s="525" t="s">
        <v>584</v>
      </c>
      <c r="W65" s="538"/>
      <c r="X65" s="538"/>
      <c r="Y65" s="538"/>
      <c r="Z65" s="538"/>
      <c r="AA65" s="538"/>
      <c r="AB65" s="538"/>
      <c r="AC65" s="538"/>
      <c r="AD65" s="525" t="s">
        <v>585</v>
      </c>
      <c r="AE65" s="526"/>
      <c r="AF65" s="526"/>
      <c r="AG65" s="526"/>
      <c r="AH65" s="526"/>
      <c r="AI65" s="526"/>
      <c r="AJ65" s="526"/>
      <c r="AK65" s="540"/>
      <c r="AL65" s="525"/>
      <c r="AM65" s="538"/>
      <c r="AN65" s="538"/>
      <c r="AO65" s="538"/>
      <c r="AP65" s="538"/>
      <c r="AQ65" s="538"/>
      <c r="AR65" s="540"/>
      <c r="AS65" s="543"/>
      <c r="AT65" s="544"/>
      <c r="AU65" s="544"/>
      <c r="AV65" s="544"/>
      <c r="AW65" s="544"/>
      <c r="AX65" s="544"/>
      <c r="AY65" s="545"/>
      <c r="AZ65" s="491"/>
      <c r="BA65" s="492"/>
      <c r="BB65" s="103">
        <v>1</v>
      </c>
      <c r="BC65" s="497"/>
      <c r="BD65" s="498"/>
      <c r="BE65" s="498"/>
      <c r="BF65" s="499"/>
      <c r="BG65" s="500" t="s">
        <v>568</v>
      </c>
      <c r="BH65" s="501"/>
      <c r="BI65" s="226"/>
      <c r="BJ65" s="502"/>
      <c r="BK65" s="503"/>
      <c r="BL65" s="503"/>
      <c r="BM65" s="503"/>
      <c r="BN65" s="503"/>
      <c r="BO65" s="504"/>
      <c r="BP65" s="502"/>
      <c r="BQ65" s="503"/>
      <c r="BR65" s="503"/>
      <c r="BS65" s="503"/>
      <c r="BT65" s="503"/>
      <c r="BU65" s="504"/>
      <c r="BV65" s="502"/>
      <c r="BW65" s="503"/>
      <c r="BX65" s="503"/>
      <c r="BY65" s="503"/>
      <c r="BZ65" s="503"/>
      <c r="CA65" s="504"/>
      <c r="CB65" s="552"/>
      <c r="CC65" s="553"/>
      <c r="CD65" s="553"/>
      <c r="CE65" s="554"/>
      <c r="CF65" s="477"/>
      <c r="CG65" s="478"/>
      <c r="CH65" s="478"/>
      <c r="CI65" s="478"/>
      <c r="CJ65" s="479"/>
      <c r="CK65" s="477"/>
      <c r="CL65" s="478"/>
      <c r="CM65" s="478"/>
      <c r="CN65" s="478"/>
      <c r="CO65" s="479"/>
      <c r="CP65" s="477"/>
      <c r="CQ65" s="478"/>
      <c r="CR65" s="478"/>
      <c r="CS65" s="478"/>
      <c r="CT65" s="479"/>
      <c r="CU65" s="477"/>
      <c r="CV65" s="481"/>
      <c r="CW65" s="481"/>
      <c r="CX65" s="481"/>
      <c r="CY65" s="482"/>
    </row>
    <row r="66" spans="1:103" s="91" customFormat="1" ht="16.5" x14ac:dyDescent="0.15">
      <c r="A66" s="517"/>
      <c r="B66" s="102"/>
      <c r="C66" s="220" t="str">
        <f t="shared" ca="1" si="3"/>
        <v>@</v>
      </c>
      <c r="D66" s="521"/>
      <c r="E66" s="522"/>
      <c r="F66" s="522"/>
      <c r="G66" s="522"/>
      <c r="H66" s="522"/>
      <c r="I66" s="522"/>
      <c r="J66" s="522"/>
      <c r="K66" s="527"/>
      <c r="L66" s="528"/>
      <c r="M66" s="528"/>
      <c r="N66" s="528"/>
      <c r="O66" s="528"/>
      <c r="P66" s="528"/>
      <c r="Q66" s="528"/>
      <c r="R66" s="533"/>
      <c r="S66" s="534"/>
      <c r="T66" s="533"/>
      <c r="U66" s="534"/>
      <c r="V66" s="527"/>
      <c r="W66" s="528"/>
      <c r="X66" s="528"/>
      <c r="Y66" s="528"/>
      <c r="Z66" s="528"/>
      <c r="AA66" s="528"/>
      <c r="AB66" s="528"/>
      <c r="AC66" s="528"/>
      <c r="AD66" s="527"/>
      <c r="AE66" s="528"/>
      <c r="AF66" s="528"/>
      <c r="AG66" s="528"/>
      <c r="AH66" s="528"/>
      <c r="AI66" s="528"/>
      <c r="AJ66" s="528"/>
      <c r="AK66" s="541"/>
      <c r="AL66" s="527"/>
      <c r="AM66" s="528"/>
      <c r="AN66" s="528"/>
      <c r="AO66" s="528"/>
      <c r="AP66" s="528"/>
      <c r="AQ66" s="528"/>
      <c r="AR66" s="541"/>
      <c r="AS66" s="546"/>
      <c r="AT66" s="547"/>
      <c r="AU66" s="547"/>
      <c r="AV66" s="547"/>
      <c r="AW66" s="547"/>
      <c r="AX66" s="547"/>
      <c r="AY66" s="548"/>
      <c r="AZ66" s="493"/>
      <c r="BA66" s="494"/>
      <c r="BB66" s="105">
        <v>2</v>
      </c>
      <c r="BC66" s="483"/>
      <c r="BD66" s="484"/>
      <c r="BE66" s="484"/>
      <c r="BF66" s="485"/>
      <c r="BG66" s="486"/>
      <c r="BH66" s="487"/>
      <c r="BI66" s="224"/>
      <c r="BJ66" s="488"/>
      <c r="BK66" s="489"/>
      <c r="BL66" s="489"/>
      <c r="BM66" s="489"/>
      <c r="BN66" s="489"/>
      <c r="BO66" s="490"/>
      <c r="BP66" s="488"/>
      <c r="BQ66" s="489"/>
      <c r="BR66" s="489"/>
      <c r="BS66" s="489"/>
      <c r="BT66" s="489"/>
      <c r="BU66" s="490"/>
      <c r="BV66" s="488"/>
      <c r="BW66" s="489"/>
      <c r="BX66" s="489"/>
      <c r="BY66" s="489"/>
      <c r="BZ66" s="489"/>
      <c r="CA66" s="490"/>
      <c r="CB66" s="483"/>
      <c r="CC66" s="484"/>
      <c r="CD66" s="484"/>
      <c r="CE66" s="485"/>
      <c r="CF66" s="477"/>
      <c r="CG66" s="478"/>
      <c r="CH66" s="478"/>
      <c r="CI66" s="478"/>
      <c r="CJ66" s="479"/>
      <c r="CK66" s="477"/>
      <c r="CL66" s="478"/>
      <c r="CM66" s="478"/>
      <c r="CN66" s="478"/>
      <c r="CO66" s="479"/>
      <c r="CP66" s="477"/>
      <c r="CQ66" s="478"/>
      <c r="CR66" s="478"/>
      <c r="CS66" s="478"/>
      <c r="CT66" s="479"/>
      <c r="CU66" s="480"/>
      <c r="CV66" s="481"/>
      <c r="CW66" s="481"/>
      <c r="CX66" s="481"/>
      <c r="CY66" s="482"/>
    </row>
    <row r="67" spans="1:103" s="91" customFormat="1" ht="16.5" x14ac:dyDescent="0.15">
      <c r="A67" s="517"/>
      <c r="B67" s="102"/>
      <c r="C67" s="220" t="str">
        <f t="shared" ca="1" si="3"/>
        <v>@</v>
      </c>
      <c r="D67" s="521"/>
      <c r="E67" s="522"/>
      <c r="F67" s="522"/>
      <c r="G67" s="522"/>
      <c r="H67" s="522"/>
      <c r="I67" s="522"/>
      <c r="J67" s="522"/>
      <c r="K67" s="527"/>
      <c r="L67" s="528"/>
      <c r="M67" s="528"/>
      <c r="N67" s="528"/>
      <c r="O67" s="528"/>
      <c r="P67" s="528"/>
      <c r="Q67" s="528"/>
      <c r="R67" s="533"/>
      <c r="S67" s="534"/>
      <c r="T67" s="533"/>
      <c r="U67" s="534"/>
      <c r="V67" s="527"/>
      <c r="W67" s="528"/>
      <c r="X67" s="528"/>
      <c r="Y67" s="528"/>
      <c r="Z67" s="528"/>
      <c r="AA67" s="528"/>
      <c r="AB67" s="528"/>
      <c r="AC67" s="528"/>
      <c r="AD67" s="527"/>
      <c r="AE67" s="528"/>
      <c r="AF67" s="528"/>
      <c r="AG67" s="528"/>
      <c r="AH67" s="528"/>
      <c r="AI67" s="528"/>
      <c r="AJ67" s="528"/>
      <c r="AK67" s="541"/>
      <c r="AL67" s="527"/>
      <c r="AM67" s="528"/>
      <c r="AN67" s="528"/>
      <c r="AO67" s="528"/>
      <c r="AP67" s="528"/>
      <c r="AQ67" s="528"/>
      <c r="AR67" s="541"/>
      <c r="AS67" s="546"/>
      <c r="AT67" s="547"/>
      <c r="AU67" s="547"/>
      <c r="AV67" s="547"/>
      <c r="AW67" s="547"/>
      <c r="AX67" s="547"/>
      <c r="AY67" s="548"/>
      <c r="AZ67" s="493"/>
      <c r="BA67" s="494"/>
      <c r="BB67" s="105">
        <v>3</v>
      </c>
      <c r="BC67" s="483"/>
      <c r="BD67" s="484"/>
      <c r="BE67" s="484"/>
      <c r="BF67" s="485"/>
      <c r="BG67" s="486"/>
      <c r="BH67" s="487"/>
      <c r="BI67" s="224"/>
      <c r="BJ67" s="488"/>
      <c r="BK67" s="489"/>
      <c r="BL67" s="489"/>
      <c r="BM67" s="489"/>
      <c r="BN67" s="489"/>
      <c r="BO67" s="490"/>
      <c r="BP67" s="488"/>
      <c r="BQ67" s="489"/>
      <c r="BR67" s="489"/>
      <c r="BS67" s="489"/>
      <c r="BT67" s="489"/>
      <c r="BU67" s="490"/>
      <c r="BV67" s="488"/>
      <c r="BW67" s="489"/>
      <c r="BX67" s="489"/>
      <c r="BY67" s="489"/>
      <c r="BZ67" s="489"/>
      <c r="CA67" s="490"/>
      <c r="CB67" s="483"/>
      <c r="CC67" s="484"/>
      <c r="CD67" s="484"/>
      <c r="CE67" s="485"/>
      <c r="CF67" s="477"/>
      <c r="CG67" s="478"/>
      <c r="CH67" s="478"/>
      <c r="CI67" s="478"/>
      <c r="CJ67" s="479"/>
      <c r="CK67" s="477"/>
      <c r="CL67" s="478"/>
      <c r="CM67" s="478"/>
      <c r="CN67" s="478"/>
      <c r="CO67" s="479"/>
      <c r="CP67" s="477"/>
      <c r="CQ67" s="478"/>
      <c r="CR67" s="478"/>
      <c r="CS67" s="478"/>
      <c r="CT67" s="479"/>
      <c r="CU67" s="480"/>
      <c r="CV67" s="481"/>
      <c r="CW67" s="481"/>
      <c r="CX67" s="481"/>
      <c r="CY67" s="482"/>
    </row>
    <row r="68" spans="1:103" s="91" customFormat="1" ht="16.5" x14ac:dyDescent="0.15">
      <c r="A68" s="517"/>
      <c r="B68" s="102"/>
      <c r="C68" s="220" t="str">
        <f t="shared" ca="1" si="3"/>
        <v>@</v>
      </c>
      <c r="D68" s="521"/>
      <c r="E68" s="522"/>
      <c r="F68" s="522"/>
      <c r="G68" s="522"/>
      <c r="H68" s="522"/>
      <c r="I68" s="522"/>
      <c r="J68" s="522"/>
      <c r="K68" s="527"/>
      <c r="L68" s="528"/>
      <c r="M68" s="528"/>
      <c r="N68" s="528"/>
      <c r="O68" s="528"/>
      <c r="P68" s="528"/>
      <c r="Q68" s="528"/>
      <c r="R68" s="533"/>
      <c r="S68" s="534"/>
      <c r="T68" s="533"/>
      <c r="U68" s="534"/>
      <c r="V68" s="527"/>
      <c r="W68" s="528"/>
      <c r="X68" s="528"/>
      <c r="Y68" s="528"/>
      <c r="Z68" s="528"/>
      <c r="AA68" s="528"/>
      <c r="AB68" s="528"/>
      <c r="AC68" s="528"/>
      <c r="AD68" s="527"/>
      <c r="AE68" s="528"/>
      <c r="AF68" s="528"/>
      <c r="AG68" s="528"/>
      <c r="AH68" s="528"/>
      <c r="AI68" s="528"/>
      <c r="AJ68" s="528"/>
      <c r="AK68" s="541"/>
      <c r="AL68" s="527"/>
      <c r="AM68" s="528"/>
      <c r="AN68" s="528"/>
      <c r="AO68" s="528"/>
      <c r="AP68" s="528"/>
      <c r="AQ68" s="528"/>
      <c r="AR68" s="541"/>
      <c r="AS68" s="546"/>
      <c r="AT68" s="547"/>
      <c r="AU68" s="547"/>
      <c r="AV68" s="547"/>
      <c r="AW68" s="547"/>
      <c r="AX68" s="547"/>
      <c r="AY68" s="548"/>
      <c r="AZ68" s="493"/>
      <c r="BA68" s="494"/>
      <c r="BB68" s="105">
        <v>4</v>
      </c>
      <c r="BC68" s="483"/>
      <c r="BD68" s="484"/>
      <c r="BE68" s="484"/>
      <c r="BF68" s="485"/>
      <c r="BG68" s="486"/>
      <c r="BH68" s="487"/>
      <c r="BI68" s="224"/>
      <c r="BJ68" s="488"/>
      <c r="BK68" s="489"/>
      <c r="BL68" s="489"/>
      <c r="BM68" s="489"/>
      <c r="BN68" s="489"/>
      <c r="BO68" s="490"/>
      <c r="BP68" s="488"/>
      <c r="BQ68" s="489"/>
      <c r="BR68" s="489"/>
      <c r="BS68" s="489"/>
      <c r="BT68" s="489"/>
      <c r="BU68" s="490"/>
      <c r="BV68" s="488"/>
      <c r="BW68" s="489"/>
      <c r="BX68" s="489"/>
      <c r="BY68" s="489"/>
      <c r="BZ68" s="489"/>
      <c r="CA68" s="490"/>
      <c r="CB68" s="483"/>
      <c r="CC68" s="484"/>
      <c r="CD68" s="484"/>
      <c r="CE68" s="485"/>
      <c r="CF68" s="477"/>
      <c r="CG68" s="478"/>
      <c r="CH68" s="478"/>
      <c r="CI68" s="478"/>
      <c r="CJ68" s="479"/>
      <c r="CK68" s="477"/>
      <c r="CL68" s="478"/>
      <c r="CM68" s="478"/>
      <c r="CN68" s="478"/>
      <c r="CO68" s="479"/>
      <c r="CP68" s="477"/>
      <c r="CQ68" s="478"/>
      <c r="CR68" s="478"/>
      <c r="CS68" s="478"/>
      <c r="CT68" s="479"/>
      <c r="CU68" s="480"/>
      <c r="CV68" s="481"/>
      <c r="CW68" s="481"/>
      <c r="CX68" s="481"/>
      <c r="CY68" s="482"/>
    </row>
    <row r="69" spans="1:103" s="91" customFormat="1" ht="16.5" x14ac:dyDescent="0.15">
      <c r="A69" s="517"/>
      <c r="B69" s="102"/>
      <c r="C69" s="220" t="str">
        <f t="shared" ca="1" si="3"/>
        <v>@</v>
      </c>
      <c r="D69" s="521"/>
      <c r="E69" s="522"/>
      <c r="F69" s="522"/>
      <c r="G69" s="522"/>
      <c r="H69" s="522"/>
      <c r="I69" s="522"/>
      <c r="J69" s="522"/>
      <c r="K69" s="527"/>
      <c r="L69" s="528"/>
      <c r="M69" s="528"/>
      <c r="N69" s="528"/>
      <c r="O69" s="528"/>
      <c r="P69" s="528"/>
      <c r="Q69" s="528"/>
      <c r="R69" s="533"/>
      <c r="S69" s="534"/>
      <c r="T69" s="533"/>
      <c r="U69" s="534"/>
      <c r="V69" s="527"/>
      <c r="W69" s="528"/>
      <c r="X69" s="528"/>
      <c r="Y69" s="528"/>
      <c r="Z69" s="528"/>
      <c r="AA69" s="528"/>
      <c r="AB69" s="528"/>
      <c r="AC69" s="528"/>
      <c r="AD69" s="527"/>
      <c r="AE69" s="528"/>
      <c r="AF69" s="528"/>
      <c r="AG69" s="528"/>
      <c r="AH69" s="528"/>
      <c r="AI69" s="528"/>
      <c r="AJ69" s="528"/>
      <c r="AK69" s="541"/>
      <c r="AL69" s="527"/>
      <c r="AM69" s="528"/>
      <c r="AN69" s="528"/>
      <c r="AO69" s="528"/>
      <c r="AP69" s="528"/>
      <c r="AQ69" s="528"/>
      <c r="AR69" s="541"/>
      <c r="AS69" s="546"/>
      <c r="AT69" s="547"/>
      <c r="AU69" s="547"/>
      <c r="AV69" s="547"/>
      <c r="AW69" s="547"/>
      <c r="AX69" s="547"/>
      <c r="AY69" s="548"/>
      <c r="AZ69" s="493"/>
      <c r="BA69" s="494"/>
      <c r="BB69" s="105">
        <v>5</v>
      </c>
      <c r="BC69" s="483"/>
      <c r="BD69" s="484"/>
      <c r="BE69" s="484"/>
      <c r="BF69" s="485"/>
      <c r="BG69" s="486"/>
      <c r="BH69" s="487"/>
      <c r="BI69" s="224"/>
      <c r="BJ69" s="488"/>
      <c r="BK69" s="489"/>
      <c r="BL69" s="489"/>
      <c r="BM69" s="489"/>
      <c r="BN69" s="489"/>
      <c r="BO69" s="490"/>
      <c r="BP69" s="488"/>
      <c r="BQ69" s="489"/>
      <c r="BR69" s="489"/>
      <c r="BS69" s="489"/>
      <c r="BT69" s="489"/>
      <c r="BU69" s="490"/>
      <c r="BV69" s="488"/>
      <c r="BW69" s="489"/>
      <c r="BX69" s="489"/>
      <c r="BY69" s="489"/>
      <c r="BZ69" s="489"/>
      <c r="CA69" s="490"/>
      <c r="CB69" s="483"/>
      <c r="CC69" s="484"/>
      <c r="CD69" s="484"/>
      <c r="CE69" s="485"/>
      <c r="CF69" s="477"/>
      <c r="CG69" s="478"/>
      <c r="CH69" s="478"/>
      <c r="CI69" s="478"/>
      <c r="CJ69" s="479"/>
      <c r="CK69" s="477"/>
      <c r="CL69" s="478"/>
      <c r="CM69" s="478"/>
      <c r="CN69" s="478"/>
      <c r="CO69" s="479"/>
      <c r="CP69" s="477"/>
      <c r="CQ69" s="478"/>
      <c r="CR69" s="478"/>
      <c r="CS69" s="478"/>
      <c r="CT69" s="479"/>
      <c r="CU69" s="480"/>
      <c r="CV69" s="481"/>
      <c r="CW69" s="481"/>
      <c r="CX69" s="481"/>
      <c r="CY69" s="482"/>
    </row>
    <row r="70" spans="1:103" s="91" customFormat="1" ht="61.5" customHeight="1" x14ac:dyDescent="0.15">
      <c r="A70" s="518"/>
      <c r="B70" s="107"/>
      <c r="C70" s="220" t="str">
        <f t="shared" ca="1" si="3"/>
        <v>@</v>
      </c>
      <c r="D70" s="523"/>
      <c r="E70" s="524"/>
      <c r="F70" s="524"/>
      <c r="G70" s="524"/>
      <c r="H70" s="524"/>
      <c r="I70" s="524"/>
      <c r="J70" s="524"/>
      <c r="K70" s="529"/>
      <c r="L70" s="530"/>
      <c r="M70" s="530"/>
      <c r="N70" s="530"/>
      <c r="O70" s="530"/>
      <c r="P70" s="530"/>
      <c r="Q70" s="530"/>
      <c r="R70" s="535"/>
      <c r="S70" s="536"/>
      <c r="T70" s="535"/>
      <c r="U70" s="537"/>
      <c r="V70" s="529"/>
      <c r="W70" s="539"/>
      <c r="X70" s="539"/>
      <c r="Y70" s="539"/>
      <c r="Z70" s="539"/>
      <c r="AA70" s="539"/>
      <c r="AB70" s="539"/>
      <c r="AC70" s="539"/>
      <c r="AD70" s="529"/>
      <c r="AE70" s="530"/>
      <c r="AF70" s="530"/>
      <c r="AG70" s="530"/>
      <c r="AH70" s="530"/>
      <c r="AI70" s="530"/>
      <c r="AJ70" s="530"/>
      <c r="AK70" s="555"/>
      <c r="AL70" s="529"/>
      <c r="AM70" s="539"/>
      <c r="AN70" s="539"/>
      <c r="AO70" s="539"/>
      <c r="AP70" s="539"/>
      <c r="AQ70" s="539"/>
      <c r="AR70" s="542"/>
      <c r="AS70" s="549"/>
      <c r="AT70" s="550"/>
      <c r="AU70" s="550"/>
      <c r="AV70" s="550"/>
      <c r="AW70" s="550"/>
      <c r="AX70" s="550"/>
      <c r="AY70" s="551"/>
      <c r="AZ70" s="495"/>
      <c r="BA70" s="496"/>
      <c r="BB70" s="108">
        <v>6</v>
      </c>
      <c r="BC70" s="505"/>
      <c r="BD70" s="506"/>
      <c r="BE70" s="506"/>
      <c r="BF70" s="507"/>
      <c r="BG70" s="508"/>
      <c r="BH70" s="509"/>
      <c r="BI70" s="225"/>
      <c r="BJ70" s="510"/>
      <c r="BK70" s="511"/>
      <c r="BL70" s="511"/>
      <c r="BM70" s="511"/>
      <c r="BN70" s="511"/>
      <c r="BO70" s="512"/>
      <c r="BP70" s="510"/>
      <c r="BQ70" s="511"/>
      <c r="BR70" s="511"/>
      <c r="BS70" s="511"/>
      <c r="BT70" s="511"/>
      <c r="BU70" s="512"/>
      <c r="BV70" s="510"/>
      <c r="BW70" s="511"/>
      <c r="BX70" s="511"/>
      <c r="BY70" s="511"/>
      <c r="BZ70" s="511"/>
      <c r="CA70" s="512"/>
      <c r="CB70" s="505"/>
      <c r="CC70" s="506"/>
      <c r="CD70" s="506"/>
      <c r="CE70" s="507"/>
      <c r="CF70" s="477"/>
      <c r="CG70" s="478"/>
      <c r="CH70" s="478"/>
      <c r="CI70" s="478"/>
      <c r="CJ70" s="479"/>
      <c r="CK70" s="477"/>
      <c r="CL70" s="478"/>
      <c r="CM70" s="478"/>
      <c r="CN70" s="478"/>
      <c r="CO70" s="479"/>
      <c r="CP70" s="477"/>
      <c r="CQ70" s="478"/>
      <c r="CR70" s="478"/>
      <c r="CS70" s="478"/>
      <c r="CT70" s="479"/>
      <c r="CU70" s="480"/>
      <c r="CV70" s="481"/>
      <c r="CW70" s="481"/>
      <c r="CX70" s="481"/>
      <c r="CY70" s="482"/>
    </row>
    <row r="71" spans="1:103" s="91" customFormat="1" ht="16.149999999999999" customHeight="1" x14ac:dyDescent="0.15">
      <c r="A71" s="516">
        <v>11</v>
      </c>
      <c r="B71" s="102"/>
      <c r="C71" s="216" t="str">
        <f t="shared" ca="1" si="3"/>
        <v>@</v>
      </c>
      <c r="D71" s="519" t="s">
        <v>579</v>
      </c>
      <c r="E71" s="520"/>
      <c r="F71" s="520"/>
      <c r="G71" s="520"/>
      <c r="H71" s="520"/>
      <c r="I71" s="520"/>
      <c r="J71" s="520"/>
      <c r="K71" s="525" t="s">
        <v>583</v>
      </c>
      <c r="L71" s="526"/>
      <c r="M71" s="526"/>
      <c r="N71" s="526"/>
      <c r="O71" s="526"/>
      <c r="P71" s="526"/>
      <c r="Q71" s="526"/>
      <c r="R71" s="531"/>
      <c r="S71" s="532"/>
      <c r="T71" s="531" t="s">
        <v>284</v>
      </c>
      <c r="U71" s="532"/>
      <c r="V71" s="525" t="s">
        <v>586</v>
      </c>
      <c r="W71" s="538"/>
      <c r="X71" s="538"/>
      <c r="Y71" s="538"/>
      <c r="Z71" s="538"/>
      <c r="AA71" s="538"/>
      <c r="AB71" s="538"/>
      <c r="AC71" s="538"/>
      <c r="AD71" s="525" t="s">
        <v>587</v>
      </c>
      <c r="AE71" s="538"/>
      <c r="AF71" s="538"/>
      <c r="AG71" s="538"/>
      <c r="AH71" s="538"/>
      <c r="AI71" s="538"/>
      <c r="AJ71" s="538"/>
      <c r="AK71" s="540"/>
      <c r="AL71" s="525"/>
      <c r="AM71" s="538"/>
      <c r="AN71" s="538"/>
      <c r="AO71" s="538"/>
      <c r="AP71" s="538"/>
      <c r="AQ71" s="538"/>
      <c r="AR71" s="540"/>
      <c r="AS71" s="543"/>
      <c r="AT71" s="544"/>
      <c r="AU71" s="544"/>
      <c r="AV71" s="544"/>
      <c r="AW71" s="544"/>
      <c r="AX71" s="544"/>
      <c r="AY71" s="545"/>
      <c r="AZ71" s="491" t="s">
        <v>797</v>
      </c>
      <c r="BA71" s="492"/>
      <c r="BB71" s="103">
        <v>1</v>
      </c>
      <c r="BC71" s="497">
        <v>44166</v>
      </c>
      <c r="BD71" s="498"/>
      <c r="BE71" s="498"/>
      <c r="BF71" s="499"/>
      <c r="BG71" s="500" t="s">
        <v>568</v>
      </c>
      <c r="BH71" s="501"/>
      <c r="BI71" s="226"/>
      <c r="BJ71" s="502"/>
      <c r="BK71" s="503"/>
      <c r="BL71" s="503"/>
      <c r="BM71" s="503"/>
      <c r="BN71" s="503"/>
      <c r="BO71" s="504"/>
      <c r="BP71" s="502"/>
      <c r="BQ71" s="503"/>
      <c r="BR71" s="503"/>
      <c r="BS71" s="503"/>
      <c r="BT71" s="503"/>
      <c r="BU71" s="504"/>
      <c r="BV71" s="502"/>
      <c r="BW71" s="503"/>
      <c r="BX71" s="503"/>
      <c r="BY71" s="503"/>
      <c r="BZ71" s="503"/>
      <c r="CA71" s="504"/>
      <c r="CB71" s="497"/>
      <c r="CC71" s="498"/>
      <c r="CD71" s="498"/>
      <c r="CE71" s="499"/>
      <c r="CF71" s="477"/>
      <c r="CG71" s="478"/>
      <c r="CH71" s="478"/>
      <c r="CI71" s="478"/>
      <c r="CJ71" s="479"/>
      <c r="CK71" s="477"/>
      <c r="CL71" s="478"/>
      <c r="CM71" s="478"/>
      <c r="CN71" s="478"/>
      <c r="CO71" s="479"/>
      <c r="CP71" s="477"/>
      <c r="CQ71" s="478"/>
      <c r="CR71" s="478"/>
      <c r="CS71" s="478"/>
      <c r="CT71" s="479"/>
      <c r="CU71" s="480"/>
      <c r="CV71" s="481"/>
      <c r="CW71" s="481"/>
      <c r="CX71" s="481"/>
      <c r="CY71" s="482"/>
    </row>
    <row r="72" spans="1:103" s="91" customFormat="1" ht="16.5" x14ac:dyDescent="0.15">
      <c r="A72" s="517"/>
      <c r="B72" s="102"/>
      <c r="C72" s="220" t="str">
        <f t="shared" ca="1" si="3"/>
        <v>@</v>
      </c>
      <c r="D72" s="521"/>
      <c r="E72" s="522"/>
      <c r="F72" s="522"/>
      <c r="G72" s="522"/>
      <c r="H72" s="522"/>
      <c r="I72" s="522"/>
      <c r="J72" s="522"/>
      <c r="K72" s="527"/>
      <c r="L72" s="528"/>
      <c r="M72" s="528"/>
      <c r="N72" s="528"/>
      <c r="O72" s="528"/>
      <c r="P72" s="528"/>
      <c r="Q72" s="528"/>
      <c r="R72" s="533"/>
      <c r="S72" s="534"/>
      <c r="T72" s="533"/>
      <c r="U72" s="534"/>
      <c r="V72" s="527"/>
      <c r="W72" s="528"/>
      <c r="X72" s="528"/>
      <c r="Y72" s="528"/>
      <c r="Z72" s="528"/>
      <c r="AA72" s="528"/>
      <c r="AB72" s="528"/>
      <c r="AC72" s="528"/>
      <c r="AD72" s="527"/>
      <c r="AE72" s="528"/>
      <c r="AF72" s="528"/>
      <c r="AG72" s="528"/>
      <c r="AH72" s="528"/>
      <c r="AI72" s="528"/>
      <c r="AJ72" s="528"/>
      <c r="AK72" s="541"/>
      <c r="AL72" s="527"/>
      <c r="AM72" s="528"/>
      <c r="AN72" s="528"/>
      <c r="AO72" s="528"/>
      <c r="AP72" s="528"/>
      <c r="AQ72" s="528"/>
      <c r="AR72" s="541"/>
      <c r="AS72" s="546"/>
      <c r="AT72" s="547"/>
      <c r="AU72" s="547"/>
      <c r="AV72" s="547"/>
      <c r="AW72" s="547"/>
      <c r="AX72" s="547"/>
      <c r="AY72" s="548"/>
      <c r="AZ72" s="493"/>
      <c r="BA72" s="494"/>
      <c r="BB72" s="105">
        <v>2</v>
      </c>
      <c r="BC72" s="483"/>
      <c r="BD72" s="484"/>
      <c r="BE72" s="484"/>
      <c r="BF72" s="485"/>
      <c r="BG72" s="486"/>
      <c r="BH72" s="487"/>
      <c r="BI72" s="224"/>
      <c r="BJ72" s="488"/>
      <c r="BK72" s="489"/>
      <c r="BL72" s="489"/>
      <c r="BM72" s="489"/>
      <c r="BN72" s="489"/>
      <c r="BO72" s="490"/>
      <c r="BP72" s="488"/>
      <c r="BQ72" s="489"/>
      <c r="BR72" s="489"/>
      <c r="BS72" s="489"/>
      <c r="BT72" s="489"/>
      <c r="BU72" s="490"/>
      <c r="BV72" s="488"/>
      <c r="BW72" s="489"/>
      <c r="BX72" s="489"/>
      <c r="BY72" s="489"/>
      <c r="BZ72" s="489"/>
      <c r="CA72" s="490"/>
      <c r="CB72" s="483"/>
      <c r="CC72" s="484"/>
      <c r="CD72" s="484"/>
      <c r="CE72" s="485"/>
      <c r="CF72" s="477"/>
      <c r="CG72" s="478"/>
      <c r="CH72" s="478"/>
      <c r="CI72" s="478"/>
      <c r="CJ72" s="479"/>
      <c r="CK72" s="477"/>
      <c r="CL72" s="478"/>
      <c r="CM72" s="478"/>
      <c r="CN72" s="478"/>
      <c r="CO72" s="479"/>
      <c r="CP72" s="477"/>
      <c r="CQ72" s="478"/>
      <c r="CR72" s="478"/>
      <c r="CS72" s="478"/>
      <c r="CT72" s="479"/>
      <c r="CU72" s="480"/>
      <c r="CV72" s="481"/>
      <c r="CW72" s="481"/>
      <c r="CX72" s="481"/>
      <c r="CY72" s="482"/>
    </row>
    <row r="73" spans="1:103" s="91" customFormat="1" ht="16.5" x14ac:dyDescent="0.15">
      <c r="A73" s="517"/>
      <c r="B73" s="102"/>
      <c r="C73" s="220" t="str">
        <f t="shared" ca="1" si="3"/>
        <v>@</v>
      </c>
      <c r="D73" s="521"/>
      <c r="E73" s="522"/>
      <c r="F73" s="522"/>
      <c r="G73" s="522"/>
      <c r="H73" s="522"/>
      <c r="I73" s="522"/>
      <c r="J73" s="522"/>
      <c r="K73" s="527"/>
      <c r="L73" s="528"/>
      <c r="M73" s="528"/>
      <c r="N73" s="528"/>
      <c r="O73" s="528"/>
      <c r="P73" s="528"/>
      <c r="Q73" s="528"/>
      <c r="R73" s="533"/>
      <c r="S73" s="534"/>
      <c r="T73" s="533"/>
      <c r="U73" s="534"/>
      <c r="V73" s="527"/>
      <c r="W73" s="528"/>
      <c r="X73" s="528"/>
      <c r="Y73" s="528"/>
      <c r="Z73" s="528"/>
      <c r="AA73" s="528"/>
      <c r="AB73" s="528"/>
      <c r="AC73" s="528"/>
      <c r="AD73" s="527"/>
      <c r="AE73" s="528"/>
      <c r="AF73" s="528"/>
      <c r="AG73" s="528"/>
      <c r="AH73" s="528"/>
      <c r="AI73" s="528"/>
      <c r="AJ73" s="528"/>
      <c r="AK73" s="541"/>
      <c r="AL73" s="527"/>
      <c r="AM73" s="528"/>
      <c r="AN73" s="528"/>
      <c r="AO73" s="528"/>
      <c r="AP73" s="528"/>
      <c r="AQ73" s="528"/>
      <c r="AR73" s="541"/>
      <c r="AS73" s="546"/>
      <c r="AT73" s="547"/>
      <c r="AU73" s="547"/>
      <c r="AV73" s="547"/>
      <c r="AW73" s="547"/>
      <c r="AX73" s="547"/>
      <c r="AY73" s="548"/>
      <c r="AZ73" s="493"/>
      <c r="BA73" s="494"/>
      <c r="BB73" s="105">
        <v>3</v>
      </c>
      <c r="BC73" s="483"/>
      <c r="BD73" s="484"/>
      <c r="BE73" s="484"/>
      <c r="BF73" s="485"/>
      <c r="BG73" s="486"/>
      <c r="BH73" s="487"/>
      <c r="BI73" s="224"/>
      <c r="BJ73" s="488"/>
      <c r="BK73" s="489"/>
      <c r="BL73" s="489"/>
      <c r="BM73" s="489"/>
      <c r="BN73" s="489"/>
      <c r="BO73" s="490"/>
      <c r="BP73" s="488"/>
      <c r="BQ73" s="489"/>
      <c r="BR73" s="489"/>
      <c r="BS73" s="489"/>
      <c r="BT73" s="489"/>
      <c r="BU73" s="490"/>
      <c r="BV73" s="488"/>
      <c r="BW73" s="489"/>
      <c r="BX73" s="489"/>
      <c r="BY73" s="489"/>
      <c r="BZ73" s="489"/>
      <c r="CA73" s="490"/>
      <c r="CB73" s="483"/>
      <c r="CC73" s="484"/>
      <c r="CD73" s="484"/>
      <c r="CE73" s="485"/>
      <c r="CF73" s="477"/>
      <c r="CG73" s="478"/>
      <c r="CH73" s="478"/>
      <c r="CI73" s="478"/>
      <c r="CJ73" s="479"/>
      <c r="CK73" s="477"/>
      <c r="CL73" s="478"/>
      <c r="CM73" s="478"/>
      <c r="CN73" s="478"/>
      <c r="CO73" s="479"/>
      <c r="CP73" s="477"/>
      <c r="CQ73" s="478"/>
      <c r="CR73" s="478"/>
      <c r="CS73" s="478"/>
      <c r="CT73" s="479"/>
      <c r="CU73" s="480"/>
      <c r="CV73" s="481"/>
      <c r="CW73" s="481"/>
      <c r="CX73" s="481"/>
      <c r="CY73" s="482"/>
    </row>
    <row r="74" spans="1:103" s="91" customFormat="1" ht="16.5" x14ac:dyDescent="0.15">
      <c r="A74" s="517"/>
      <c r="B74" s="102"/>
      <c r="C74" s="220" t="str">
        <f t="shared" ca="1" si="3"/>
        <v>@</v>
      </c>
      <c r="D74" s="521"/>
      <c r="E74" s="522"/>
      <c r="F74" s="522"/>
      <c r="G74" s="522"/>
      <c r="H74" s="522"/>
      <c r="I74" s="522"/>
      <c r="J74" s="522"/>
      <c r="K74" s="527"/>
      <c r="L74" s="528"/>
      <c r="M74" s="528"/>
      <c r="N74" s="528"/>
      <c r="O74" s="528"/>
      <c r="P74" s="528"/>
      <c r="Q74" s="528"/>
      <c r="R74" s="533"/>
      <c r="S74" s="534"/>
      <c r="T74" s="533"/>
      <c r="U74" s="534"/>
      <c r="V74" s="527"/>
      <c r="W74" s="528"/>
      <c r="X74" s="528"/>
      <c r="Y74" s="528"/>
      <c r="Z74" s="528"/>
      <c r="AA74" s="528"/>
      <c r="AB74" s="528"/>
      <c r="AC74" s="528"/>
      <c r="AD74" s="527"/>
      <c r="AE74" s="528"/>
      <c r="AF74" s="528"/>
      <c r="AG74" s="528"/>
      <c r="AH74" s="528"/>
      <c r="AI74" s="528"/>
      <c r="AJ74" s="528"/>
      <c r="AK74" s="541"/>
      <c r="AL74" s="527"/>
      <c r="AM74" s="528"/>
      <c r="AN74" s="528"/>
      <c r="AO74" s="528"/>
      <c r="AP74" s="528"/>
      <c r="AQ74" s="528"/>
      <c r="AR74" s="541"/>
      <c r="AS74" s="546"/>
      <c r="AT74" s="547"/>
      <c r="AU74" s="547"/>
      <c r="AV74" s="547"/>
      <c r="AW74" s="547"/>
      <c r="AX74" s="547"/>
      <c r="AY74" s="548"/>
      <c r="AZ74" s="493"/>
      <c r="BA74" s="494"/>
      <c r="BB74" s="105">
        <v>4</v>
      </c>
      <c r="BC74" s="483"/>
      <c r="BD74" s="484"/>
      <c r="BE74" s="484"/>
      <c r="BF74" s="485"/>
      <c r="BG74" s="486"/>
      <c r="BH74" s="487"/>
      <c r="BI74" s="224"/>
      <c r="BJ74" s="488"/>
      <c r="BK74" s="489"/>
      <c r="BL74" s="489"/>
      <c r="BM74" s="489"/>
      <c r="BN74" s="489"/>
      <c r="BO74" s="490"/>
      <c r="BP74" s="488"/>
      <c r="BQ74" s="489"/>
      <c r="BR74" s="489"/>
      <c r="BS74" s="489"/>
      <c r="BT74" s="489"/>
      <c r="BU74" s="490"/>
      <c r="BV74" s="488"/>
      <c r="BW74" s="489"/>
      <c r="BX74" s="489"/>
      <c r="BY74" s="489"/>
      <c r="BZ74" s="489"/>
      <c r="CA74" s="490"/>
      <c r="CB74" s="483"/>
      <c r="CC74" s="484"/>
      <c r="CD74" s="484"/>
      <c r="CE74" s="485"/>
      <c r="CF74" s="477"/>
      <c r="CG74" s="478"/>
      <c r="CH74" s="478"/>
      <c r="CI74" s="478"/>
      <c r="CJ74" s="479"/>
      <c r="CK74" s="477"/>
      <c r="CL74" s="478"/>
      <c r="CM74" s="478"/>
      <c r="CN74" s="478"/>
      <c r="CO74" s="479"/>
      <c r="CP74" s="477"/>
      <c r="CQ74" s="478"/>
      <c r="CR74" s="478"/>
      <c r="CS74" s="478"/>
      <c r="CT74" s="479"/>
      <c r="CU74" s="480"/>
      <c r="CV74" s="481"/>
      <c r="CW74" s="481"/>
      <c r="CX74" s="481"/>
      <c r="CY74" s="482"/>
    </row>
    <row r="75" spans="1:103" s="91" customFormat="1" ht="16.5" x14ac:dyDescent="0.15">
      <c r="A75" s="517"/>
      <c r="B75" s="102"/>
      <c r="C75" s="220" t="str">
        <f t="shared" ca="1" si="3"/>
        <v>@</v>
      </c>
      <c r="D75" s="521"/>
      <c r="E75" s="522"/>
      <c r="F75" s="522"/>
      <c r="G75" s="522"/>
      <c r="H75" s="522"/>
      <c r="I75" s="522"/>
      <c r="J75" s="522"/>
      <c r="K75" s="527"/>
      <c r="L75" s="528"/>
      <c r="M75" s="528"/>
      <c r="N75" s="528"/>
      <c r="O75" s="528"/>
      <c r="P75" s="528"/>
      <c r="Q75" s="528"/>
      <c r="R75" s="533"/>
      <c r="S75" s="534"/>
      <c r="T75" s="533"/>
      <c r="U75" s="534"/>
      <c r="V75" s="527"/>
      <c r="W75" s="528"/>
      <c r="X75" s="528"/>
      <c r="Y75" s="528"/>
      <c r="Z75" s="528"/>
      <c r="AA75" s="528"/>
      <c r="AB75" s="528"/>
      <c r="AC75" s="528"/>
      <c r="AD75" s="527"/>
      <c r="AE75" s="528"/>
      <c r="AF75" s="528"/>
      <c r="AG75" s="528"/>
      <c r="AH75" s="528"/>
      <c r="AI75" s="528"/>
      <c r="AJ75" s="528"/>
      <c r="AK75" s="541"/>
      <c r="AL75" s="527"/>
      <c r="AM75" s="528"/>
      <c r="AN75" s="528"/>
      <c r="AO75" s="528"/>
      <c r="AP75" s="528"/>
      <c r="AQ75" s="528"/>
      <c r="AR75" s="541"/>
      <c r="AS75" s="546"/>
      <c r="AT75" s="547"/>
      <c r="AU75" s="547"/>
      <c r="AV75" s="547"/>
      <c r="AW75" s="547"/>
      <c r="AX75" s="547"/>
      <c r="AY75" s="548"/>
      <c r="AZ75" s="493"/>
      <c r="BA75" s="494"/>
      <c r="BB75" s="105">
        <v>5</v>
      </c>
      <c r="BC75" s="483"/>
      <c r="BD75" s="484"/>
      <c r="BE75" s="484"/>
      <c r="BF75" s="485"/>
      <c r="BG75" s="486"/>
      <c r="BH75" s="487"/>
      <c r="BI75" s="224"/>
      <c r="BJ75" s="488"/>
      <c r="BK75" s="489"/>
      <c r="BL75" s="489"/>
      <c r="BM75" s="489"/>
      <c r="BN75" s="489"/>
      <c r="BO75" s="490"/>
      <c r="BP75" s="488"/>
      <c r="BQ75" s="489"/>
      <c r="BR75" s="489"/>
      <c r="BS75" s="489"/>
      <c r="BT75" s="489"/>
      <c r="BU75" s="490"/>
      <c r="BV75" s="488"/>
      <c r="BW75" s="489"/>
      <c r="BX75" s="489"/>
      <c r="BY75" s="489"/>
      <c r="BZ75" s="489"/>
      <c r="CA75" s="490"/>
      <c r="CB75" s="483"/>
      <c r="CC75" s="484"/>
      <c r="CD75" s="484"/>
      <c r="CE75" s="485"/>
      <c r="CF75" s="477"/>
      <c r="CG75" s="478"/>
      <c r="CH75" s="478"/>
      <c r="CI75" s="478"/>
      <c r="CJ75" s="479"/>
      <c r="CK75" s="477"/>
      <c r="CL75" s="478"/>
      <c r="CM75" s="478"/>
      <c r="CN75" s="478"/>
      <c r="CO75" s="479"/>
      <c r="CP75" s="477"/>
      <c r="CQ75" s="478"/>
      <c r="CR75" s="478"/>
      <c r="CS75" s="478"/>
      <c r="CT75" s="479"/>
      <c r="CU75" s="480"/>
      <c r="CV75" s="481"/>
      <c r="CW75" s="481"/>
      <c r="CX75" s="481"/>
      <c r="CY75" s="482"/>
    </row>
    <row r="76" spans="1:103" s="91" customFormat="1" ht="29.25" customHeight="1" x14ac:dyDescent="0.15">
      <c r="A76" s="518"/>
      <c r="B76" s="107"/>
      <c r="C76" s="219" t="str">
        <f t="shared" ca="1" si="3"/>
        <v>@</v>
      </c>
      <c r="D76" s="523"/>
      <c r="E76" s="524"/>
      <c r="F76" s="524"/>
      <c r="G76" s="524"/>
      <c r="H76" s="524"/>
      <c r="I76" s="524"/>
      <c r="J76" s="524"/>
      <c r="K76" s="529"/>
      <c r="L76" s="530"/>
      <c r="M76" s="530"/>
      <c r="N76" s="530"/>
      <c r="O76" s="530"/>
      <c r="P76" s="530"/>
      <c r="Q76" s="530"/>
      <c r="R76" s="535"/>
      <c r="S76" s="536"/>
      <c r="T76" s="535"/>
      <c r="U76" s="537"/>
      <c r="V76" s="529"/>
      <c r="W76" s="539"/>
      <c r="X76" s="539"/>
      <c r="Y76" s="539"/>
      <c r="Z76" s="539"/>
      <c r="AA76" s="539"/>
      <c r="AB76" s="539"/>
      <c r="AC76" s="539"/>
      <c r="AD76" s="529"/>
      <c r="AE76" s="539"/>
      <c r="AF76" s="539"/>
      <c r="AG76" s="539"/>
      <c r="AH76" s="539"/>
      <c r="AI76" s="539"/>
      <c r="AJ76" s="539"/>
      <c r="AK76" s="542"/>
      <c r="AL76" s="529"/>
      <c r="AM76" s="539"/>
      <c r="AN76" s="539"/>
      <c r="AO76" s="539"/>
      <c r="AP76" s="539"/>
      <c r="AQ76" s="539"/>
      <c r="AR76" s="542"/>
      <c r="AS76" s="549"/>
      <c r="AT76" s="550"/>
      <c r="AU76" s="550"/>
      <c r="AV76" s="550"/>
      <c r="AW76" s="550"/>
      <c r="AX76" s="550"/>
      <c r="AY76" s="551"/>
      <c r="AZ76" s="495"/>
      <c r="BA76" s="496"/>
      <c r="BB76" s="108">
        <v>6</v>
      </c>
      <c r="BC76" s="505"/>
      <c r="BD76" s="506"/>
      <c r="BE76" s="506"/>
      <c r="BF76" s="507"/>
      <c r="BG76" s="508"/>
      <c r="BH76" s="509"/>
      <c r="BI76" s="227"/>
      <c r="BJ76" s="510"/>
      <c r="BK76" s="511"/>
      <c r="BL76" s="511"/>
      <c r="BM76" s="511"/>
      <c r="BN76" s="511"/>
      <c r="BO76" s="512"/>
      <c r="BP76" s="510"/>
      <c r="BQ76" s="511"/>
      <c r="BR76" s="511"/>
      <c r="BS76" s="511"/>
      <c r="BT76" s="511"/>
      <c r="BU76" s="512"/>
      <c r="BV76" s="510"/>
      <c r="BW76" s="511"/>
      <c r="BX76" s="511"/>
      <c r="BY76" s="511"/>
      <c r="BZ76" s="511"/>
      <c r="CA76" s="512"/>
      <c r="CB76" s="513"/>
      <c r="CC76" s="514"/>
      <c r="CD76" s="514"/>
      <c r="CE76" s="515"/>
      <c r="CF76" s="477"/>
      <c r="CG76" s="478"/>
      <c r="CH76" s="478"/>
      <c r="CI76" s="478"/>
      <c r="CJ76" s="479"/>
      <c r="CK76" s="477"/>
      <c r="CL76" s="478"/>
      <c r="CM76" s="478"/>
      <c r="CN76" s="478"/>
      <c r="CO76" s="479"/>
      <c r="CP76" s="477"/>
      <c r="CQ76" s="478"/>
      <c r="CR76" s="478"/>
      <c r="CS76" s="478"/>
      <c r="CT76" s="479"/>
      <c r="CU76" s="480"/>
      <c r="CV76" s="481"/>
      <c r="CW76" s="481"/>
      <c r="CX76" s="481"/>
      <c r="CY76" s="482"/>
    </row>
    <row r="77" spans="1:103" s="91" customFormat="1" ht="16.149999999999999" customHeight="1" x14ac:dyDescent="0.15">
      <c r="A77" s="516">
        <v>12</v>
      </c>
      <c r="B77" s="102"/>
      <c r="C77" s="222" t="str">
        <f t="shared" ca="1" si="3"/>
        <v>@</v>
      </c>
      <c r="D77" s="519" t="s">
        <v>579</v>
      </c>
      <c r="E77" s="520"/>
      <c r="F77" s="520"/>
      <c r="G77" s="520"/>
      <c r="H77" s="520"/>
      <c r="I77" s="520"/>
      <c r="J77" s="520"/>
      <c r="K77" s="525" t="s">
        <v>588</v>
      </c>
      <c r="L77" s="526"/>
      <c r="M77" s="526"/>
      <c r="N77" s="526"/>
      <c r="O77" s="526"/>
      <c r="P77" s="526"/>
      <c r="Q77" s="526"/>
      <c r="R77" s="531"/>
      <c r="S77" s="532"/>
      <c r="T77" s="531" t="s">
        <v>284</v>
      </c>
      <c r="U77" s="532"/>
      <c r="V77" s="525" t="s">
        <v>589</v>
      </c>
      <c r="W77" s="538"/>
      <c r="X77" s="538"/>
      <c r="Y77" s="538"/>
      <c r="Z77" s="538"/>
      <c r="AA77" s="538"/>
      <c r="AB77" s="538"/>
      <c r="AC77" s="538"/>
      <c r="AD77" s="525" t="s">
        <v>590</v>
      </c>
      <c r="AE77" s="526"/>
      <c r="AF77" s="526"/>
      <c r="AG77" s="526"/>
      <c r="AH77" s="526"/>
      <c r="AI77" s="526"/>
      <c r="AJ77" s="526"/>
      <c r="AK77" s="540"/>
      <c r="AL77" s="525"/>
      <c r="AM77" s="538"/>
      <c r="AN77" s="538"/>
      <c r="AO77" s="538"/>
      <c r="AP77" s="538"/>
      <c r="AQ77" s="538"/>
      <c r="AR77" s="540"/>
      <c r="AS77" s="543"/>
      <c r="AT77" s="544"/>
      <c r="AU77" s="544"/>
      <c r="AV77" s="544"/>
      <c r="AW77" s="544"/>
      <c r="AX77" s="544"/>
      <c r="AY77" s="545"/>
      <c r="AZ77" s="491" t="s">
        <v>797</v>
      </c>
      <c r="BA77" s="492"/>
      <c r="BB77" s="103">
        <v>1</v>
      </c>
      <c r="BC77" s="497">
        <v>44166</v>
      </c>
      <c r="BD77" s="498"/>
      <c r="BE77" s="498"/>
      <c r="BF77" s="499"/>
      <c r="BG77" s="500" t="s">
        <v>568</v>
      </c>
      <c r="BH77" s="501"/>
      <c r="BI77" s="226"/>
      <c r="BJ77" s="502"/>
      <c r="BK77" s="503"/>
      <c r="BL77" s="503"/>
      <c r="BM77" s="503"/>
      <c r="BN77" s="503"/>
      <c r="BO77" s="504"/>
      <c r="BP77" s="502"/>
      <c r="BQ77" s="503"/>
      <c r="BR77" s="503"/>
      <c r="BS77" s="503"/>
      <c r="BT77" s="503"/>
      <c r="BU77" s="504"/>
      <c r="BV77" s="502"/>
      <c r="BW77" s="503"/>
      <c r="BX77" s="503"/>
      <c r="BY77" s="503"/>
      <c r="BZ77" s="503"/>
      <c r="CA77" s="504"/>
      <c r="CB77" s="497"/>
      <c r="CC77" s="498"/>
      <c r="CD77" s="498"/>
      <c r="CE77" s="499"/>
      <c r="CF77" s="477"/>
      <c r="CG77" s="478"/>
      <c r="CH77" s="478"/>
      <c r="CI77" s="478"/>
      <c r="CJ77" s="479"/>
      <c r="CK77" s="477"/>
      <c r="CL77" s="478"/>
      <c r="CM77" s="478"/>
      <c r="CN77" s="478"/>
      <c r="CO77" s="479"/>
      <c r="CP77" s="477"/>
      <c r="CQ77" s="478"/>
      <c r="CR77" s="478"/>
      <c r="CS77" s="478"/>
      <c r="CT77" s="479"/>
      <c r="CU77" s="480"/>
      <c r="CV77" s="481"/>
      <c r="CW77" s="481"/>
      <c r="CX77" s="481"/>
      <c r="CY77" s="482"/>
    </row>
    <row r="78" spans="1:103" s="91" customFormat="1" ht="16.5" x14ac:dyDescent="0.15">
      <c r="A78" s="517"/>
      <c r="B78" s="102"/>
      <c r="C78" s="220" t="str">
        <f t="shared" ca="1" si="3"/>
        <v>@</v>
      </c>
      <c r="D78" s="521"/>
      <c r="E78" s="522"/>
      <c r="F78" s="522"/>
      <c r="G78" s="522"/>
      <c r="H78" s="522"/>
      <c r="I78" s="522"/>
      <c r="J78" s="522"/>
      <c r="K78" s="527"/>
      <c r="L78" s="528"/>
      <c r="M78" s="528"/>
      <c r="N78" s="528"/>
      <c r="O78" s="528"/>
      <c r="P78" s="528"/>
      <c r="Q78" s="528"/>
      <c r="R78" s="533"/>
      <c r="S78" s="534"/>
      <c r="T78" s="533"/>
      <c r="U78" s="534"/>
      <c r="V78" s="527"/>
      <c r="W78" s="528"/>
      <c r="X78" s="528"/>
      <c r="Y78" s="528"/>
      <c r="Z78" s="528"/>
      <c r="AA78" s="528"/>
      <c r="AB78" s="528"/>
      <c r="AC78" s="528"/>
      <c r="AD78" s="527"/>
      <c r="AE78" s="528"/>
      <c r="AF78" s="528"/>
      <c r="AG78" s="528"/>
      <c r="AH78" s="528"/>
      <c r="AI78" s="528"/>
      <c r="AJ78" s="528"/>
      <c r="AK78" s="541"/>
      <c r="AL78" s="527"/>
      <c r="AM78" s="528"/>
      <c r="AN78" s="528"/>
      <c r="AO78" s="528"/>
      <c r="AP78" s="528"/>
      <c r="AQ78" s="528"/>
      <c r="AR78" s="541"/>
      <c r="AS78" s="546"/>
      <c r="AT78" s="547"/>
      <c r="AU78" s="547"/>
      <c r="AV78" s="547"/>
      <c r="AW78" s="547"/>
      <c r="AX78" s="547"/>
      <c r="AY78" s="548"/>
      <c r="AZ78" s="493"/>
      <c r="BA78" s="494"/>
      <c r="BB78" s="105">
        <v>2</v>
      </c>
      <c r="BC78" s="483"/>
      <c r="BD78" s="484"/>
      <c r="BE78" s="484"/>
      <c r="BF78" s="485"/>
      <c r="BG78" s="486"/>
      <c r="BH78" s="487"/>
      <c r="BI78" s="224"/>
      <c r="BJ78" s="488"/>
      <c r="BK78" s="489"/>
      <c r="BL78" s="489"/>
      <c r="BM78" s="489"/>
      <c r="BN78" s="489"/>
      <c r="BO78" s="490"/>
      <c r="BP78" s="488"/>
      <c r="BQ78" s="489"/>
      <c r="BR78" s="489"/>
      <c r="BS78" s="489"/>
      <c r="BT78" s="489"/>
      <c r="BU78" s="490"/>
      <c r="BV78" s="488"/>
      <c r="BW78" s="489"/>
      <c r="BX78" s="489"/>
      <c r="BY78" s="489"/>
      <c r="BZ78" s="489"/>
      <c r="CA78" s="490"/>
      <c r="CB78" s="483"/>
      <c r="CC78" s="484"/>
      <c r="CD78" s="484"/>
      <c r="CE78" s="485"/>
      <c r="CF78" s="477"/>
      <c r="CG78" s="478"/>
      <c r="CH78" s="478"/>
      <c r="CI78" s="478"/>
      <c r="CJ78" s="479"/>
      <c r="CK78" s="477"/>
      <c r="CL78" s="478"/>
      <c r="CM78" s="478"/>
      <c r="CN78" s="478"/>
      <c r="CO78" s="479"/>
      <c r="CP78" s="477"/>
      <c r="CQ78" s="478"/>
      <c r="CR78" s="478"/>
      <c r="CS78" s="478"/>
      <c r="CT78" s="479"/>
      <c r="CU78" s="480"/>
      <c r="CV78" s="481"/>
      <c r="CW78" s="481"/>
      <c r="CX78" s="481"/>
      <c r="CY78" s="482"/>
    </row>
    <row r="79" spans="1:103" s="91" customFormat="1" ht="16.5" x14ac:dyDescent="0.15">
      <c r="A79" s="517"/>
      <c r="B79" s="102"/>
      <c r="C79" s="220" t="str">
        <f t="shared" ca="1" si="3"/>
        <v>@</v>
      </c>
      <c r="D79" s="521"/>
      <c r="E79" s="522"/>
      <c r="F79" s="522"/>
      <c r="G79" s="522"/>
      <c r="H79" s="522"/>
      <c r="I79" s="522"/>
      <c r="J79" s="522"/>
      <c r="K79" s="527"/>
      <c r="L79" s="528"/>
      <c r="M79" s="528"/>
      <c r="N79" s="528"/>
      <c r="O79" s="528"/>
      <c r="P79" s="528"/>
      <c r="Q79" s="528"/>
      <c r="R79" s="533"/>
      <c r="S79" s="534"/>
      <c r="T79" s="533"/>
      <c r="U79" s="534"/>
      <c r="V79" s="527"/>
      <c r="W79" s="528"/>
      <c r="X79" s="528"/>
      <c r="Y79" s="528"/>
      <c r="Z79" s="528"/>
      <c r="AA79" s="528"/>
      <c r="AB79" s="528"/>
      <c r="AC79" s="528"/>
      <c r="AD79" s="527"/>
      <c r="AE79" s="528"/>
      <c r="AF79" s="528"/>
      <c r="AG79" s="528"/>
      <c r="AH79" s="528"/>
      <c r="AI79" s="528"/>
      <c r="AJ79" s="528"/>
      <c r="AK79" s="541"/>
      <c r="AL79" s="527"/>
      <c r="AM79" s="528"/>
      <c r="AN79" s="528"/>
      <c r="AO79" s="528"/>
      <c r="AP79" s="528"/>
      <c r="AQ79" s="528"/>
      <c r="AR79" s="541"/>
      <c r="AS79" s="546"/>
      <c r="AT79" s="547"/>
      <c r="AU79" s="547"/>
      <c r="AV79" s="547"/>
      <c r="AW79" s="547"/>
      <c r="AX79" s="547"/>
      <c r="AY79" s="548"/>
      <c r="AZ79" s="493"/>
      <c r="BA79" s="494"/>
      <c r="BB79" s="105">
        <v>3</v>
      </c>
      <c r="BC79" s="483"/>
      <c r="BD79" s="484"/>
      <c r="BE79" s="484"/>
      <c r="BF79" s="485"/>
      <c r="BG79" s="486"/>
      <c r="BH79" s="487"/>
      <c r="BI79" s="224"/>
      <c r="BJ79" s="488"/>
      <c r="BK79" s="489"/>
      <c r="BL79" s="489"/>
      <c r="BM79" s="489"/>
      <c r="BN79" s="489"/>
      <c r="BO79" s="490"/>
      <c r="BP79" s="488"/>
      <c r="BQ79" s="489"/>
      <c r="BR79" s="489"/>
      <c r="BS79" s="489"/>
      <c r="BT79" s="489"/>
      <c r="BU79" s="490"/>
      <c r="BV79" s="488"/>
      <c r="BW79" s="489"/>
      <c r="BX79" s="489"/>
      <c r="BY79" s="489"/>
      <c r="BZ79" s="489"/>
      <c r="CA79" s="490"/>
      <c r="CB79" s="483"/>
      <c r="CC79" s="484"/>
      <c r="CD79" s="484"/>
      <c r="CE79" s="485"/>
      <c r="CF79" s="477"/>
      <c r="CG79" s="478"/>
      <c r="CH79" s="478"/>
      <c r="CI79" s="478"/>
      <c r="CJ79" s="479"/>
      <c r="CK79" s="477"/>
      <c r="CL79" s="478"/>
      <c r="CM79" s="478"/>
      <c r="CN79" s="478"/>
      <c r="CO79" s="479"/>
      <c r="CP79" s="477"/>
      <c r="CQ79" s="478"/>
      <c r="CR79" s="478"/>
      <c r="CS79" s="478"/>
      <c r="CT79" s="479"/>
      <c r="CU79" s="480"/>
      <c r="CV79" s="481"/>
      <c r="CW79" s="481"/>
      <c r="CX79" s="481"/>
      <c r="CY79" s="482"/>
    </row>
    <row r="80" spans="1:103" s="91" customFormat="1" ht="16.5" x14ac:dyDescent="0.15">
      <c r="A80" s="517"/>
      <c r="B80" s="102"/>
      <c r="C80" s="220" t="str">
        <f t="shared" ca="1" si="3"/>
        <v>@</v>
      </c>
      <c r="D80" s="521"/>
      <c r="E80" s="522"/>
      <c r="F80" s="522"/>
      <c r="G80" s="522"/>
      <c r="H80" s="522"/>
      <c r="I80" s="522"/>
      <c r="J80" s="522"/>
      <c r="K80" s="527"/>
      <c r="L80" s="528"/>
      <c r="M80" s="528"/>
      <c r="N80" s="528"/>
      <c r="O80" s="528"/>
      <c r="P80" s="528"/>
      <c r="Q80" s="528"/>
      <c r="R80" s="533"/>
      <c r="S80" s="534"/>
      <c r="T80" s="533"/>
      <c r="U80" s="534"/>
      <c r="V80" s="527"/>
      <c r="W80" s="528"/>
      <c r="X80" s="528"/>
      <c r="Y80" s="528"/>
      <c r="Z80" s="528"/>
      <c r="AA80" s="528"/>
      <c r="AB80" s="528"/>
      <c r="AC80" s="528"/>
      <c r="AD80" s="527"/>
      <c r="AE80" s="528"/>
      <c r="AF80" s="528"/>
      <c r="AG80" s="528"/>
      <c r="AH80" s="528"/>
      <c r="AI80" s="528"/>
      <c r="AJ80" s="528"/>
      <c r="AK80" s="541"/>
      <c r="AL80" s="527"/>
      <c r="AM80" s="528"/>
      <c r="AN80" s="528"/>
      <c r="AO80" s="528"/>
      <c r="AP80" s="528"/>
      <c r="AQ80" s="528"/>
      <c r="AR80" s="541"/>
      <c r="AS80" s="546"/>
      <c r="AT80" s="547"/>
      <c r="AU80" s="547"/>
      <c r="AV80" s="547"/>
      <c r="AW80" s="547"/>
      <c r="AX80" s="547"/>
      <c r="AY80" s="548"/>
      <c r="AZ80" s="493"/>
      <c r="BA80" s="494"/>
      <c r="BB80" s="105">
        <v>4</v>
      </c>
      <c r="BC80" s="483"/>
      <c r="BD80" s="484"/>
      <c r="BE80" s="484"/>
      <c r="BF80" s="485"/>
      <c r="BG80" s="486"/>
      <c r="BH80" s="487"/>
      <c r="BI80" s="224"/>
      <c r="BJ80" s="488"/>
      <c r="BK80" s="489"/>
      <c r="BL80" s="489"/>
      <c r="BM80" s="489"/>
      <c r="BN80" s="489"/>
      <c r="BO80" s="490"/>
      <c r="BP80" s="488"/>
      <c r="BQ80" s="489"/>
      <c r="BR80" s="489"/>
      <c r="BS80" s="489"/>
      <c r="BT80" s="489"/>
      <c r="BU80" s="490"/>
      <c r="BV80" s="488"/>
      <c r="BW80" s="489"/>
      <c r="BX80" s="489"/>
      <c r="BY80" s="489"/>
      <c r="BZ80" s="489"/>
      <c r="CA80" s="490"/>
      <c r="CB80" s="483"/>
      <c r="CC80" s="484"/>
      <c r="CD80" s="484"/>
      <c r="CE80" s="485"/>
      <c r="CF80" s="477"/>
      <c r="CG80" s="478"/>
      <c r="CH80" s="478"/>
      <c r="CI80" s="478"/>
      <c r="CJ80" s="479"/>
      <c r="CK80" s="477"/>
      <c r="CL80" s="478"/>
      <c r="CM80" s="478"/>
      <c r="CN80" s="478"/>
      <c r="CO80" s="479"/>
      <c r="CP80" s="477"/>
      <c r="CQ80" s="478"/>
      <c r="CR80" s="478"/>
      <c r="CS80" s="478"/>
      <c r="CT80" s="479"/>
      <c r="CU80" s="480"/>
      <c r="CV80" s="481"/>
      <c r="CW80" s="481"/>
      <c r="CX80" s="481"/>
      <c r="CY80" s="482"/>
    </row>
    <row r="81" spans="1:103" s="91" customFormat="1" ht="16.5" x14ac:dyDescent="0.15">
      <c r="A81" s="517"/>
      <c r="B81" s="102"/>
      <c r="C81" s="220" t="str">
        <f t="shared" ca="1" si="3"/>
        <v>@</v>
      </c>
      <c r="D81" s="521"/>
      <c r="E81" s="522"/>
      <c r="F81" s="522"/>
      <c r="G81" s="522"/>
      <c r="H81" s="522"/>
      <c r="I81" s="522"/>
      <c r="J81" s="522"/>
      <c r="K81" s="527"/>
      <c r="L81" s="528"/>
      <c r="M81" s="528"/>
      <c r="N81" s="528"/>
      <c r="O81" s="528"/>
      <c r="P81" s="528"/>
      <c r="Q81" s="528"/>
      <c r="R81" s="533"/>
      <c r="S81" s="534"/>
      <c r="T81" s="533"/>
      <c r="U81" s="534"/>
      <c r="V81" s="527"/>
      <c r="W81" s="528"/>
      <c r="X81" s="528"/>
      <c r="Y81" s="528"/>
      <c r="Z81" s="528"/>
      <c r="AA81" s="528"/>
      <c r="AB81" s="528"/>
      <c r="AC81" s="528"/>
      <c r="AD81" s="527"/>
      <c r="AE81" s="528"/>
      <c r="AF81" s="528"/>
      <c r="AG81" s="528"/>
      <c r="AH81" s="528"/>
      <c r="AI81" s="528"/>
      <c r="AJ81" s="528"/>
      <c r="AK81" s="541"/>
      <c r="AL81" s="527"/>
      <c r="AM81" s="528"/>
      <c r="AN81" s="528"/>
      <c r="AO81" s="528"/>
      <c r="AP81" s="528"/>
      <c r="AQ81" s="528"/>
      <c r="AR81" s="541"/>
      <c r="AS81" s="546"/>
      <c r="AT81" s="547"/>
      <c r="AU81" s="547"/>
      <c r="AV81" s="547"/>
      <c r="AW81" s="547"/>
      <c r="AX81" s="547"/>
      <c r="AY81" s="548"/>
      <c r="AZ81" s="493"/>
      <c r="BA81" s="494"/>
      <c r="BB81" s="105">
        <v>5</v>
      </c>
      <c r="BC81" s="483"/>
      <c r="BD81" s="484"/>
      <c r="BE81" s="484"/>
      <c r="BF81" s="485"/>
      <c r="BG81" s="486"/>
      <c r="BH81" s="487"/>
      <c r="BI81" s="224"/>
      <c r="BJ81" s="488"/>
      <c r="BK81" s="489"/>
      <c r="BL81" s="489"/>
      <c r="BM81" s="489"/>
      <c r="BN81" s="489"/>
      <c r="BO81" s="490"/>
      <c r="BP81" s="488"/>
      <c r="BQ81" s="489"/>
      <c r="BR81" s="489"/>
      <c r="BS81" s="489"/>
      <c r="BT81" s="489"/>
      <c r="BU81" s="490"/>
      <c r="BV81" s="488"/>
      <c r="BW81" s="489"/>
      <c r="BX81" s="489"/>
      <c r="BY81" s="489"/>
      <c r="BZ81" s="489"/>
      <c r="CA81" s="490"/>
      <c r="CB81" s="483"/>
      <c r="CC81" s="484"/>
      <c r="CD81" s="484"/>
      <c r="CE81" s="485"/>
      <c r="CF81" s="477"/>
      <c r="CG81" s="478"/>
      <c r="CH81" s="478"/>
      <c r="CI81" s="478"/>
      <c r="CJ81" s="479"/>
      <c r="CK81" s="477"/>
      <c r="CL81" s="478"/>
      <c r="CM81" s="478"/>
      <c r="CN81" s="478"/>
      <c r="CO81" s="479"/>
      <c r="CP81" s="477"/>
      <c r="CQ81" s="478"/>
      <c r="CR81" s="478"/>
      <c r="CS81" s="478"/>
      <c r="CT81" s="479"/>
      <c r="CU81" s="480"/>
      <c r="CV81" s="481"/>
      <c r="CW81" s="481"/>
      <c r="CX81" s="481"/>
      <c r="CY81" s="482"/>
    </row>
    <row r="82" spans="1:103" s="91" customFormat="1" ht="16.5" x14ac:dyDescent="0.15">
      <c r="A82" s="518"/>
      <c r="B82" s="107"/>
      <c r="C82" s="220" t="str">
        <f t="shared" ca="1" si="3"/>
        <v>@</v>
      </c>
      <c r="D82" s="523"/>
      <c r="E82" s="524"/>
      <c r="F82" s="524"/>
      <c r="G82" s="524"/>
      <c r="H82" s="524"/>
      <c r="I82" s="524"/>
      <c r="J82" s="524"/>
      <c r="K82" s="529"/>
      <c r="L82" s="530"/>
      <c r="M82" s="530"/>
      <c r="N82" s="530"/>
      <c r="O82" s="530"/>
      <c r="P82" s="530"/>
      <c r="Q82" s="530"/>
      <c r="R82" s="535"/>
      <c r="S82" s="536"/>
      <c r="T82" s="535"/>
      <c r="U82" s="537"/>
      <c r="V82" s="529"/>
      <c r="W82" s="539"/>
      <c r="X82" s="539"/>
      <c r="Y82" s="539"/>
      <c r="Z82" s="539"/>
      <c r="AA82" s="539"/>
      <c r="AB82" s="539"/>
      <c r="AC82" s="539"/>
      <c r="AD82" s="529"/>
      <c r="AE82" s="530"/>
      <c r="AF82" s="530"/>
      <c r="AG82" s="530"/>
      <c r="AH82" s="530"/>
      <c r="AI82" s="530"/>
      <c r="AJ82" s="530"/>
      <c r="AK82" s="555"/>
      <c r="AL82" s="529"/>
      <c r="AM82" s="539"/>
      <c r="AN82" s="539"/>
      <c r="AO82" s="539"/>
      <c r="AP82" s="539"/>
      <c r="AQ82" s="539"/>
      <c r="AR82" s="542"/>
      <c r="AS82" s="549"/>
      <c r="AT82" s="550"/>
      <c r="AU82" s="550"/>
      <c r="AV82" s="550"/>
      <c r="AW82" s="550"/>
      <c r="AX82" s="550"/>
      <c r="AY82" s="551"/>
      <c r="AZ82" s="495"/>
      <c r="BA82" s="496"/>
      <c r="BB82" s="108">
        <v>6</v>
      </c>
      <c r="BC82" s="505"/>
      <c r="BD82" s="506"/>
      <c r="BE82" s="506"/>
      <c r="BF82" s="507"/>
      <c r="BG82" s="508"/>
      <c r="BH82" s="509"/>
      <c r="BI82" s="227"/>
      <c r="BJ82" s="510"/>
      <c r="BK82" s="511"/>
      <c r="BL82" s="511"/>
      <c r="BM82" s="511"/>
      <c r="BN82" s="511"/>
      <c r="BO82" s="512"/>
      <c r="BP82" s="510"/>
      <c r="BQ82" s="511"/>
      <c r="BR82" s="511"/>
      <c r="BS82" s="511"/>
      <c r="BT82" s="511"/>
      <c r="BU82" s="512"/>
      <c r="BV82" s="510"/>
      <c r="BW82" s="511"/>
      <c r="BX82" s="511"/>
      <c r="BY82" s="511"/>
      <c r="BZ82" s="511"/>
      <c r="CA82" s="512"/>
      <c r="CB82" s="513"/>
      <c r="CC82" s="514"/>
      <c r="CD82" s="514"/>
      <c r="CE82" s="515"/>
      <c r="CF82" s="477"/>
      <c r="CG82" s="478"/>
      <c r="CH82" s="478"/>
      <c r="CI82" s="478"/>
      <c r="CJ82" s="479"/>
      <c r="CK82" s="477"/>
      <c r="CL82" s="478"/>
      <c r="CM82" s="478"/>
      <c r="CN82" s="478"/>
      <c r="CO82" s="479"/>
      <c r="CP82" s="477"/>
      <c r="CQ82" s="478"/>
      <c r="CR82" s="478"/>
      <c r="CS82" s="478"/>
      <c r="CT82" s="479"/>
      <c r="CU82" s="480"/>
      <c r="CV82" s="481"/>
      <c r="CW82" s="481"/>
      <c r="CX82" s="481"/>
      <c r="CY82" s="482"/>
    </row>
    <row r="83" spans="1:103" s="91" customFormat="1" ht="16.149999999999999" customHeight="1" x14ac:dyDescent="0.15">
      <c r="A83" s="516">
        <v>13</v>
      </c>
      <c r="B83" s="102"/>
      <c r="C83" s="220" t="str">
        <f t="shared" ca="1" si="3"/>
        <v>@</v>
      </c>
      <c r="D83" s="519" t="s">
        <v>579</v>
      </c>
      <c r="E83" s="520"/>
      <c r="F83" s="520"/>
      <c r="G83" s="520"/>
      <c r="H83" s="520"/>
      <c r="I83" s="520"/>
      <c r="J83" s="520"/>
      <c r="K83" s="525" t="s">
        <v>591</v>
      </c>
      <c r="L83" s="526"/>
      <c r="M83" s="526"/>
      <c r="N83" s="526"/>
      <c r="O83" s="526"/>
      <c r="P83" s="526"/>
      <c r="Q83" s="526"/>
      <c r="R83" s="531"/>
      <c r="S83" s="532"/>
      <c r="T83" s="531" t="s">
        <v>284</v>
      </c>
      <c r="U83" s="532"/>
      <c r="V83" s="525" t="s">
        <v>589</v>
      </c>
      <c r="W83" s="538"/>
      <c r="X83" s="538"/>
      <c r="Y83" s="538"/>
      <c r="Z83" s="538"/>
      <c r="AA83" s="538"/>
      <c r="AB83" s="538"/>
      <c r="AC83" s="538"/>
      <c r="AD83" s="525" t="s">
        <v>592</v>
      </c>
      <c r="AE83" s="526"/>
      <c r="AF83" s="526"/>
      <c r="AG83" s="526"/>
      <c r="AH83" s="526"/>
      <c r="AI83" s="526"/>
      <c r="AJ83" s="526"/>
      <c r="AK83" s="540"/>
      <c r="AL83" s="525"/>
      <c r="AM83" s="538"/>
      <c r="AN83" s="538"/>
      <c r="AO83" s="538"/>
      <c r="AP83" s="538"/>
      <c r="AQ83" s="538"/>
      <c r="AR83" s="540"/>
      <c r="AS83" s="543"/>
      <c r="AT83" s="544"/>
      <c r="AU83" s="544"/>
      <c r="AV83" s="544"/>
      <c r="AW83" s="544"/>
      <c r="AX83" s="544"/>
      <c r="AY83" s="545"/>
      <c r="AZ83" s="491" t="s">
        <v>797</v>
      </c>
      <c r="BA83" s="492"/>
      <c r="BB83" s="103">
        <v>1</v>
      </c>
      <c r="BC83" s="497">
        <v>44166</v>
      </c>
      <c r="BD83" s="498"/>
      <c r="BE83" s="498"/>
      <c r="BF83" s="499"/>
      <c r="BG83" s="500" t="s">
        <v>568</v>
      </c>
      <c r="BH83" s="501"/>
      <c r="BI83" s="226"/>
      <c r="BJ83" s="502"/>
      <c r="BK83" s="503"/>
      <c r="BL83" s="503"/>
      <c r="BM83" s="503"/>
      <c r="BN83" s="503"/>
      <c r="BO83" s="504"/>
      <c r="BP83" s="502"/>
      <c r="BQ83" s="503"/>
      <c r="BR83" s="503"/>
      <c r="BS83" s="503"/>
      <c r="BT83" s="503"/>
      <c r="BU83" s="504"/>
      <c r="BV83" s="502"/>
      <c r="BW83" s="503"/>
      <c r="BX83" s="503"/>
      <c r="BY83" s="503"/>
      <c r="BZ83" s="503"/>
      <c r="CA83" s="504"/>
      <c r="CB83" s="552"/>
      <c r="CC83" s="553"/>
      <c r="CD83" s="553"/>
      <c r="CE83" s="554"/>
      <c r="CF83" s="477"/>
      <c r="CG83" s="478"/>
      <c r="CH83" s="478"/>
      <c r="CI83" s="478"/>
      <c r="CJ83" s="479"/>
      <c r="CK83" s="477"/>
      <c r="CL83" s="478"/>
      <c r="CM83" s="478"/>
      <c r="CN83" s="478"/>
      <c r="CO83" s="479"/>
      <c r="CP83" s="477"/>
      <c r="CQ83" s="478"/>
      <c r="CR83" s="478"/>
      <c r="CS83" s="478"/>
      <c r="CT83" s="479"/>
      <c r="CU83" s="477"/>
      <c r="CV83" s="481"/>
      <c r="CW83" s="481"/>
      <c r="CX83" s="481"/>
      <c r="CY83" s="482"/>
    </row>
    <row r="84" spans="1:103" s="91" customFormat="1" ht="16.5" x14ac:dyDescent="0.15">
      <c r="A84" s="517"/>
      <c r="B84" s="102"/>
      <c r="C84" s="220" t="str">
        <f t="shared" ca="1" si="3"/>
        <v>@</v>
      </c>
      <c r="D84" s="521"/>
      <c r="E84" s="522"/>
      <c r="F84" s="522"/>
      <c r="G84" s="522"/>
      <c r="H84" s="522"/>
      <c r="I84" s="522"/>
      <c r="J84" s="522"/>
      <c r="K84" s="527"/>
      <c r="L84" s="528"/>
      <c r="M84" s="528"/>
      <c r="N84" s="528"/>
      <c r="O84" s="528"/>
      <c r="P84" s="528"/>
      <c r="Q84" s="528"/>
      <c r="R84" s="533"/>
      <c r="S84" s="534"/>
      <c r="T84" s="533"/>
      <c r="U84" s="534"/>
      <c r="V84" s="527"/>
      <c r="W84" s="528"/>
      <c r="X84" s="528"/>
      <c r="Y84" s="528"/>
      <c r="Z84" s="528"/>
      <c r="AA84" s="528"/>
      <c r="AB84" s="528"/>
      <c r="AC84" s="528"/>
      <c r="AD84" s="527"/>
      <c r="AE84" s="528"/>
      <c r="AF84" s="528"/>
      <c r="AG84" s="528"/>
      <c r="AH84" s="528"/>
      <c r="AI84" s="528"/>
      <c r="AJ84" s="528"/>
      <c r="AK84" s="541"/>
      <c r="AL84" s="527"/>
      <c r="AM84" s="528"/>
      <c r="AN84" s="528"/>
      <c r="AO84" s="528"/>
      <c r="AP84" s="528"/>
      <c r="AQ84" s="528"/>
      <c r="AR84" s="541"/>
      <c r="AS84" s="546"/>
      <c r="AT84" s="547"/>
      <c r="AU84" s="547"/>
      <c r="AV84" s="547"/>
      <c r="AW84" s="547"/>
      <c r="AX84" s="547"/>
      <c r="AY84" s="548"/>
      <c r="AZ84" s="493"/>
      <c r="BA84" s="494"/>
      <c r="BB84" s="105">
        <v>2</v>
      </c>
      <c r="BC84" s="483"/>
      <c r="BD84" s="484"/>
      <c r="BE84" s="484"/>
      <c r="BF84" s="485"/>
      <c r="BG84" s="486"/>
      <c r="BH84" s="487"/>
      <c r="BI84" s="224"/>
      <c r="BJ84" s="488"/>
      <c r="BK84" s="489"/>
      <c r="BL84" s="489"/>
      <c r="BM84" s="489"/>
      <c r="BN84" s="489"/>
      <c r="BO84" s="490"/>
      <c r="BP84" s="488"/>
      <c r="BQ84" s="489"/>
      <c r="BR84" s="489"/>
      <c r="BS84" s="489"/>
      <c r="BT84" s="489"/>
      <c r="BU84" s="490"/>
      <c r="BV84" s="488"/>
      <c r="BW84" s="489"/>
      <c r="BX84" s="489"/>
      <c r="BY84" s="489"/>
      <c r="BZ84" s="489"/>
      <c r="CA84" s="490"/>
      <c r="CB84" s="483"/>
      <c r="CC84" s="484"/>
      <c r="CD84" s="484"/>
      <c r="CE84" s="485"/>
      <c r="CF84" s="477"/>
      <c r="CG84" s="478"/>
      <c r="CH84" s="478"/>
      <c r="CI84" s="478"/>
      <c r="CJ84" s="479"/>
      <c r="CK84" s="477"/>
      <c r="CL84" s="478"/>
      <c r="CM84" s="478"/>
      <c r="CN84" s="478"/>
      <c r="CO84" s="479"/>
      <c r="CP84" s="477"/>
      <c r="CQ84" s="478"/>
      <c r="CR84" s="478"/>
      <c r="CS84" s="478"/>
      <c r="CT84" s="479"/>
      <c r="CU84" s="480"/>
      <c r="CV84" s="481"/>
      <c r="CW84" s="481"/>
      <c r="CX84" s="481"/>
      <c r="CY84" s="482"/>
    </row>
    <row r="85" spans="1:103" s="91" customFormat="1" ht="16.5" x14ac:dyDescent="0.15">
      <c r="A85" s="517"/>
      <c r="B85" s="102"/>
      <c r="C85" s="220" t="str">
        <f t="shared" ca="1" si="3"/>
        <v>@</v>
      </c>
      <c r="D85" s="521"/>
      <c r="E85" s="522"/>
      <c r="F85" s="522"/>
      <c r="G85" s="522"/>
      <c r="H85" s="522"/>
      <c r="I85" s="522"/>
      <c r="J85" s="522"/>
      <c r="K85" s="527"/>
      <c r="L85" s="528"/>
      <c r="M85" s="528"/>
      <c r="N85" s="528"/>
      <c r="O85" s="528"/>
      <c r="P85" s="528"/>
      <c r="Q85" s="528"/>
      <c r="R85" s="533"/>
      <c r="S85" s="534"/>
      <c r="T85" s="533"/>
      <c r="U85" s="534"/>
      <c r="V85" s="527"/>
      <c r="W85" s="528"/>
      <c r="X85" s="528"/>
      <c r="Y85" s="528"/>
      <c r="Z85" s="528"/>
      <c r="AA85" s="528"/>
      <c r="AB85" s="528"/>
      <c r="AC85" s="528"/>
      <c r="AD85" s="527"/>
      <c r="AE85" s="528"/>
      <c r="AF85" s="528"/>
      <c r="AG85" s="528"/>
      <c r="AH85" s="528"/>
      <c r="AI85" s="528"/>
      <c r="AJ85" s="528"/>
      <c r="AK85" s="541"/>
      <c r="AL85" s="527"/>
      <c r="AM85" s="528"/>
      <c r="AN85" s="528"/>
      <c r="AO85" s="528"/>
      <c r="AP85" s="528"/>
      <c r="AQ85" s="528"/>
      <c r="AR85" s="541"/>
      <c r="AS85" s="546"/>
      <c r="AT85" s="547"/>
      <c r="AU85" s="547"/>
      <c r="AV85" s="547"/>
      <c r="AW85" s="547"/>
      <c r="AX85" s="547"/>
      <c r="AY85" s="548"/>
      <c r="AZ85" s="493"/>
      <c r="BA85" s="494"/>
      <c r="BB85" s="105">
        <v>3</v>
      </c>
      <c r="BC85" s="483"/>
      <c r="BD85" s="484"/>
      <c r="BE85" s="484"/>
      <c r="BF85" s="485"/>
      <c r="BG85" s="486"/>
      <c r="BH85" s="487"/>
      <c r="BI85" s="224"/>
      <c r="BJ85" s="488"/>
      <c r="BK85" s="489"/>
      <c r="BL85" s="489"/>
      <c r="BM85" s="489"/>
      <c r="BN85" s="489"/>
      <c r="BO85" s="490"/>
      <c r="BP85" s="488"/>
      <c r="BQ85" s="489"/>
      <c r="BR85" s="489"/>
      <c r="BS85" s="489"/>
      <c r="BT85" s="489"/>
      <c r="BU85" s="490"/>
      <c r="BV85" s="488"/>
      <c r="BW85" s="489"/>
      <c r="BX85" s="489"/>
      <c r="BY85" s="489"/>
      <c r="BZ85" s="489"/>
      <c r="CA85" s="490"/>
      <c r="CB85" s="483"/>
      <c r="CC85" s="484"/>
      <c r="CD85" s="484"/>
      <c r="CE85" s="485"/>
      <c r="CF85" s="477"/>
      <c r="CG85" s="478"/>
      <c r="CH85" s="478"/>
      <c r="CI85" s="478"/>
      <c r="CJ85" s="479"/>
      <c r="CK85" s="477"/>
      <c r="CL85" s="478"/>
      <c r="CM85" s="478"/>
      <c r="CN85" s="478"/>
      <c r="CO85" s="479"/>
      <c r="CP85" s="477"/>
      <c r="CQ85" s="478"/>
      <c r="CR85" s="478"/>
      <c r="CS85" s="478"/>
      <c r="CT85" s="479"/>
      <c r="CU85" s="480"/>
      <c r="CV85" s="481"/>
      <c r="CW85" s="481"/>
      <c r="CX85" s="481"/>
      <c r="CY85" s="482"/>
    </row>
    <row r="86" spans="1:103" s="91" customFormat="1" ht="16.5" x14ac:dyDescent="0.15">
      <c r="A86" s="517"/>
      <c r="B86" s="102"/>
      <c r="C86" s="220" t="str">
        <f t="shared" ca="1" si="3"/>
        <v>@</v>
      </c>
      <c r="D86" s="521"/>
      <c r="E86" s="522"/>
      <c r="F86" s="522"/>
      <c r="G86" s="522"/>
      <c r="H86" s="522"/>
      <c r="I86" s="522"/>
      <c r="J86" s="522"/>
      <c r="K86" s="527"/>
      <c r="L86" s="528"/>
      <c r="M86" s="528"/>
      <c r="N86" s="528"/>
      <c r="O86" s="528"/>
      <c r="P86" s="528"/>
      <c r="Q86" s="528"/>
      <c r="R86" s="533"/>
      <c r="S86" s="534"/>
      <c r="T86" s="533"/>
      <c r="U86" s="534"/>
      <c r="V86" s="527"/>
      <c r="W86" s="528"/>
      <c r="X86" s="528"/>
      <c r="Y86" s="528"/>
      <c r="Z86" s="528"/>
      <c r="AA86" s="528"/>
      <c r="AB86" s="528"/>
      <c r="AC86" s="528"/>
      <c r="AD86" s="527"/>
      <c r="AE86" s="528"/>
      <c r="AF86" s="528"/>
      <c r="AG86" s="528"/>
      <c r="AH86" s="528"/>
      <c r="AI86" s="528"/>
      <c r="AJ86" s="528"/>
      <c r="AK86" s="541"/>
      <c r="AL86" s="527"/>
      <c r="AM86" s="528"/>
      <c r="AN86" s="528"/>
      <c r="AO86" s="528"/>
      <c r="AP86" s="528"/>
      <c r="AQ86" s="528"/>
      <c r="AR86" s="541"/>
      <c r="AS86" s="546"/>
      <c r="AT86" s="547"/>
      <c r="AU86" s="547"/>
      <c r="AV86" s="547"/>
      <c r="AW86" s="547"/>
      <c r="AX86" s="547"/>
      <c r="AY86" s="548"/>
      <c r="AZ86" s="493"/>
      <c r="BA86" s="494"/>
      <c r="BB86" s="105">
        <v>4</v>
      </c>
      <c r="BC86" s="483"/>
      <c r="BD86" s="484"/>
      <c r="BE86" s="484"/>
      <c r="BF86" s="485"/>
      <c r="BG86" s="486"/>
      <c r="BH86" s="487"/>
      <c r="BI86" s="224"/>
      <c r="BJ86" s="488"/>
      <c r="BK86" s="489"/>
      <c r="BL86" s="489"/>
      <c r="BM86" s="489"/>
      <c r="BN86" s="489"/>
      <c r="BO86" s="490"/>
      <c r="BP86" s="488"/>
      <c r="BQ86" s="489"/>
      <c r="BR86" s="489"/>
      <c r="BS86" s="489"/>
      <c r="BT86" s="489"/>
      <c r="BU86" s="490"/>
      <c r="BV86" s="488"/>
      <c r="BW86" s="489"/>
      <c r="BX86" s="489"/>
      <c r="BY86" s="489"/>
      <c r="BZ86" s="489"/>
      <c r="CA86" s="490"/>
      <c r="CB86" s="483"/>
      <c r="CC86" s="484"/>
      <c r="CD86" s="484"/>
      <c r="CE86" s="485"/>
      <c r="CF86" s="477"/>
      <c r="CG86" s="478"/>
      <c r="CH86" s="478"/>
      <c r="CI86" s="478"/>
      <c r="CJ86" s="479"/>
      <c r="CK86" s="477"/>
      <c r="CL86" s="478"/>
      <c r="CM86" s="478"/>
      <c r="CN86" s="478"/>
      <c r="CO86" s="479"/>
      <c r="CP86" s="477"/>
      <c r="CQ86" s="478"/>
      <c r="CR86" s="478"/>
      <c r="CS86" s="478"/>
      <c r="CT86" s="479"/>
      <c r="CU86" s="480"/>
      <c r="CV86" s="481"/>
      <c r="CW86" s="481"/>
      <c r="CX86" s="481"/>
      <c r="CY86" s="482"/>
    </row>
    <row r="87" spans="1:103" s="91" customFormat="1" ht="16.5" x14ac:dyDescent="0.15">
      <c r="A87" s="517"/>
      <c r="B87" s="102"/>
      <c r="C87" s="220" t="str">
        <f t="shared" ca="1" si="3"/>
        <v>@</v>
      </c>
      <c r="D87" s="521"/>
      <c r="E87" s="522"/>
      <c r="F87" s="522"/>
      <c r="G87" s="522"/>
      <c r="H87" s="522"/>
      <c r="I87" s="522"/>
      <c r="J87" s="522"/>
      <c r="K87" s="527"/>
      <c r="L87" s="528"/>
      <c r="M87" s="528"/>
      <c r="N87" s="528"/>
      <c r="O87" s="528"/>
      <c r="P87" s="528"/>
      <c r="Q87" s="528"/>
      <c r="R87" s="533"/>
      <c r="S87" s="534"/>
      <c r="T87" s="533"/>
      <c r="U87" s="534"/>
      <c r="V87" s="527"/>
      <c r="W87" s="528"/>
      <c r="X87" s="528"/>
      <c r="Y87" s="528"/>
      <c r="Z87" s="528"/>
      <c r="AA87" s="528"/>
      <c r="AB87" s="528"/>
      <c r="AC87" s="528"/>
      <c r="AD87" s="527"/>
      <c r="AE87" s="528"/>
      <c r="AF87" s="528"/>
      <c r="AG87" s="528"/>
      <c r="AH87" s="528"/>
      <c r="AI87" s="528"/>
      <c r="AJ87" s="528"/>
      <c r="AK87" s="541"/>
      <c r="AL87" s="527"/>
      <c r="AM87" s="528"/>
      <c r="AN87" s="528"/>
      <c r="AO87" s="528"/>
      <c r="AP87" s="528"/>
      <c r="AQ87" s="528"/>
      <c r="AR87" s="541"/>
      <c r="AS87" s="546"/>
      <c r="AT87" s="547"/>
      <c r="AU87" s="547"/>
      <c r="AV87" s="547"/>
      <c r="AW87" s="547"/>
      <c r="AX87" s="547"/>
      <c r="AY87" s="548"/>
      <c r="AZ87" s="493"/>
      <c r="BA87" s="494"/>
      <c r="BB87" s="105">
        <v>5</v>
      </c>
      <c r="BC87" s="483"/>
      <c r="BD87" s="484"/>
      <c r="BE87" s="484"/>
      <c r="BF87" s="485"/>
      <c r="BG87" s="486"/>
      <c r="BH87" s="487"/>
      <c r="BI87" s="224"/>
      <c r="BJ87" s="488"/>
      <c r="BK87" s="489"/>
      <c r="BL87" s="489"/>
      <c r="BM87" s="489"/>
      <c r="BN87" s="489"/>
      <c r="BO87" s="490"/>
      <c r="BP87" s="488"/>
      <c r="BQ87" s="489"/>
      <c r="BR87" s="489"/>
      <c r="BS87" s="489"/>
      <c r="BT87" s="489"/>
      <c r="BU87" s="490"/>
      <c r="BV87" s="488"/>
      <c r="BW87" s="489"/>
      <c r="BX87" s="489"/>
      <c r="BY87" s="489"/>
      <c r="BZ87" s="489"/>
      <c r="CA87" s="490"/>
      <c r="CB87" s="483"/>
      <c r="CC87" s="484"/>
      <c r="CD87" s="484"/>
      <c r="CE87" s="485"/>
      <c r="CF87" s="477"/>
      <c r="CG87" s="478"/>
      <c r="CH87" s="478"/>
      <c r="CI87" s="478"/>
      <c r="CJ87" s="479"/>
      <c r="CK87" s="477"/>
      <c r="CL87" s="478"/>
      <c r="CM87" s="478"/>
      <c r="CN87" s="478"/>
      <c r="CO87" s="479"/>
      <c r="CP87" s="477"/>
      <c r="CQ87" s="478"/>
      <c r="CR87" s="478"/>
      <c r="CS87" s="478"/>
      <c r="CT87" s="479"/>
      <c r="CU87" s="480"/>
      <c r="CV87" s="481"/>
      <c r="CW87" s="481"/>
      <c r="CX87" s="481"/>
      <c r="CY87" s="482"/>
    </row>
    <row r="88" spans="1:103" s="91" customFormat="1" ht="16.5" x14ac:dyDescent="0.15">
      <c r="A88" s="518"/>
      <c r="B88" s="107"/>
      <c r="C88" s="220" t="str">
        <f t="shared" ca="1" si="3"/>
        <v>@</v>
      </c>
      <c r="D88" s="523"/>
      <c r="E88" s="524"/>
      <c r="F88" s="524"/>
      <c r="G88" s="524"/>
      <c r="H88" s="524"/>
      <c r="I88" s="524"/>
      <c r="J88" s="524"/>
      <c r="K88" s="529"/>
      <c r="L88" s="530"/>
      <c r="M88" s="530"/>
      <c r="N88" s="530"/>
      <c r="O88" s="530"/>
      <c r="P88" s="530"/>
      <c r="Q88" s="530"/>
      <c r="R88" s="535"/>
      <c r="S88" s="536"/>
      <c r="T88" s="535"/>
      <c r="U88" s="537"/>
      <c r="V88" s="529"/>
      <c r="W88" s="539"/>
      <c r="X88" s="539"/>
      <c r="Y88" s="539"/>
      <c r="Z88" s="539"/>
      <c r="AA88" s="539"/>
      <c r="AB88" s="539"/>
      <c r="AC88" s="539"/>
      <c r="AD88" s="529"/>
      <c r="AE88" s="530"/>
      <c r="AF88" s="530"/>
      <c r="AG88" s="530"/>
      <c r="AH88" s="530"/>
      <c r="AI88" s="530"/>
      <c r="AJ88" s="530"/>
      <c r="AK88" s="555"/>
      <c r="AL88" s="529"/>
      <c r="AM88" s="539"/>
      <c r="AN88" s="539"/>
      <c r="AO88" s="539"/>
      <c r="AP88" s="539"/>
      <c r="AQ88" s="539"/>
      <c r="AR88" s="542"/>
      <c r="AS88" s="549"/>
      <c r="AT88" s="550"/>
      <c r="AU88" s="550"/>
      <c r="AV88" s="550"/>
      <c r="AW88" s="550"/>
      <c r="AX88" s="550"/>
      <c r="AY88" s="551"/>
      <c r="AZ88" s="495"/>
      <c r="BA88" s="496"/>
      <c r="BB88" s="108">
        <v>6</v>
      </c>
      <c r="BC88" s="505"/>
      <c r="BD88" s="506"/>
      <c r="BE88" s="506"/>
      <c r="BF88" s="507"/>
      <c r="BG88" s="508"/>
      <c r="BH88" s="509"/>
      <c r="BI88" s="225"/>
      <c r="BJ88" s="510"/>
      <c r="BK88" s="511"/>
      <c r="BL88" s="511"/>
      <c r="BM88" s="511"/>
      <c r="BN88" s="511"/>
      <c r="BO88" s="512"/>
      <c r="BP88" s="510"/>
      <c r="BQ88" s="511"/>
      <c r="BR88" s="511"/>
      <c r="BS88" s="511"/>
      <c r="BT88" s="511"/>
      <c r="BU88" s="512"/>
      <c r="BV88" s="510"/>
      <c r="BW88" s="511"/>
      <c r="BX88" s="511"/>
      <c r="BY88" s="511"/>
      <c r="BZ88" s="511"/>
      <c r="CA88" s="512"/>
      <c r="CB88" s="505"/>
      <c r="CC88" s="506"/>
      <c r="CD88" s="506"/>
      <c r="CE88" s="507"/>
      <c r="CF88" s="477"/>
      <c r="CG88" s="478"/>
      <c r="CH88" s="478"/>
      <c r="CI88" s="478"/>
      <c r="CJ88" s="479"/>
      <c r="CK88" s="477"/>
      <c r="CL88" s="478"/>
      <c r="CM88" s="478"/>
      <c r="CN88" s="478"/>
      <c r="CO88" s="479"/>
      <c r="CP88" s="477"/>
      <c r="CQ88" s="478"/>
      <c r="CR88" s="478"/>
      <c r="CS88" s="478"/>
      <c r="CT88" s="479"/>
      <c r="CU88" s="480"/>
      <c r="CV88" s="481"/>
      <c r="CW88" s="481"/>
      <c r="CX88" s="481"/>
      <c r="CY88" s="482"/>
    </row>
    <row r="89" spans="1:103" s="91" customFormat="1" ht="16.149999999999999" customHeight="1" x14ac:dyDescent="0.15">
      <c r="A89" s="516">
        <v>14</v>
      </c>
      <c r="B89" s="102"/>
      <c r="C89" s="216" t="str">
        <f t="shared" ca="1" si="3"/>
        <v>@</v>
      </c>
      <c r="D89" s="519" t="s">
        <v>579</v>
      </c>
      <c r="E89" s="520"/>
      <c r="F89" s="520"/>
      <c r="G89" s="520"/>
      <c r="H89" s="520"/>
      <c r="I89" s="520"/>
      <c r="J89" s="520"/>
      <c r="K89" s="525" t="s">
        <v>593</v>
      </c>
      <c r="L89" s="526"/>
      <c r="M89" s="526"/>
      <c r="N89" s="526"/>
      <c r="O89" s="526"/>
      <c r="P89" s="526"/>
      <c r="Q89" s="526"/>
      <c r="R89" s="531"/>
      <c r="S89" s="532"/>
      <c r="T89" s="531" t="s">
        <v>284</v>
      </c>
      <c r="U89" s="532"/>
      <c r="V89" s="525" t="s">
        <v>594</v>
      </c>
      <c r="W89" s="538"/>
      <c r="X89" s="538"/>
      <c r="Y89" s="538"/>
      <c r="Z89" s="538"/>
      <c r="AA89" s="538"/>
      <c r="AB89" s="538"/>
      <c r="AC89" s="538"/>
      <c r="AD89" s="525" t="s">
        <v>595</v>
      </c>
      <c r="AE89" s="538"/>
      <c r="AF89" s="538"/>
      <c r="AG89" s="538"/>
      <c r="AH89" s="538"/>
      <c r="AI89" s="538"/>
      <c r="AJ89" s="538"/>
      <c r="AK89" s="540"/>
      <c r="AL89" s="525"/>
      <c r="AM89" s="538"/>
      <c r="AN89" s="538"/>
      <c r="AO89" s="538"/>
      <c r="AP89" s="538"/>
      <c r="AQ89" s="538"/>
      <c r="AR89" s="540"/>
      <c r="AS89" s="543"/>
      <c r="AT89" s="544"/>
      <c r="AU89" s="544"/>
      <c r="AV89" s="544"/>
      <c r="AW89" s="544"/>
      <c r="AX89" s="544"/>
      <c r="AY89" s="545"/>
      <c r="AZ89" s="491" t="s">
        <v>797</v>
      </c>
      <c r="BA89" s="492"/>
      <c r="BB89" s="103">
        <v>1</v>
      </c>
      <c r="BC89" s="497">
        <v>44166</v>
      </c>
      <c r="BD89" s="498"/>
      <c r="BE89" s="498"/>
      <c r="BF89" s="499"/>
      <c r="BG89" s="500" t="s">
        <v>568</v>
      </c>
      <c r="BH89" s="501"/>
      <c r="BI89" s="226"/>
      <c r="BJ89" s="502"/>
      <c r="BK89" s="503"/>
      <c r="BL89" s="503"/>
      <c r="BM89" s="503"/>
      <c r="BN89" s="503"/>
      <c r="BO89" s="504"/>
      <c r="BP89" s="502"/>
      <c r="BQ89" s="503"/>
      <c r="BR89" s="503"/>
      <c r="BS89" s="503"/>
      <c r="BT89" s="503"/>
      <c r="BU89" s="504"/>
      <c r="BV89" s="502"/>
      <c r="BW89" s="503"/>
      <c r="BX89" s="503"/>
      <c r="BY89" s="503"/>
      <c r="BZ89" s="503"/>
      <c r="CA89" s="504"/>
      <c r="CB89" s="497"/>
      <c r="CC89" s="498"/>
      <c r="CD89" s="498"/>
      <c r="CE89" s="499"/>
      <c r="CF89" s="477"/>
      <c r="CG89" s="478"/>
      <c r="CH89" s="478"/>
      <c r="CI89" s="478"/>
      <c r="CJ89" s="479"/>
      <c r="CK89" s="477"/>
      <c r="CL89" s="478"/>
      <c r="CM89" s="478"/>
      <c r="CN89" s="478"/>
      <c r="CO89" s="479"/>
      <c r="CP89" s="477"/>
      <c r="CQ89" s="478"/>
      <c r="CR89" s="478"/>
      <c r="CS89" s="478"/>
      <c r="CT89" s="479"/>
      <c r="CU89" s="480"/>
      <c r="CV89" s="481"/>
      <c r="CW89" s="481"/>
      <c r="CX89" s="481"/>
      <c r="CY89" s="482"/>
    </row>
    <row r="90" spans="1:103" s="91" customFormat="1" ht="16.5" x14ac:dyDescent="0.15">
      <c r="A90" s="517"/>
      <c r="B90" s="102"/>
      <c r="C90" s="220" t="str">
        <f t="shared" ca="1" si="3"/>
        <v>@</v>
      </c>
      <c r="D90" s="521"/>
      <c r="E90" s="522"/>
      <c r="F90" s="522"/>
      <c r="G90" s="522"/>
      <c r="H90" s="522"/>
      <c r="I90" s="522"/>
      <c r="J90" s="522"/>
      <c r="K90" s="527"/>
      <c r="L90" s="528"/>
      <c r="M90" s="528"/>
      <c r="N90" s="528"/>
      <c r="O90" s="528"/>
      <c r="P90" s="528"/>
      <c r="Q90" s="528"/>
      <c r="R90" s="533"/>
      <c r="S90" s="534"/>
      <c r="T90" s="533"/>
      <c r="U90" s="534"/>
      <c r="V90" s="527"/>
      <c r="W90" s="528"/>
      <c r="X90" s="528"/>
      <c r="Y90" s="528"/>
      <c r="Z90" s="528"/>
      <c r="AA90" s="528"/>
      <c r="AB90" s="528"/>
      <c r="AC90" s="528"/>
      <c r="AD90" s="527"/>
      <c r="AE90" s="528"/>
      <c r="AF90" s="528"/>
      <c r="AG90" s="528"/>
      <c r="AH90" s="528"/>
      <c r="AI90" s="528"/>
      <c r="AJ90" s="528"/>
      <c r="AK90" s="541"/>
      <c r="AL90" s="527"/>
      <c r="AM90" s="528"/>
      <c r="AN90" s="528"/>
      <c r="AO90" s="528"/>
      <c r="AP90" s="528"/>
      <c r="AQ90" s="528"/>
      <c r="AR90" s="541"/>
      <c r="AS90" s="546"/>
      <c r="AT90" s="547"/>
      <c r="AU90" s="547"/>
      <c r="AV90" s="547"/>
      <c r="AW90" s="547"/>
      <c r="AX90" s="547"/>
      <c r="AY90" s="548"/>
      <c r="AZ90" s="493"/>
      <c r="BA90" s="494"/>
      <c r="BB90" s="105">
        <v>2</v>
      </c>
      <c r="BC90" s="483"/>
      <c r="BD90" s="484"/>
      <c r="BE90" s="484"/>
      <c r="BF90" s="485"/>
      <c r="BG90" s="486"/>
      <c r="BH90" s="487"/>
      <c r="BI90" s="224"/>
      <c r="BJ90" s="488"/>
      <c r="BK90" s="489"/>
      <c r="BL90" s="489"/>
      <c r="BM90" s="489"/>
      <c r="BN90" s="489"/>
      <c r="BO90" s="490"/>
      <c r="BP90" s="488"/>
      <c r="BQ90" s="489"/>
      <c r="BR90" s="489"/>
      <c r="BS90" s="489"/>
      <c r="BT90" s="489"/>
      <c r="BU90" s="490"/>
      <c r="BV90" s="488"/>
      <c r="BW90" s="489"/>
      <c r="BX90" s="489"/>
      <c r="BY90" s="489"/>
      <c r="BZ90" s="489"/>
      <c r="CA90" s="490"/>
      <c r="CB90" s="483"/>
      <c r="CC90" s="484"/>
      <c r="CD90" s="484"/>
      <c r="CE90" s="485"/>
      <c r="CF90" s="477"/>
      <c r="CG90" s="478"/>
      <c r="CH90" s="478"/>
      <c r="CI90" s="478"/>
      <c r="CJ90" s="479"/>
      <c r="CK90" s="477"/>
      <c r="CL90" s="478"/>
      <c r="CM90" s="478"/>
      <c r="CN90" s="478"/>
      <c r="CO90" s="479"/>
      <c r="CP90" s="477"/>
      <c r="CQ90" s="478"/>
      <c r="CR90" s="478"/>
      <c r="CS90" s="478"/>
      <c r="CT90" s="479"/>
      <c r="CU90" s="480"/>
      <c r="CV90" s="481"/>
      <c r="CW90" s="481"/>
      <c r="CX90" s="481"/>
      <c r="CY90" s="482"/>
    </row>
    <row r="91" spans="1:103" s="91" customFormat="1" ht="16.5" x14ac:dyDescent="0.15">
      <c r="A91" s="517"/>
      <c r="B91" s="102"/>
      <c r="C91" s="220" t="str">
        <f t="shared" ca="1" si="3"/>
        <v>@</v>
      </c>
      <c r="D91" s="521"/>
      <c r="E91" s="522"/>
      <c r="F91" s="522"/>
      <c r="G91" s="522"/>
      <c r="H91" s="522"/>
      <c r="I91" s="522"/>
      <c r="J91" s="522"/>
      <c r="K91" s="527"/>
      <c r="L91" s="528"/>
      <c r="M91" s="528"/>
      <c r="N91" s="528"/>
      <c r="O91" s="528"/>
      <c r="P91" s="528"/>
      <c r="Q91" s="528"/>
      <c r="R91" s="533"/>
      <c r="S91" s="534"/>
      <c r="T91" s="533"/>
      <c r="U91" s="534"/>
      <c r="V91" s="527"/>
      <c r="W91" s="528"/>
      <c r="X91" s="528"/>
      <c r="Y91" s="528"/>
      <c r="Z91" s="528"/>
      <c r="AA91" s="528"/>
      <c r="AB91" s="528"/>
      <c r="AC91" s="528"/>
      <c r="AD91" s="527"/>
      <c r="AE91" s="528"/>
      <c r="AF91" s="528"/>
      <c r="AG91" s="528"/>
      <c r="AH91" s="528"/>
      <c r="AI91" s="528"/>
      <c r="AJ91" s="528"/>
      <c r="AK91" s="541"/>
      <c r="AL91" s="527"/>
      <c r="AM91" s="528"/>
      <c r="AN91" s="528"/>
      <c r="AO91" s="528"/>
      <c r="AP91" s="528"/>
      <c r="AQ91" s="528"/>
      <c r="AR91" s="541"/>
      <c r="AS91" s="546"/>
      <c r="AT91" s="547"/>
      <c r="AU91" s="547"/>
      <c r="AV91" s="547"/>
      <c r="AW91" s="547"/>
      <c r="AX91" s="547"/>
      <c r="AY91" s="548"/>
      <c r="AZ91" s="493"/>
      <c r="BA91" s="494"/>
      <c r="BB91" s="105">
        <v>3</v>
      </c>
      <c r="BC91" s="483"/>
      <c r="BD91" s="484"/>
      <c r="BE91" s="484"/>
      <c r="BF91" s="485"/>
      <c r="BG91" s="486"/>
      <c r="BH91" s="487"/>
      <c r="BI91" s="224"/>
      <c r="BJ91" s="488"/>
      <c r="BK91" s="489"/>
      <c r="BL91" s="489"/>
      <c r="BM91" s="489"/>
      <c r="BN91" s="489"/>
      <c r="BO91" s="490"/>
      <c r="BP91" s="488"/>
      <c r="BQ91" s="489"/>
      <c r="BR91" s="489"/>
      <c r="BS91" s="489"/>
      <c r="BT91" s="489"/>
      <c r="BU91" s="490"/>
      <c r="BV91" s="488"/>
      <c r="BW91" s="489"/>
      <c r="BX91" s="489"/>
      <c r="BY91" s="489"/>
      <c r="BZ91" s="489"/>
      <c r="CA91" s="490"/>
      <c r="CB91" s="483"/>
      <c r="CC91" s="484"/>
      <c r="CD91" s="484"/>
      <c r="CE91" s="485"/>
      <c r="CF91" s="477"/>
      <c r="CG91" s="478"/>
      <c r="CH91" s="478"/>
      <c r="CI91" s="478"/>
      <c r="CJ91" s="479"/>
      <c r="CK91" s="477"/>
      <c r="CL91" s="478"/>
      <c r="CM91" s="478"/>
      <c r="CN91" s="478"/>
      <c r="CO91" s="479"/>
      <c r="CP91" s="477"/>
      <c r="CQ91" s="478"/>
      <c r="CR91" s="478"/>
      <c r="CS91" s="478"/>
      <c r="CT91" s="479"/>
      <c r="CU91" s="480"/>
      <c r="CV91" s="481"/>
      <c r="CW91" s="481"/>
      <c r="CX91" s="481"/>
      <c r="CY91" s="482"/>
    </row>
    <row r="92" spans="1:103" s="91" customFormat="1" ht="16.5" x14ac:dyDescent="0.15">
      <c r="A92" s="517"/>
      <c r="B92" s="102"/>
      <c r="C92" s="220" t="str">
        <f t="shared" ca="1" si="3"/>
        <v>@</v>
      </c>
      <c r="D92" s="521"/>
      <c r="E92" s="522"/>
      <c r="F92" s="522"/>
      <c r="G92" s="522"/>
      <c r="H92" s="522"/>
      <c r="I92" s="522"/>
      <c r="J92" s="522"/>
      <c r="K92" s="527"/>
      <c r="L92" s="528"/>
      <c r="M92" s="528"/>
      <c r="N92" s="528"/>
      <c r="O92" s="528"/>
      <c r="P92" s="528"/>
      <c r="Q92" s="528"/>
      <c r="R92" s="533"/>
      <c r="S92" s="534"/>
      <c r="T92" s="533"/>
      <c r="U92" s="534"/>
      <c r="V92" s="527"/>
      <c r="W92" s="528"/>
      <c r="X92" s="528"/>
      <c r="Y92" s="528"/>
      <c r="Z92" s="528"/>
      <c r="AA92" s="528"/>
      <c r="AB92" s="528"/>
      <c r="AC92" s="528"/>
      <c r="AD92" s="527"/>
      <c r="AE92" s="528"/>
      <c r="AF92" s="528"/>
      <c r="AG92" s="528"/>
      <c r="AH92" s="528"/>
      <c r="AI92" s="528"/>
      <c r="AJ92" s="528"/>
      <c r="AK92" s="541"/>
      <c r="AL92" s="527"/>
      <c r="AM92" s="528"/>
      <c r="AN92" s="528"/>
      <c r="AO92" s="528"/>
      <c r="AP92" s="528"/>
      <c r="AQ92" s="528"/>
      <c r="AR92" s="541"/>
      <c r="AS92" s="546"/>
      <c r="AT92" s="547"/>
      <c r="AU92" s="547"/>
      <c r="AV92" s="547"/>
      <c r="AW92" s="547"/>
      <c r="AX92" s="547"/>
      <c r="AY92" s="548"/>
      <c r="AZ92" s="493"/>
      <c r="BA92" s="494"/>
      <c r="BB92" s="105">
        <v>4</v>
      </c>
      <c r="BC92" s="483"/>
      <c r="BD92" s="484"/>
      <c r="BE92" s="484"/>
      <c r="BF92" s="485"/>
      <c r="BG92" s="486"/>
      <c r="BH92" s="487"/>
      <c r="BI92" s="224"/>
      <c r="BJ92" s="488"/>
      <c r="BK92" s="489"/>
      <c r="BL92" s="489"/>
      <c r="BM92" s="489"/>
      <c r="BN92" s="489"/>
      <c r="BO92" s="490"/>
      <c r="BP92" s="488"/>
      <c r="BQ92" s="489"/>
      <c r="BR92" s="489"/>
      <c r="BS92" s="489"/>
      <c r="BT92" s="489"/>
      <c r="BU92" s="490"/>
      <c r="BV92" s="488"/>
      <c r="BW92" s="489"/>
      <c r="BX92" s="489"/>
      <c r="BY92" s="489"/>
      <c r="BZ92" s="489"/>
      <c r="CA92" s="490"/>
      <c r="CB92" s="483"/>
      <c r="CC92" s="484"/>
      <c r="CD92" s="484"/>
      <c r="CE92" s="485"/>
      <c r="CF92" s="477"/>
      <c r="CG92" s="478"/>
      <c r="CH92" s="478"/>
      <c r="CI92" s="478"/>
      <c r="CJ92" s="479"/>
      <c r="CK92" s="477"/>
      <c r="CL92" s="478"/>
      <c r="CM92" s="478"/>
      <c r="CN92" s="478"/>
      <c r="CO92" s="479"/>
      <c r="CP92" s="477"/>
      <c r="CQ92" s="478"/>
      <c r="CR92" s="478"/>
      <c r="CS92" s="478"/>
      <c r="CT92" s="479"/>
      <c r="CU92" s="480"/>
      <c r="CV92" s="481"/>
      <c r="CW92" s="481"/>
      <c r="CX92" s="481"/>
      <c r="CY92" s="482"/>
    </row>
    <row r="93" spans="1:103" s="91" customFormat="1" ht="16.5" x14ac:dyDescent="0.15">
      <c r="A93" s="517"/>
      <c r="B93" s="102"/>
      <c r="C93" s="220" t="str">
        <f t="shared" ca="1" si="3"/>
        <v>@</v>
      </c>
      <c r="D93" s="521"/>
      <c r="E93" s="522"/>
      <c r="F93" s="522"/>
      <c r="G93" s="522"/>
      <c r="H93" s="522"/>
      <c r="I93" s="522"/>
      <c r="J93" s="522"/>
      <c r="K93" s="527"/>
      <c r="L93" s="528"/>
      <c r="M93" s="528"/>
      <c r="N93" s="528"/>
      <c r="O93" s="528"/>
      <c r="P93" s="528"/>
      <c r="Q93" s="528"/>
      <c r="R93" s="533"/>
      <c r="S93" s="534"/>
      <c r="T93" s="533"/>
      <c r="U93" s="534"/>
      <c r="V93" s="527"/>
      <c r="W93" s="528"/>
      <c r="X93" s="528"/>
      <c r="Y93" s="528"/>
      <c r="Z93" s="528"/>
      <c r="AA93" s="528"/>
      <c r="AB93" s="528"/>
      <c r="AC93" s="528"/>
      <c r="AD93" s="527"/>
      <c r="AE93" s="528"/>
      <c r="AF93" s="528"/>
      <c r="AG93" s="528"/>
      <c r="AH93" s="528"/>
      <c r="AI93" s="528"/>
      <c r="AJ93" s="528"/>
      <c r="AK93" s="541"/>
      <c r="AL93" s="527"/>
      <c r="AM93" s="528"/>
      <c r="AN93" s="528"/>
      <c r="AO93" s="528"/>
      <c r="AP93" s="528"/>
      <c r="AQ93" s="528"/>
      <c r="AR93" s="541"/>
      <c r="AS93" s="546"/>
      <c r="AT93" s="547"/>
      <c r="AU93" s="547"/>
      <c r="AV93" s="547"/>
      <c r="AW93" s="547"/>
      <c r="AX93" s="547"/>
      <c r="AY93" s="548"/>
      <c r="AZ93" s="493"/>
      <c r="BA93" s="494"/>
      <c r="BB93" s="105">
        <v>5</v>
      </c>
      <c r="BC93" s="483"/>
      <c r="BD93" s="484"/>
      <c r="BE93" s="484"/>
      <c r="BF93" s="485"/>
      <c r="BG93" s="486"/>
      <c r="BH93" s="487"/>
      <c r="BI93" s="224"/>
      <c r="BJ93" s="488"/>
      <c r="BK93" s="489"/>
      <c r="BL93" s="489"/>
      <c r="BM93" s="489"/>
      <c r="BN93" s="489"/>
      <c r="BO93" s="490"/>
      <c r="BP93" s="488"/>
      <c r="BQ93" s="489"/>
      <c r="BR93" s="489"/>
      <c r="BS93" s="489"/>
      <c r="BT93" s="489"/>
      <c r="BU93" s="490"/>
      <c r="BV93" s="488"/>
      <c r="BW93" s="489"/>
      <c r="BX93" s="489"/>
      <c r="BY93" s="489"/>
      <c r="BZ93" s="489"/>
      <c r="CA93" s="490"/>
      <c r="CB93" s="483"/>
      <c r="CC93" s="484"/>
      <c r="CD93" s="484"/>
      <c r="CE93" s="485"/>
      <c r="CF93" s="477"/>
      <c r="CG93" s="478"/>
      <c r="CH93" s="478"/>
      <c r="CI93" s="478"/>
      <c r="CJ93" s="479"/>
      <c r="CK93" s="477"/>
      <c r="CL93" s="478"/>
      <c r="CM93" s="478"/>
      <c r="CN93" s="478"/>
      <c r="CO93" s="479"/>
      <c r="CP93" s="477"/>
      <c r="CQ93" s="478"/>
      <c r="CR93" s="478"/>
      <c r="CS93" s="478"/>
      <c r="CT93" s="479"/>
      <c r="CU93" s="480"/>
      <c r="CV93" s="481"/>
      <c r="CW93" s="481"/>
      <c r="CX93" s="481"/>
      <c r="CY93" s="482"/>
    </row>
    <row r="94" spans="1:103" s="91" customFormat="1" ht="16.5" x14ac:dyDescent="0.15">
      <c r="A94" s="518"/>
      <c r="B94" s="107"/>
      <c r="C94" s="219" t="str">
        <f t="shared" ca="1" si="3"/>
        <v>@</v>
      </c>
      <c r="D94" s="523"/>
      <c r="E94" s="524"/>
      <c r="F94" s="524"/>
      <c r="G94" s="524"/>
      <c r="H94" s="524"/>
      <c r="I94" s="524"/>
      <c r="J94" s="524"/>
      <c r="K94" s="529"/>
      <c r="L94" s="530"/>
      <c r="M94" s="530"/>
      <c r="N94" s="530"/>
      <c r="O94" s="530"/>
      <c r="P94" s="530"/>
      <c r="Q94" s="530"/>
      <c r="R94" s="535"/>
      <c r="S94" s="536"/>
      <c r="T94" s="535"/>
      <c r="U94" s="537"/>
      <c r="V94" s="529"/>
      <c r="W94" s="539"/>
      <c r="X94" s="539"/>
      <c r="Y94" s="539"/>
      <c r="Z94" s="539"/>
      <c r="AA94" s="539"/>
      <c r="AB94" s="539"/>
      <c r="AC94" s="539"/>
      <c r="AD94" s="529"/>
      <c r="AE94" s="539"/>
      <c r="AF94" s="539"/>
      <c r="AG94" s="539"/>
      <c r="AH94" s="539"/>
      <c r="AI94" s="539"/>
      <c r="AJ94" s="539"/>
      <c r="AK94" s="542"/>
      <c r="AL94" s="529"/>
      <c r="AM94" s="539"/>
      <c r="AN94" s="539"/>
      <c r="AO94" s="539"/>
      <c r="AP94" s="539"/>
      <c r="AQ94" s="539"/>
      <c r="AR94" s="542"/>
      <c r="AS94" s="549"/>
      <c r="AT94" s="550"/>
      <c r="AU94" s="550"/>
      <c r="AV94" s="550"/>
      <c r="AW94" s="550"/>
      <c r="AX94" s="550"/>
      <c r="AY94" s="551"/>
      <c r="AZ94" s="495"/>
      <c r="BA94" s="496"/>
      <c r="BB94" s="108">
        <v>6</v>
      </c>
      <c r="BC94" s="505"/>
      <c r="BD94" s="506"/>
      <c r="BE94" s="506"/>
      <c r="BF94" s="507"/>
      <c r="BG94" s="508"/>
      <c r="BH94" s="509"/>
      <c r="BI94" s="227"/>
      <c r="BJ94" s="510"/>
      <c r="BK94" s="511"/>
      <c r="BL94" s="511"/>
      <c r="BM94" s="511"/>
      <c r="BN94" s="511"/>
      <c r="BO94" s="512"/>
      <c r="BP94" s="510"/>
      <c r="BQ94" s="511"/>
      <c r="BR94" s="511"/>
      <c r="BS94" s="511"/>
      <c r="BT94" s="511"/>
      <c r="BU94" s="512"/>
      <c r="BV94" s="510"/>
      <c r="BW94" s="511"/>
      <c r="BX94" s="511"/>
      <c r="BY94" s="511"/>
      <c r="BZ94" s="511"/>
      <c r="CA94" s="512"/>
      <c r="CB94" s="513"/>
      <c r="CC94" s="514"/>
      <c r="CD94" s="514"/>
      <c r="CE94" s="515"/>
      <c r="CF94" s="477"/>
      <c r="CG94" s="478"/>
      <c r="CH94" s="478"/>
      <c r="CI94" s="478"/>
      <c r="CJ94" s="479"/>
      <c r="CK94" s="477"/>
      <c r="CL94" s="478"/>
      <c r="CM94" s="478"/>
      <c r="CN94" s="478"/>
      <c r="CO94" s="479"/>
      <c r="CP94" s="477"/>
      <c r="CQ94" s="478"/>
      <c r="CR94" s="478"/>
      <c r="CS94" s="478"/>
      <c r="CT94" s="479"/>
      <c r="CU94" s="480"/>
      <c r="CV94" s="481"/>
      <c r="CW94" s="481"/>
      <c r="CX94" s="481"/>
      <c r="CY94" s="482"/>
    </row>
    <row r="95" spans="1:103" s="91" customFormat="1" ht="16.149999999999999" customHeight="1" x14ac:dyDescent="0.15">
      <c r="A95" s="516">
        <v>15</v>
      </c>
      <c r="B95" s="102"/>
      <c r="C95" s="222" t="str">
        <f t="shared" ca="1" si="3"/>
        <v>@</v>
      </c>
      <c r="D95" s="519" t="s">
        <v>579</v>
      </c>
      <c r="E95" s="520"/>
      <c r="F95" s="520"/>
      <c r="G95" s="520"/>
      <c r="H95" s="520"/>
      <c r="I95" s="520"/>
      <c r="J95" s="520"/>
      <c r="K95" s="525" t="s">
        <v>596</v>
      </c>
      <c r="L95" s="526"/>
      <c r="M95" s="526"/>
      <c r="N95" s="526"/>
      <c r="O95" s="526"/>
      <c r="P95" s="526"/>
      <c r="Q95" s="526"/>
      <c r="R95" s="531"/>
      <c r="S95" s="532"/>
      <c r="T95" s="531" t="s">
        <v>284</v>
      </c>
      <c r="U95" s="532"/>
      <c r="V95" s="525" t="s">
        <v>589</v>
      </c>
      <c r="W95" s="538"/>
      <c r="X95" s="538"/>
      <c r="Y95" s="538"/>
      <c r="Z95" s="538"/>
      <c r="AA95" s="538"/>
      <c r="AB95" s="538"/>
      <c r="AC95" s="538"/>
      <c r="AD95" s="525" t="s">
        <v>597</v>
      </c>
      <c r="AE95" s="526"/>
      <c r="AF95" s="526"/>
      <c r="AG95" s="526"/>
      <c r="AH95" s="526"/>
      <c r="AI95" s="526"/>
      <c r="AJ95" s="526"/>
      <c r="AK95" s="540"/>
      <c r="AL95" s="525"/>
      <c r="AM95" s="538"/>
      <c r="AN95" s="538"/>
      <c r="AO95" s="538"/>
      <c r="AP95" s="538"/>
      <c r="AQ95" s="538"/>
      <c r="AR95" s="540"/>
      <c r="AS95" s="543"/>
      <c r="AT95" s="544"/>
      <c r="AU95" s="544"/>
      <c r="AV95" s="544"/>
      <c r="AW95" s="544"/>
      <c r="AX95" s="544"/>
      <c r="AY95" s="545"/>
      <c r="AZ95" s="491" t="s">
        <v>797</v>
      </c>
      <c r="BA95" s="492"/>
      <c r="BB95" s="103">
        <v>1</v>
      </c>
      <c r="BC95" s="497">
        <v>44166</v>
      </c>
      <c r="BD95" s="498"/>
      <c r="BE95" s="498"/>
      <c r="BF95" s="499"/>
      <c r="BG95" s="500" t="s">
        <v>568</v>
      </c>
      <c r="BH95" s="501"/>
      <c r="BI95" s="226"/>
      <c r="BJ95" s="502"/>
      <c r="BK95" s="503"/>
      <c r="BL95" s="503"/>
      <c r="BM95" s="503"/>
      <c r="BN95" s="503"/>
      <c r="BO95" s="504"/>
      <c r="BP95" s="502"/>
      <c r="BQ95" s="503"/>
      <c r="BR95" s="503"/>
      <c r="BS95" s="503"/>
      <c r="BT95" s="503"/>
      <c r="BU95" s="504"/>
      <c r="BV95" s="502"/>
      <c r="BW95" s="503"/>
      <c r="BX95" s="503"/>
      <c r="BY95" s="503"/>
      <c r="BZ95" s="503"/>
      <c r="CA95" s="504"/>
      <c r="CB95" s="497"/>
      <c r="CC95" s="498"/>
      <c r="CD95" s="498"/>
      <c r="CE95" s="499"/>
      <c r="CF95" s="477"/>
      <c r="CG95" s="478"/>
      <c r="CH95" s="478"/>
      <c r="CI95" s="478"/>
      <c r="CJ95" s="479"/>
      <c r="CK95" s="477"/>
      <c r="CL95" s="478"/>
      <c r="CM95" s="478"/>
      <c r="CN95" s="478"/>
      <c r="CO95" s="479"/>
      <c r="CP95" s="477"/>
      <c r="CQ95" s="478"/>
      <c r="CR95" s="478"/>
      <c r="CS95" s="478"/>
      <c r="CT95" s="479"/>
      <c r="CU95" s="480"/>
      <c r="CV95" s="481"/>
      <c r="CW95" s="481"/>
      <c r="CX95" s="481"/>
      <c r="CY95" s="482"/>
    </row>
    <row r="96" spans="1:103" s="91" customFormat="1" ht="16.5" x14ac:dyDescent="0.15">
      <c r="A96" s="517"/>
      <c r="B96" s="102"/>
      <c r="C96" s="220" t="str">
        <f t="shared" ca="1" si="3"/>
        <v>@</v>
      </c>
      <c r="D96" s="521"/>
      <c r="E96" s="522"/>
      <c r="F96" s="522"/>
      <c r="G96" s="522"/>
      <c r="H96" s="522"/>
      <c r="I96" s="522"/>
      <c r="J96" s="522"/>
      <c r="K96" s="527"/>
      <c r="L96" s="528"/>
      <c r="M96" s="528"/>
      <c r="N96" s="528"/>
      <c r="O96" s="528"/>
      <c r="P96" s="528"/>
      <c r="Q96" s="528"/>
      <c r="R96" s="533"/>
      <c r="S96" s="534"/>
      <c r="T96" s="533"/>
      <c r="U96" s="534"/>
      <c r="V96" s="527"/>
      <c r="W96" s="528"/>
      <c r="X96" s="528"/>
      <c r="Y96" s="528"/>
      <c r="Z96" s="528"/>
      <c r="AA96" s="528"/>
      <c r="AB96" s="528"/>
      <c r="AC96" s="528"/>
      <c r="AD96" s="527"/>
      <c r="AE96" s="528"/>
      <c r="AF96" s="528"/>
      <c r="AG96" s="528"/>
      <c r="AH96" s="528"/>
      <c r="AI96" s="528"/>
      <c r="AJ96" s="528"/>
      <c r="AK96" s="541"/>
      <c r="AL96" s="527"/>
      <c r="AM96" s="528"/>
      <c r="AN96" s="528"/>
      <c r="AO96" s="528"/>
      <c r="AP96" s="528"/>
      <c r="AQ96" s="528"/>
      <c r="AR96" s="541"/>
      <c r="AS96" s="546"/>
      <c r="AT96" s="547"/>
      <c r="AU96" s="547"/>
      <c r="AV96" s="547"/>
      <c r="AW96" s="547"/>
      <c r="AX96" s="547"/>
      <c r="AY96" s="548"/>
      <c r="AZ96" s="493"/>
      <c r="BA96" s="494"/>
      <c r="BB96" s="105">
        <v>2</v>
      </c>
      <c r="BC96" s="483"/>
      <c r="BD96" s="484"/>
      <c r="BE96" s="484"/>
      <c r="BF96" s="485"/>
      <c r="BG96" s="486"/>
      <c r="BH96" s="487"/>
      <c r="BI96" s="224"/>
      <c r="BJ96" s="488"/>
      <c r="BK96" s="489"/>
      <c r="BL96" s="489"/>
      <c r="BM96" s="489"/>
      <c r="BN96" s="489"/>
      <c r="BO96" s="490"/>
      <c r="BP96" s="488"/>
      <c r="BQ96" s="489"/>
      <c r="BR96" s="489"/>
      <c r="BS96" s="489"/>
      <c r="BT96" s="489"/>
      <c r="BU96" s="490"/>
      <c r="BV96" s="488"/>
      <c r="BW96" s="489"/>
      <c r="BX96" s="489"/>
      <c r="BY96" s="489"/>
      <c r="BZ96" s="489"/>
      <c r="CA96" s="490"/>
      <c r="CB96" s="483"/>
      <c r="CC96" s="484"/>
      <c r="CD96" s="484"/>
      <c r="CE96" s="485"/>
      <c r="CF96" s="477"/>
      <c r="CG96" s="478"/>
      <c r="CH96" s="478"/>
      <c r="CI96" s="478"/>
      <c r="CJ96" s="479"/>
      <c r="CK96" s="477"/>
      <c r="CL96" s="478"/>
      <c r="CM96" s="478"/>
      <c r="CN96" s="478"/>
      <c r="CO96" s="479"/>
      <c r="CP96" s="477"/>
      <c r="CQ96" s="478"/>
      <c r="CR96" s="478"/>
      <c r="CS96" s="478"/>
      <c r="CT96" s="479"/>
      <c r="CU96" s="480"/>
      <c r="CV96" s="481"/>
      <c r="CW96" s="481"/>
      <c r="CX96" s="481"/>
      <c r="CY96" s="482"/>
    </row>
    <row r="97" spans="1:103" s="91" customFormat="1" ht="16.5" x14ac:dyDescent="0.15">
      <c r="A97" s="517"/>
      <c r="B97" s="102"/>
      <c r="C97" s="220" t="str">
        <f t="shared" ca="1" si="3"/>
        <v>@</v>
      </c>
      <c r="D97" s="521"/>
      <c r="E97" s="522"/>
      <c r="F97" s="522"/>
      <c r="G97" s="522"/>
      <c r="H97" s="522"/>
      <c r="I97" s="522"/>
      <c r="J97" s="522"/>
      <c r="K97" s="527"/>
      <c r="L97" s="528"/>
      <c r="M97" s="528"/>
      <c r="N97" s="528"/>
      <c r="O97" s="528"/>
      <c r="P97" s="528"/>
      <c r="Q97" s="528"/>
      <c r="R97" s="533"/>
      <c r="S97" s="534"/>
      <c r="T97" s="533"/>
      <c r="U97" s="534"/>
      <c r="V97" s="527"/>
      <c r="W97" s="528"/>
      <c r="X97" s="528"/>
      <c r="Y97" s="528"/>
      <c r="Z97" s="528"/>
      <c r="AA97" s="528"/>
      <c r="AB97" s="528"/>
      <c r="AC97" s="528"/>
      <c r="AD97" s="527"/>
      <c r="AE97" s="528"/>
      <c r="AF97" s="528"/>
      <c r="AG97" s="528"/>
      <c r="AH97" s="528"/>
      <c r="AI97" s="528"/>
      <c r="AJ97" s="528"/>
      <c r="AK97" s="541"/>
      <c r="AL97" s="527"/>
      <c r="AM97" s="528"/>
      <c r="AN97" s="528"/>
      <c r="AO97" s="528"/>
      <c r="AP97" s="528"/>
      <c r="AQ97" s="528"/>
      <c r="AR97" s="541"/>
      <c r="AS97" s="546"/>
      <c r="AT97" s="547"/>
      <c r="AU97" s="547"/>
      <c r="AV97" s="547"/>
      <c r="AW97" s="547"/>
      <c r="AX97" s="547"/>
      <c r="AY97" s="548"/>
      <c r="AZ97" s="493"/>
      <c r="BA97" s="494"/>
      <c r="BB97" s="105">
        <v>3</v>
      </c>
      <c r="BC97" s="483"/>
      <c r="BD97" s="484"/>
      <c r="BE97" s="484"/>
      <c r="BF97" s="485"/>
      <c r="BG97" s="486"/>
      <c r="BH97" s="487"/>
      <c r="BI97" s="224"/>
      <c r="BJ97" s="488"/>
      <c r="BK97" s="489"/>
      <c r="BL97" s="489"/>
      <c r="BM97" s="489"/>
      <c r="BN97" s="489"/>
      <c r="BO97" s="490"/>
      <c r="BP97" s="488"/>
      <c r="BQ97" s="489"/>
      <c r="BR97" s="489"/>
      <c r="BS97" s="489"/>
      <c r="BT97" s="489"/>
      <c r="BU97" s="490"/>
      <c r="BV97" s="488"/>
      <c r="BW97" s="489"/>
      <c r="BX97" s="489"/>
      <c r="BY97" s="489"/>
      <c r="BZ97" s="489"/>
      <c r="CA97" s="490"/>
      <c r="CB97" s="483"/>
      <c r="CC97" s="484"/>
      <c r="CD97" s="484"/>
      <c r="CE97" s="485"/>
      <c r="CF97" s="477"/>
      <c r="CG97" s="478"/>
      <c r="CH97" s="478"/>
      <c r="CI97" s="478"/>
      <c r="CJ97" s="479"/>
      <c r="CK97" s="477"/>
      <c r="CL97" s="478"/>
      <c r="CM97" s="478"/>
      <c r="CN97" s="478"/>
      <c r="CO97" s="479"/>
      <c r="CP97" s="477"/>
      <c r="CQ97" s="478"/>
      <c r="CR97" s="478"/>
      <c r="CS97" s="478"/>
      <c r="CT97" s="479"/>
      <c r="CU97" s="480"/>
      <c r="CV97" s="481"/>
      <c r="CW97" s="481"/>
      <c r="CX97" s="481"/>
      <c r="CY97" s="482"/>
    </row>
    <row r="98" spans="1:103" s="91" customFormat="1" ht="16.5" x14ac:dyDescent="0.15">
      <c r="A98" s="517"/>
      <c r="B98" s="102"/>
      <c r="C98" s="220" t="str">
        <f t="shared" ca="1" si="3"/>
        <v>@</v>
      </c>
      <c r="D98" s="521"/>
      <c r="E98" s="522"/>
      <c r="F98" s="522"/>
      <c r="G98" s="522"/>
      <c r="H98" s="522"/>
      <c r="I98" s="522"/>
      <c r="J98" s="522"/>
      <c r="K98" s="527"/>
      <c r="L98" s="528"/>
      <c r="M98" s="528"/>
      <c r="N98" s="528"/>
      <c r="O98" s="528"/>
      <c r="P98" s="528"/>
      <c r="Q98" s="528"/>
      <c r="R98" s="533"/>
      <c r="S98" s="534"/>
      <c r="T98" s="533"/>
      <c r="U98" s="534"/>
      <c r="V98" s="527"/>
      <c r="W98" s="528"/>
      <c r="X98" s="528"/>
      <c r="Y98" s="528"/>
      <c r="Z98" s="528"/>
      <c r="AA98" s="528"/>
      <c r="AB98" s="528"/>
      <c r="AC98" s="528"/>
      <c r="AD98" s="527"/>
      <c r="AE98" s="528"/>
      <c r="AF98" s="528"/>
      <c r="AG98" s="528"/>
      <c r="AH98" s="528"/>
      <c r="AI98" s="528"/>
      <c r="AJ98" s="528"/>
      <c r="AK98" s="541"/>
      <c r="AL98" s="527"/>
      <c r="AM98" s="528"/>
      <c r="AN98" s="528"/>
      <c r="AO98" s="528"/>
      <c r="AP98" s="528"/>
      <c r="AQ98" s="528"/>
      <c r="AR98" s="541"/>
      <c r="AS98" s="546"/>
      <c r="AT98" s="547"/>
      <c r="AU98" s="547"/>
      <c r="AV98" s="547"/>
      <c r="AW98" s="547"/>
      <c r="AX98" s="547"/>
      <c r="AY98" s="548"/>
      <c r="AZ98" s="493"/>
      <c r="BA98" s="494"/>
      <c r="BB98" s="105">
        <v>4</v>
      </c>
      <c r="BC98" s="483"/>
      <c r="BD98" s="484"/>
      <c r="BE98" s="484"/>
      <c r="BF98" s="485"/>
      <c r="BG98" s="486"/>
      <c r="BH98" s="487"/>
      <c r="BI98" s="224"/>
      <c r="BJ98" s="488"/>
      <c r="BK98" s="489"/>
      <c r="BL98" s="489"/>
      <c r="BM98" s="489"/>
      <c r="BN98" s="489"/>
      <c r="BO98" s="490"/>
      <c r="BP98" s="488"/>
      <c r="BQ98" s="489"/>
      <c r="BR98" s="489"/>
      <c r="BS98" s="489"/>
      <c r="BT98" s="489"/>
      <c r="BU98" s="490"/>
      <c r="BV98" s="488"/>
      <c r="BW98" s="489"/>
      <c r="BX98" s="489"/>
      <c r="BY98" s="489"/>
      <c r="BZ98" s="489"/>
      <c r="CA98" s="490"/>
      <c r="CB98" s="483"/>
      <c r="CC98" s="484"/>
      <c r="CD98" s="484"/>
      <c r="CE98" s="485"/>
      <c r="CF98" s="477"/>
      <c r="CG98" s="478"/>
      <c r="CH98" s="478"/>
      <c r="CI98" s="478"/>
      <c r="CJ98" s="479"/>
      <c r="CK98" s="477"/>
      <c r="CL98" s="478"/>
      <c r="CM98" s="478"/>
      <c r="CN98" s="478"/>
      <c r="CO98" s="479"/>
      <c r="CP98" s="477"/>
      <c r="CQ98" s="478"/>
      <c r="CR98" s="478"/>
      <c r="CS98" s="478"/>
      <c r="CT98" s="479"/>
      <c r="CU98" s="480"/>
      <c r="CV98" s="481"/>
      <c r="CW98" s="481"/>
      <c r="CX98" s="481"/>
      <c r="CY98" s="482"/>
    </row>
    <row r="99" spans="1:103" s="91" customFormat="1" ht="16.5" x14ac:dyDescent="0.15">
      <c r="A99" s="517"/>
      <c r="B99" s="102"/>
      <c r="C99" s="220" t="str">
        <f t="shared" ca="1" si="3"/>
        <v>@</v>
      </c>
      <c r="D99" s="521"/>
      <c r="E99" s="522"/>
      <c r="F99" s="522"/>
      <c r="G99" s="522"/>
      <c r="H99" s="522"/>
      <c r="I99" s="522"/>
      <c r="J99" s="522"/>
      <c r="K99" s="527"/>
      <c r="L99" s="528"/>
      <c r="M99" s="528"/>
      <c r="N99" s="528"/>
      <c r="O99" s="528"/>
      <c r="P99" s="528"/>
      <c r="Q99" s="528"/>
      <c r="R99" s="533"/>
      <c r="S99" s="534"/>
      <c r="T99" s="533"/>
      <c r="U99" s="534"/>
      <c r="V99" s="527"/>
      <c r="W99" s="528"/>
      <c r="X99" s="528"/>
      <c r="Y99" s="528"/>
      <c r="Z99" s="528"/>
      <c r="AA99" s="528"/>
      <c r="AB99" s="528"/>
      <c r="AC99" s="528"/>
      <c r="AD99" s="527"/>
      <c r="AE99" s="528"/>
      <c r="AF99" s="528"/>
      <c r="AG99" s="528"/>
      <c r="AH99" s="528"/>
      <c r="AI99" s="528"/>
      <c r="AJ99" s="528"/>
      <c r="AK99" s="541"/>
      <c r="AL99" s="527"/>
      <c r="AM99" s="528"/>
      <c r="AN99" s="528"/>
      <c r="AO99" s="528"/>
      <c r="AP99" s="528"/>
      <c r="AQ99" s="528"/>
      <c r="AR99" s="541"/>
      <c r="AS99" s="546"/>
      <c r="AT99" s="547"/>
      <c r="AU99" s="547"/>
      <c r="AV99" s="547"/>
      <c r="AW99" s="547"/>
      <c r="AX99" s="547"/>
      <c r="AY99" s="548"/>
      <c r="AZ99" s="493"/>
      <c r="BA99" s="494"/>
      <c r="BB99" s="105">
        <v>5</v>
      </c>
      <c r="BC99" s="483"/>
      <c r="BD99" s="484"/>
      <c r="BE99" s="484"/>
      <c r="BF99" s="485"/>
      <c r="BG99" s="486"/>
      <c r="BH99" s="487"/>
      <c r="BI99" s="224"/>
      <c r="BJ99" s="488"/>
      <c r="BK99" s="489"/>
      <c r="BL99" s="489"/>
      <c r="BM99" s="489"/>
      <c r="BN99" s="489"/>
      <c r="BO99" s="490"/>
      <c r="BP99" s="488"/>
      <c r="BQ99" s="489"/>
      <c r="BR99" s="489"/>
      <c r="BS99" s="489"/>
      <c r="BT99" s="489"/>
      <c r="BU99" s="490"/>
      <c r="BV99" s="488"/>
      <c r="BW99" s="489"/>
      <c r="BX99" s="489"/>
      <c r="BY99" s="489"/>
      <c r="BZ99" s="489"/>
      <c r="CA99" s="490"/>
      <c r="CB99" s="483"/>
      <c r="CC99" s="484"/>
      <c r="CD99" s="484"/>
      <c r="CE99" s="485"/>
      <c r="CF99" s="477"/>
      <c r="CG99" s="478"/>
      <c r="CH99" s="478"/>
      <c r="CI99" s="478"/>
      <c r="CJ99" s="479"/>
      <c r="CK99" s="477"/>
      <c r="CL99" s="478"/>
      <c r="CM99" s="478"/>
      <c r="CN99" s="478"/>
      <c r="CO99" s="479"/>
      <c r="CP99" s="477"/>
      <c r="CQ99" s="478"/>
      <c r="CR99" s="478"/>
      <c r="CS99" s="478"/>
      <c r="CT99" s="479"/>
      <c r="CU99" s="480"/>
      <c r="CV99" s="481"/>
      <c r="CW99" s="481"/>
      <c r="CX99" s="481"/>
      <c r="CY99" s="482"/>
    </row>
    <row r="100" spans="1:103" s="91" customFormat="1" ht="16.5" x14ac:dyDescent="0.15">
      <c r="A100" s="518"/>
      <c r="B100" s="107"/>
      <c r="C100" s="220" t="str">
        <f t="shared" ca="1" si="3"/>
        <v>@</v>
      </c>
      <c r="D100" s="523"/>
      <c r="E100" s="524"/>
      <c r="F100" s="524"/>
      <c r="G100" s="524"/>
      <c r="H100" s="524"/>
      <c r="I100" s="524"/>
      <c r="J100" s="524"/>
      <c r="K100" s="529"/>
      <c r="L100" s="530"/>
      <c r="M100" s="530"/>
      <c r="N100" s="530"/>
      <c r="O100" s="530"/>
      <c r="P100" s="530"/>
      <c r="Q100" s="530"/>
      <c r="R100" s="535"/>
      <c r="S100" s="536"/>
      <c r="T100" s="535"/>
      <c r="U100" s="537"/>
      <c r="V100" s="529"/>
      <c r="W100" s="539"/>
      <c r="X100" s="539"/>
      <c r="Y100" s="539"/>
      <c r="Z100" s="539"/>
      <c r="AA100" s="539"/>
      <c r="AB100" s="539"/>
      <c r="AC100" s="539"/>
      <c r="AD100" s="529"/>
      <c r="AE100" s="530"/>
      <c r="AF100" s="530"/>
      <c r="AG100" s="530"/>
      <c r="AH100" s="530"/>
      <c r="AI100" s="530"/>
      <c r="AJ100" s="530"/>
      <c r="AK100" s="555"/>
      <c r="AL100" s="529"/>
      <c r="AM100" s="539"/>
      <c r="AN100" s="539"/>
      <c r="AO100" s="539"/>
      <c r="AP100" s="539"/>
      <c r="AQ100" s="539"/>
      <c r="AR100" s="542"/>
      <c r="AS100" s="549"/>
      <c r="AT100" s="550"/>
      <c r="AU100" s="550"/>
      <c r="AV100" s="550"/>
      <c r="AW100" s="550"/>
      <c r="AX100" s="550"/>
      <c r="AY100" s="551"/>
      <c r="AZ100" s="495"/>
      <c r="BA100" s="496"/>
      <c r="BB100" s="108">
        <v>6</v>
      </c>
      <c r="BC100" s="505"/>
      <c r="BD100" s="506"/>
      <c r="BE100" s="506"/>
      <c r="BF100" s="507"/>
      <c r="BG100" s="508"/>
      <c r="BH100" s="509"/>
      <c r="BI100" s="227"/>
      <c r="BJ100" s="510"/>
      <c r="BK100" s="511"/>
      <c r="BL100" s="511"/>
      <c r="BM100" s="511"/>
      <c r="BN100" s="511"/>
      <c r="BO100" s="512"/>
      <c r="BP100" s="510"/>
      <c r="BQ100" s="511"/>
      <c r="BR100" s="511"/>
      <c r="BS100" s="511"/>
      <c r="BT100" s="511"/>
      <c r="BU100" s="512"/>
      <c r="BV100" s="510"/>
      <c r="BW100" s="511"/>
      <c r="BX100" s="511"/>
      <c r="BY100" s="511"/>
      <c r="BZ100" s="511"/>
      <c r="CA100" s="512"/>
      <c r="CB100" s="513"/>
      <c r="CC100" s="514"/>
      <c r="CD100" s="514"/>
      <c r="CE100" s="515"/>
      <c r="CF100" s="477"/>
      <c r="CG100" s="478"/>
      <c r="CH100" s="478"/>
      <c r="CI100" s="478"/>
      <c r="CJ100" s="479"/>
      <c r="CK100" s="477"/>
      <c r="CL100" s="478"/>
      <c r="CM100" s="478"/>
      <c r="CN100" s="478"/>
      <c r="CO100" s="479"/>
      <c r="CP100" s="477"/>
      <c r="CQ100" s="478"/>
      <c r="CR100" s="478"/>
      <c r="CS100" s="478"/>
      <c r="CT100" s="479"/>
      <c r="CU100" s="480"/>
      <c r="CV100" s="481"/>
      <c r="CW100" s="481"/>
      <c r="CX100" s="481"/>
      <c r="CY100" s="482"/>
    </row>
    <row r="101" spans="1:103" s="91" customFormat="1" ht="16.149999999999999" customHeight="1" x14ac:dyDescent="0.15">
      <c r="A101" s="516">
        <v>16</v>
      </c>
      <c r="B101" s="102"/>
      <c r="C101" s="220" t="str">
        <f t="shared" ca="1" si="3"/>
        <v>@</v>
      </c>
      <c r="D101" s="519" t="s">
        <v>579</v>
      </c>
      <c r="E101" s="520"/>
      <c r="F101" s="520"/>
      <c r="G101" s="520"/>
      <c r="H101" s="520"/>
      <c r="I101" s="520"/>
      <c r="J101" s="520"/>
      <c r="K101" s="525" t="s">
        <v>598</v>
      </c>
      <c r="L101" s="526"/>
      <c r="M101" s="526"/>
      <c r="N101" s="526"/>
      <c r="O101" s="526"/>
      <c r="P101" s="526"/>
      <c r="Q101" s="526"/>
      <c r="R101" s="531"/>
      <c r="S101" s="532"/>
      <c r="T101" s="531" t="s">
        <v>284</v>
      </c>
      <c r="U101" s="532"/>
      <c r="V101" s="525" t="s">
        <v>589</v>
      </c>
      <c r="W101" s="538"/>
      <c r="X101" s="538"/>
      <c r="Y101" s="538"/>
      <c r="Z101" s="538"/>
      <c r="AA101" s="538"/>
      <c r="AB101" s="538"/>
      <c r="AC101" s="538"/>
      <c r="AD101" s="525" t="s">
        <v>599</v>
      </c>
      <c r="AE101" s="526"/>
      <c r="AF101" s="526"/>
      <c r="AG101" s="526"/>
      <c r="AH101" s="526"/>
      <c r="AI101" s="526"/>
      <c r="AJ101" s="526"/>
      <c r="AK101" s="540"/>
      <c r="AL101" s="525"/>
      <c r="AM101" s="538"/>
      <c r="AN101" s="538"/>
      <c r="AO101" s="538"/>
      <c r="AP101" s="538"/>
      <c r="AQ101" s="538"/>
      <c r="AR101" s="540"/>
      <c r="AS101" s="543"/>
      <c r="AT101" s="544"/>
      <c r="AU101" s="544"/>
      <c r="AV101" s="544"/>
      <c r="AW101" s="544"/>
      <c r="AX101" s="544"/>
      <c r="AY101" s="545"/>
      <c r="AZ101" s="491" t="s">
        <v>797</v>
      </c>
      <c r="BA101" s="492"/>
      <c r="BB101" s="103">
        <v>1</v>
      </c>
      <c r="BC101" s="497">
        <v>44166</v>
      </c>
      <c r="BD101" s="498"/>
      <c r="BE101" s="498"/>
      <c r="BF101" s="499"/>
      <c r="BG101" s="500" t="s">
        <v>568</v>
      </c>
      <c r="BH101" s="501"/>
      <c r="BI101" s="226"/>
      <c r="BJ101" s="502"/>
      <c r="BK101" s="503"/>
      <c r="BL101" s="503"/>
      <c r="BM101" s="503"/>
      <c r="BN101" s="503"/>
      <c r="BO101" s="504"/>
      <c r="BP101" s="502"/>
      <c r="BQ101" s="503"/>
      <c r="BR101" s="503"/>
      <c r="BS101" s="503"/>
      <c r="BT101" s="503"/>
      <c r="BU101" s="504"/>
      <c r="BV101" s="502"/>
      <c r="BW101" s="503"/>
      <c r="BX101" s="503"/>
      <c r="BY101" s="503"/>
      <c r="BZ101" s="503"/>
      <c r="CA101" s="504"/>
      <c r="CB101" s="552"/>
      <c r="CC101" s="553"/>
      <c r="CD101" s="553"/>
      <c r="CE101" s="554"/>
      <c r="CF101" s="477"/>
      <c r="CG101" s="478"/>
      <c r="CH101" s="478"/>
      <c r="CI101" s="478"/>
      <c r="CJ101" s="479"/>
      <c r="CK101" s="477"/>
      <c r="CL101" s="478"/>
      <c r="CM101" s="478"/>
      <c r="CN101" s="478"/>
      <c r="CO101" s="479"/>
      <c r="CP101" s="477"/>
      <c r="CQ101" s="478"/>
      <c r="CR101" s="478"/>
      <c r="CS101" s="478"/>
      <c r="CT101" s="479"/>
      <c r="CU101" s="477"/>
      <c r="CV101" s="481"/>
      <c r="CW101" s="481"/>
      <c r="CX101" s="481"/>
      <c r="CY101" s="482"/>
    </row>
    <row r="102" spans="1:103" s="91" customFormat="1" ht="16.5" x14ac:dyDescent="0.15">
      <c r="A102" s="517"/>
      <c r="B102" s="102"/>
      <c r="C102" s="220" t="str">
        <f t="shared" ca="1" si="3"/>
        <v>@</v>
      </c>
      <c r="D102" s="521"/>
      <c r="E102" s="522"/>
      <c r="F102" s="522"/>
      <c r="G102" s="522"/>
      <c r="H102" s="522"/>
      <c r="I102" s="522"/>
      <c r="J102" s="522"/>
      <c r="K102" s="527"/>
      <c r="L102" s="528"/>
      <c r="M102" s="528"/>
      <c r="N102" s="528"/>
      <c r="O102" s="528"/>
      <c r="P102" s="528"/>
      <c r="Q102" s="528"/>
      <c r="R102" s="533"/>
      <c r="S102" s="534"/>
      <c r="T102" s="533"/>
      <c r="U102" s="534"/>
      <c r="V102" s="527"/>
      <c r="W102" s="528"/>
      <c r="X102" s="528"/>
      <c r="Y102" s="528"/>
      <c r="Z102" s="528"/>
      <c r="AA102" s="528"/>
      <c r="AB102" s="528"/>
      <c r="AC102" s="528"/>
      <c r="AD102" s="527"/>
      <c r="AE102" s="528"/>
      <c r="AF102" s="528"/>
      <c r="AG102" s="528"/>
      <c r="AH102" s="528"/>
      <c r="AI102" s="528"/>
      <c r="AJ102" s="528"/>
      <c r="AK102" s="541"/>
      <c r="AL102" s="527"/>
      <c r="AM102" s="528"/>
      <c r="AN102" s="528"/>
      <c r="AO102" s="528"/>
      <c r="AP102" s="528"/>
      <c r="AQ102" s="528"/>
      <c r="AR102" s="541"/>
      <c r="AS102" s="546"/>
      <c r="AT102" s="547"/>
      <c r="AU102" s="547"/>
      <c r="AV102" s="547"/>
      <c r="AW102" s="547"/>
      <c r="AX102" s="547"/>
      <c r="AY102" s="548"/>
      <c r="AZ102" s="493"/>
      <c r="BA102" s="494"/>
      <c r="BB102" s="105">
        <v>2</v>
      </c>
      <c r="BC102" s="483"/>
      <c r="BD102" s="484"/>
      <c r="BE102" s="484"/>
      <c r="BF102" s="485"/>
      <c r="BG102" s="486"/>
      <c r="BH102" s="487"/>
      <c r="BI102" s="224"/>
      <c r="BJ102" s="488"/>
      <c r="BK102" s="489"/>
      <c r="BL102" s="489"/>
      <c r="BM102" s="489"/>
      <c r="BN102" s="489"/>
      <c r="BO102" s="490"/>
      <c r="BP102" s="488"/>
      <c r="BQ102" s="489"/>
      <c r="BR102" s="489"/>
      <c r="BS102" s="489"/>
      <c r="BT102" s="489"/>
      <c r="BU102" s="490"/>
      <c r="BV102" s="488"/>
      <c r="BW102" s="489"/>
      <c r="BX102" s="489"/>
      <c r="BY102" s="489"/>
      <c r="BZ102" s="489"/>
      <c r="CA102" s="490"/>
      <c r="CB102" s="483"/>
      <c r="CC102" s="484"/>
      <c r="CD102" s="484"/>
      <c r="CE102" s="485"/>
      <c r="CF102" s="477"/>
      <c r="CG102" s="478"/>
      <c r="CH102" s="478"/>
      <c r="CI102" s="478"/>
      <c r="CJ102" s="479"/>
      <c r="CK102" s="477"/>
      <c r="CL102" s="478"/>
      <c r="CM102" s="478"/>
      <c r="CN102" s="478"/>
      <c r="CO102" s="479"/>
      <c r="CP102" s="477"/>
      <c r="CQ102" s="478"/>
      <c r="CR102" s="478"/>
      <c r="CS102" s="478"/>
      <c r="CT102" s="479"/>
      <c r="CU102" s="480"/>
      <c r="CV102" s="481"/>
      <c r="CW102" s="481"/>
      <c r="CX102" s="481"/>
      <c r="CY102" s="482"/>
    </row>
    <row r="103" spans="1:103" s="91" customFormat="1" ht="16.5" x14ac:dyDescent="0.15">
      <c r="A103" s="517"/>
      <c r="B103" s="102"/>
      <c r="C103" s="220" t="str">
        <f t="shared" ca="1" si="3"/>
        <v>@</v>
      </c>
      <c r="D103" s="521"/>
      <c r="E103" s="522"/>
      <c r="F103" s="522"/>
      <c r="G103" s="522"/>
      <c r="H103" s="522"/>
      <c r="I103" s="522"/>
      <c r="J103" s="522"/>
      <c r="K103" s="527"/>
      <c r="L103" s="528"/>
      <c r="M103" s="528"/>
      <c r="N103" s="528"/>
      <c r="O103" s="528"/>
      <c r="P103" s="528"/>
      <c r="Q103" s="528"/>
      <c r="R103" s="533"/>
      <c r="S103" s="534"/>
      <c r="T103" s="533"/>
      <c r="U103" s="534"/>
      <c r="V103" s="527"/>
      <c r="W103" s="528"/>
      <c r="X103" s="528"/>
      <c r="Y103" s="528"/>
      <c r="Z103" s="528"/>
      <c r="AA103" s="528"/>
      <c r="AB103" s="528"/>
      <c r="AC103" s="528"/>
      <c r="AD103" s="527"/>
      <c r="AE103" s="528"/>
      <c r="AF103" s="528"/>
      <c r="AG103" s="528"/>
      <c r="AH103" s="528"/>
      <c r="AI103" s="528"/>
      <c r="AJ103" s="528"/>
      <c r="AK103" s="541"/>
      <c r="AL103" s="527"/>
      <c r="AM103" s="528"/>
      <c r="AN103" s="528"/>
      <c r="AO103" s="528"/>
      <c r="AP103" s="528"/>
      <c r="AQ103" s="528"/>
      <c r="AR103" s="541"/>
      <c r="AS103" s="546"/>
      <c r="AT103" s="547"/>
      <c r="AU103" s="547"/>
      <c r="AV103" s="547"/>
      <c r="AW103" s="547"/>
      <c r="AX103" s="547"/>
      <c r="AY103" s="548"/>
      <c r="AZ103" s="493"/>
      <c r="BA103" s="494"/>
      <c r="BB103" s="105">
        <v>3</v>
      </c>
      <c r="BC103" s="483"/>
      <c r="BD103" s="484"/>
      <c r="BE103" s="484"/>
      <c r="BF103" s="485"/>
      <c r="BG103" s="486"/>
      <c r="BH103" s="487"/>
      <c r="BI103" s="224"/>
      <c r="BJ103" s="488"/>
      <c r="BK103" s="489"/>
      <c r="BL103" s="489"/>
      <c r="BM103" s="489"/>
      <c r="BN103" s="489"/>
      <c r="BO103" s="490"/>
      <c r="BP103" s="488"/>
      <c r="BQ103" s="489"/>
      <c r="BR103" s="489"/>
      <c r="BS103" s="489"/>
      <c r="BT103" s="489"/>
      <c r="BU103" s="490"/>
      <c r="BV103" s="488"/>
      <c r="BW103" s="489"/>
      <c r="BX103" s="489"/>
      <c r="BY103" s="489"/>
      <c r="BZ103" s="489"/>
      <c r="CA103" s="490"/>
      <c r="CB103" s="483"/>
      <c r="CC103" s="484"/>
      <c r="CD103" s="484"/>
      <c r="CE103" s="485"/>
      <c r="CF103" s="477"/>
      <c r="CG103" s="478"/>
      <c r="CH103" s="478"/>
      <c r="CI103" s="478"/>
      <c r="CJ103" s="479"/>
      <c r="CK103" s="477"/>
      <c r="CL103" s="478"/>
      <c r="CM103" s="478"/>
      <c r="CN103" s="478"/>
      <c r="CO103" s="479"/>
      <c r="CP103" s="477"/>
      <c r="CQ103" s="478"/>
      <c r="CR103" s="478"/>
      <c r="CS103" s="478"/>
      <c r="CT103" s="479"/>
      <c r="CU103" s="480"/>
      <c r="CV103" s="481"/>
      <c r="CW103" s="481"/>
      <c r="CX103" s="481"/>
      <c r="CY103" s="482"/>
    </row>
    <row r="104" spans="1:103" s="91" customFormat="1" ht="16.5" x14ac:dyDescent="0.15">
      <c r="A104" s="517"/>
      <c r="B104" s="102"/>
      <c r="C104" s="220" t="str">
        <f t="shared" ca="1" si="3"/>
        <v>@</v>
      </c>
      <c r="D104" s="521"/>
      <c r="E104" s="522"/>
      <c r="F104" s="522"/>
      <c r="G104" s="522"/>
      <c r="H104" s="522"/>
      <c r="I104" s="522"/>
      <c r="J104" s="522"/>
      <c r="K104" s="527"/>
      <c r="L104" s="528"/>
      <c r="M104" s="528"/>
      <c r="N104" s="528"/>
      <c r="O104" s="528"/>
      <c r="P104" s="528"/>
      <c r="Q104" s="528"/>
      <c r="R104" s="533"/>
      <c r="S104" s="534"/>
      <c r="T104" s="533"/>
      <c r="U104" s="534"/>
      <c r="V104" s="527"/>
      <c r="W104" s="528"/>
      <c r="X104" s="528"/>
      <c r="Y104" s="528"/>
      <c r="Z104" s="528"/>
      <c r="AA104" s="528"/>
      <c r="AB104" s="528"/>
      <c r="AC104" s="528"/>
      <c r="AD104" s="527"/>
      <c r="AE104" s="528"/>
      <c r="AF104" s="528"/>
      <c r="AG104" s="528"/>
      <c r="AH104" s="528"/>
      <c r="AI104" s="528"/>
      <c r="AJ104" s="528"/>
      <c r="AK104" s="541"/>
      <c r="AL104" s="527"/>
      <c r="AM104" s="528"/>
      <c r="AN104" s="528"/>
      <c r="AO104" s="528"/>
      <c r="AP104" s="528"/>
      <c r="AQ104" s="528"/>
      <c r="AR104" s="541"/>
      <c r="AS104" s="546"/>
      <c r="AT104" s="547"/>
      <c r="AU104" s="547"/>
      <c r="AV104" s="547"/>
      <c r="AW104" s="547"/>
      <c r="AX104" s="547"/>
      <c r="AY104" s="548"/>
      <c r="AZ104" s="493"/>
      <c r="BA104" s="494"/>
      <c r="BB104" s="105">
        <v>4</v>
      </c>
      <c r="BC104" s="483"/>
      <c r="BD104" s="484"/>
      <c r="BE104" s="484"/>
      <c r="BF104" s="485"/>
      <c r="BG104" s="486"/>
      <c r="BH104" s="487"/>
      <c r="BI104" s="224"/>
      <c r="BJ104" s="488"/>
      <c r="BK104" s="489"/>
      <c r="BL104" s="489"/>
      <c r="BM104" s="489"/>
      <c r="BN104" s="489"/>
      <c r="BO104" s="490"/>
      <c r="BP104" s="488"/>
      <c r="BQ104" s="489"/>
      <c r="BR104" s="489"/>
      <c r="BS104" s="489"/>
      <c r="BT104" s="489"/>
      <c r="BU104" s="490"/>
      <c r="BV104" s="488"/>
      <c r="BW104" s="489"/>
      <c r="BX104" s="489"/>
      <c r="BY104" s="489"/>
      <c r="BZ104" s="489"/>
      <c r="CA104" s="490"/>
      <c r="CB104" s="483"/>
      <c r="CC104" s="484"/>
      <c r="CD104" s="484"/>
      <c r="CE104" s="485"/>
      <c r="CF104" s="477"/>
      <c r="CG104" s="478"/>
      <c r="CH104" s="478"/>
      <c r="CI104" s="478"/>
      <c r="CJ104" s="479"/>
      <c r="CK104" s="477"/>
      <c r="CL104" s="478"/>
      <c r="CM104" s="478"/>
      <c r="CN104" s="478"/>
      <c r="CO104" s="479"/>
      <c r="CP104" s="477"/>
      <c r="CQ104" s="478"/>
      <c r="CR104" s="478"/>
      <c r="CS104" s="478"/>
      <c r="CT104" s="479"/>
      <c r="CU104" s="480"/>
      <c r="CV104" s="481"/>
      <c r="CW104" s="481"/>
      <c r="CX104" s="481"/>
      <c r="CY104" s="482"/>
    </row>
    <row r="105" spans="1:103" s="91" customFormat="1" ht="16.5" x14ac:dyDescent="0.15">
      <c r="A105" s="517"/>
      <c r="B105" s="102"/>
      <c r="C105" s="220" t="str">
        <f t="shared" ca="1" si="3"/>
        <v>@</v>
      </c>
      <c r="D105" s="521"/>
      <c r="E105" s="522"/>
      <c r="F105" s="522"/>
      <c r="G105" s="522"/>
      <c r="H105" s="522"/>
      <c r="I105" s="522"/>
      <c r="J105" s="522"/>
      <c r="K105" s="527"/>
      <c r="L105" s="528"/>
      <c r="M105" s="528"/>
      <c r="N105" s="528"/>
      <c r="O105" s="528"/>
      <c r="P105" s="528"/>
      <c r="Q105" s="528"/>
      <c r="R105" s="533"/>
      <c r="S105" s="534"/>
      <c r="T105" s="533"/>
      <c r="U105" s="534"/>
      <c r="V105" s="527"/>
      <c r="W105" s="528"/>
      <c r="X105" s="528"/>
      <c r="Y105" s="528"/>
      <c r="Z105" s="528"/>
      <c r="AA105" s="528"/>
      <c r="AB105" s="528"/>
      <c r="AC105" s="528"/>
      <c r="AD105" s="527"/>
      <c r="AE105" s="528"/>
      <c r="AF105" s="528"/>
      <c r="AG105" s="528"/>
      <c r="AH105" s="528"/>
      <c r="AI105" s="528"/>
      <c r="AJ105" s="528"/>
      <c r="AK105" s="541"/>
      <c r="AL105" s="527"/>
      <c r="AM105" s="528"/>
      <c r="AN105" s="528"/>
      <c r="AO105" s="528"/>
      <c r="AP105" s="528"/>
      <c r="AQ105" s="528"/>
      <c r="AR105" s="541"/>
      <c r="AS105" s="546"/>
      <c r="AT105" s="547"/>
      <c r="AU105" s="547"/>
      <c r="AV105" s="547"/>
      <c r="AW105" s="547"/>
      <c r="AX105" s="547"/>
      <c r="AY105" s="548"/>
      <c r="AZ105" s="493"/>
      <c r="BA105" s="494"/>
      <c r="BB105" s="105">
        <v>5</v>
      </c>
      <c r="BC105" s="483"/>
      <c r="BD105" s="484"/>
      <c r="BE105" s="484"/>
      <c r="BF105" s="485"/>
      <c r="BG105" s="486"/>
      <c r="BH105" s="487"/>
      <c r="BI105" s="224"/>
      <c r="BJ105" s="488"/>
      <c r="BK105" s="489"/>
      <c r="BL105" s="489"/>
      <c r="BM105" s="489"/>
      <c r="BN105" s="489"/>
      <c r="BO105" s="490"/>
      <c r="BP105" s="488"/>
      <c r="BQ105" s="489"/>
      <c r="BR105" s="489"/>
      <c r="BS105" s="489"/>
      <c r="BT105" s="489"/>
      <c r="BU105" s="490"/>
      <c r="BV105" s="488"/>
      <c r="BW105" s="489"/>
      <c r="BX105" s="489"/>
      <c r="BY105" s="489"/>
      <c r="BZ105" s="489"/>
      <c r="CA105" s="490"/>
      <c r="CB105" s="483"/>
      <c r="CC105" s="484"/>
      <c r="CD105" s="484"/>
      <c r="CE105" s="485"/>
      <c r="CF105" s="477"/>
      <c r="CG105" s="478"/>
      <c r="CH105" s="478"/>
      <c r="CI105" s="478"/>
      <c r="CJ105" s="479"/>
      <c r="CK105" s="477"/>
      <c r="CL105" s="478"/>
      <c r="CM105" s="478"/>
      <c r="CN105" s="478"/>
      <c r="CO105" s="479"/>
      <c r="CP105" s="477"/>
      <c r="CQ105" s="478"/>
      <c r="CR105" s="478"/>
      <c r="CS105" s="478"/>
      <c r="CT105" s="479"/>
      <c r="CU105" s="480"/>
      <c r="CV105" s="481"/>
      <c r="CW105" s="481"/>
      <c r="CX105" s="481"/>
      <c r="CY105" s="482"/>
    </row>
    <row r="106" spans="1:103" s="91" customFormat="1" ht="16.5" x14ac:dyDescent="0.15">
      <c r="A106" s="518"/>
      <c r="B106" s="107"/>
      <c r="C106" s="220" t="str">
        <f t="shared" ca="1" si="3"/>
        <v>@</v>
      </c>
      <c r="D106" s="523"/>
      <c r="E106" s="524"/>
      <c r="F106" s="524"/>
      <c r="G106" s="524"/>
      <c r="H106" s="524"/>
      <c r="I106" s="524"/>
      <c r="J106" s="524"/>
      <c r="K106" s="529"/>
      <c r="L106" s="530"/>
      <c r="M106" s="530"/>
      <c r="N106" s="530"/>
      <c r="O106" s="530"/>
      <c r="P106" s="530"/>
      <c r="Q106" s="530"/>
      <c r="R106" s="535"/>
      <c r="S106" s="536"/>
      <c r="T106" s="535"/>
      <c r="U106" s="537"/>
      <c r="V106" s="529"/>
      <c r="W106" s="539"/>
      <c r="X106" s="539"/>
      <c r="Y106" s="539"/>
      <c r="Z106" s="539"/>
      <c r="AA106" s="539"/>
      <c r="AB106" s="539"/>
      <c r="AC106" s="539"/>
      <c r="AD106" s="529"/>
      <c r="AE106" s="530"/>
      <c r="AF106" s="530"/>
      <c r="AG106" s="530"/>
      <c r="AH106" s="530"/>
      <c r="AI106" s="530"/>
      <c r="AJ106" s="530"/>
      <c r="AK106" s="555"/>
      <c r="AL106" s="529"/>
      <c r="AM106" s="539"/>
      <c r="AN106" s="539"/>
      <c r="AO106" s="539"/>
      <c r="AP106" s="539"/>
      <c r="AQ106" s="539"/>
      <c r="AR106" s="542"/>
      <c r="AS106" s="549"/>
      <c r="AT106" s="550"/>
      <c r="AU106" s="550"/>
      <c r="AV106" s="550"/>
      <c r="AW106" s="550"/>
      <c r="AX106" s="550"/>
      <c r="AY106" s="551"/>
      <c r="AZ106" s="495"/>
      <c r="BA106" s="496"/>
      <c r="BB106" s="108">
        <v>6</v>
      </c>
      <c r="BC106" s="505"/>
      <c r="BD106" s="506"/>
      <c r="BE106" s="506"/>
      <c r="BF106" s="507"/>
      <c r="BG106" s="508"/>
      <c r="BH106" s="509"/>
      <c r="BI106" s="225"/>
      <c r="BJ106" s="510"/>
      <c r="BK106" s="511"/>
      <c r="BL106" s="511"/>
      <c r="BM106" s="511"/>
      <c r="BN106" s="511"/>
      <c r="BO106" s="512"/>
      <c r="BP106" s="510"/>
      <c r="BQ106" s="511"/>
      <c r="BR106" s="511"/>
      <c r="BS106" s="511"/>
      <c r="BT106" s="511"/>
      <c r="BU106" s="512"/>
      <c r="BV106" s="510"/>
      <c r="BW106" s="511"/>
      <c r="BX106" s="511"/>
      <c r="BY106" s="511"/>
      <c r="BZ106" s="511"/>
      <c r="CA106" s="512"/>
      <c r="CB106" s="505"/>
      <c r="CC106" s="506"/>
      <c r="CD106" s="506"/>
      <c r="CE106" s="507"/>
      <c r="CF106" s="477"/>
      <c r="CG106" s="478"/>
      <c r="CH106" s="478"/>
      <c r="CI106" s="478"/>
      <c r="CJ106" s="479"/>
      <c r="CK106" s="477"/>
      <c r="CL106" s="478"/>
      <c r="CM106" s="478"/>
      <c r="CN106" s="478"/>
      <c r="CO106" s="479"/>
      <c r="CP106" s="477"/>
      <c r="CQ106" s="478"/>
      <c r="CR106" s="478"/>
      <c r="CS106" s="478"/>
      <c r="CT106" s="479"/>
      <c r="CU106" s="480"/>
      <c r="CV106" s="481"/>
      <c r="CW106" s="481"/>
      <c r="CX106" s="481"/>
      <c r="CY106" s="482"/>
    </row>
    <row r="107" spans="1:103" s="91" customFormat="1" ht="16.149999999999999" customHeight="1" x14ac:dyDescent="0.15">
      <c r="A107" s="516">
        <v>17</v>
      </c>
      <c r="B107" s="102"/>
      <c r="C107" s="216" t="str">
        <f t="shared" ca="1" si="3"/>
        <v>@</v>
      </c>
      <c r="D107" s="519" t="s">
        <v>579</v>
      </c>
      <c r="E107" s="520"/>
      <c r="F107" s="520"/>
      <c r="G107" s="520"/>
      <c r="H107" s="520"/>
      <c r="I107" s="520"/>
      <c r="J107" s="520"/>
      <c r="K107" s="525" t="s">
        <v>600</v>
      </c>
      <c r="L107" s="526"/>
      <c r="M107" s="526"/>
      <c r="N107" s="526"/>
      <c r="O107" s="526"/>
      <c r="P107" s="526"/>
      <c r="Q107" s="526"/>
      <c r="R107" s="531"/>
      <c r="S107" s="532"/>
      <c r="T107" s="531" t="s">
        <v>284</v>
      </c>
      <c r="U107" s="532"/>
      <c r="V107" s="525" t="s">
        <v>601</v>
      </c>
      <c r="W107" s="538"/>
      <c r="X107" s="538"/>
      <c r="Y107" s="538"/>
      <c r="Z107" s="538"/>
      <c r="AA107" s="538"/>
      <c r="AB107" s="538"/>
      <c r="AC107" s="538"/>
      <c r="AD107" s="525" t="s">
        <v>602</v>
      </c>
      <c r="AE107" s="538"/>
      <c r="AF107" s="538"/>
      <c r="AG107" s="538"/>
      <c r="AH107" s="538"/>
      <c r="AI107" s="538"/>
      <c r="AJ107" s="538"/>
      <c r="AK107" s="540"/>
      <c r="AL107" s="525"/>
      <c r="AM107" s="538"/>
      <c r="AN107" s="538"/>
      <c r="AO107" s="538"/>
      <c r="AP107" s="538"/>
      <c r="AQ107" s="538"/>
      <c r="AR107" s="540"/>
      <c r="AS107" s="543"/>
      <c r="AT107" s="544"/>
      <c r="AU107" s="544"/>
      <c r="AV107" s="544"/>
      <c r="AW107" s="544"/>
      <c r="AX107" s="544"/>
      <c r="AY107" s="545"/>
      <c r="AZ107" s="491" t="s">
        <v>797</v>
      </c>
      <c r="BA107" s="492"/>
      <c r="BB107" s="103">
        <v>1</v>
      </c>
      <c r="BC107" s="497">
        <v>44166</v>
      </c>
      <c r="BD107" s="498"/>
      <c r="BE107" s="498"/>
      <c r="BF107" s="499"/>
      <c r="BG107" s="500" t="s">
        <v>568</v>
      </c>
      <c r="BH107" s="501"/>
      <c r="BI107" s="226"/>
      <c r="BJ107" s="502"/>
      <c r="BK107" s="503"/>
      <c r="BL107" s="503"/>
      <c r="BM107" s="503"/>
      <c r="BN107" s="503"/>
      <c r="BO107" s="504"/>
      <c r="BP107" s="502"/>
      <c r="BQ107" s="503"/>
      <c r="BR107" s="503"/>
      <c r="BS107" s="503"/>
      <c r="BT107" s="503"/>
      <c r="BU107" s="504"/>
      <c r="BV107" s="502"/>
      <c r="BW107" s="503"/>
      <c r="BX107" s="503"/>
      <c r="BY107" s="503"/>
      <c r="BZ107" s="503"/>
      <c r="CA107" s="504"/>
      <c r="CB107" s="497"/>
      <c r="CC107" s="498"/>
      <c r="CD107" s="498"/>
      <c r="CE107" s="499"/>
      <c r="CF107" s="477"/>
      <c r="CG107" s="478"/>
      <c r="CH107" s="478"/>
      <c r="CI107" s="478"/>
      <c r="CJ107" s="479"/>
      <c r="CK107" s="477"/>
      <c r="CL107" s="478"/>
      <c r="CM107" s="478"/>
      <c r="CN107" s="478"/>
      <c r="CO107" s="479"/>
      <c r="CP107" s="477"/>
      <c r="CQ107" s="478"/>
      <c r="CR107" s="478"/>
      <c r="CS107" s="478"/>
      <c r="CT107" s="479"/>
      <c r="CU107" s="480"/>
      <c r="CV107" s="481"/>
      <c r="CW107" s="481"/>
      <c r="CX107" s="481"/>
      <c r="CY107" s="482"/>
    </row>
    <row r="108" spans="1:103" s="91" customFormat="1" ht="16.5" x14ac:dyDescent="0.15">
      <c r="A108" s="517"/>
      <c r="B108" s="102"/>
      <c r="C108" s="220" t="str">
        <f t="shared" ca="1" si="3"/>
        <v>@</v>
      </c>
      <c r="D108" s="521"/>
      <c r="E108" s="522"/>
      <c r="F108" s="522"/>
      <c r="G108" s="522"/>
      <c r="H108" s="522"/>
      <c r="I108" s="522"/>
      <c r="J108" s="522"/>
      <c r="K108" s="527"/>
      <c r="L108" s="528"/>
      <c r="M108" s="528"/>
      <c r="N108" s="528"/>
      <c r="O108" s="528"/>
      <c r="P108" s="528"/>
      <c r="Q108" s="528"/>
      <c r="R108" s="533"/>
      <c r="S108" s="534"/>
      <c r="T108" s="533"/>
      <c r="U108" s="534"/>
      <c r="V108" s="527"/>
      <c r="W108" s="528"/>
      <c r="X108" s="528"/>
      <c r="Y108" s="528"/>
      <c r="Z108" s="528"/>
      <c r="AA108" s="528"/>
      <c r="AB108" s="528"/>
      <c r="AC108" s="528"/>
      <c r="AD108" s="527"/>
      <c r="AE108" s="528"/>
      <c r="AF108" s="528"/>
      <c r="AG108" s="528"/>
      <c r="AH108" s="528"/>
      <c r="AI108" s="528"/>
      <c r="AJ108" s="528"/>
      <c r="AK108" s="541"/>
      <c r="AL108" s="527"/>
      <c r="AM108" s="528"/>
      <c r="AN108" s="528"/>
      <c r="AO108" s="528"/>
      <c r="AP108" s="528"/>
      <c r="AQ108" s="528"/>
      <c r="AR108" s="541"/>
      <c r="AS108" s="546"/>
      <c r="AT108" s="547"/>
      <c r="AU108" s="547"/>
      <c r="AV108" s="547"/>
      <c r="AW108" s="547"/>
      <c r="AX108" s="547"/>
      <c r="AY108" s="548"/>
      <c r="AZ108" s="493"/>
      <c r="BA108" s="494"/>
      <c r="BB108" s="105">
        <v>2</v>
      </c>
      <c r="BC108" s="483"/>
      <c r="BD108" s="484"/>
      <c r="BE108" s="484"/>
      <c r="BF108" s="485"/>
      <c r="BG108" s="486"/>
      <c r="BH108" s="487"/>
      <c r="BI108" s="224"/>
      <c r="BJ108" s="488"/>
      <c r="BK108" s="489"/>
      <c r="BL108" s="489"/>
      <c r="BM108" s="489"/>
      <c r="BN108" s="489"/>
      <c r="BO108" s="490"/>
      <c r="BP108" s="488"/>
      <c r="BQ108" s="489"/>
      <c r="BR108" s="489"/>
      <c r="BS108" s="489"/>
      <c r="BT108" s="489"/>
      <c r="BU108" s="490"/>
      <c r="BV108" s="488"/>
      <c r="BW108" s="489"/>
      <c r="BX108" s="489"/>
      <c r="BY108" s="489"/>
      <c r="BZ108" s="489"/>
      <c r="CA108" s="490"/>
      <c r="CB108" s="483"/>
      <c r="CC108" s="484"/>
      <c r="CD108" s="484"/>
      <c r="CE108" s="485"/>
      <c r="CF108" s="477"/>
      <c r="CG108" s="478"/>
      <c r="CH108" s="478"/>
      <c r="CI108" s="478"/>
      <c r="CJ108" s="479"/>
      <c r="CK108" s="477"/>
      <c r="CL108" s="478"/>
      <c r="CM108" s="478"/>
      <c r="CN108" s="478"/>
      <c r="CO108" s="479"/>
      <c r="CP108" s="477"/>
      <c r="CQ108" s="478"/>
      <c r="CR108" s="478"/>
      <c r="CS108" s="478"/>
      <c r="CT108" s="479"/>
      <c r="CU108" s="480"/>
      <c r="CV108" s="481"/>
      <c r="CW108" s="481"/>
      <c r="CX108" s="481"/>
      <c r="CY108" s="482"/>
    </row>
    <row r="109" spans="1:103" s="91" customFormat="1" ht="16.5" x14ac:dyDescent="0.15">
      <c r="A109" s="517"/>
      <c r="B109" s="102"/>
      <c r="C109" s="220" t="str">
        <f t="shared" ca="1" si="3"/>
        <v>@</v>
      </c>
      <c r="D109" s="521"/>
      <c r="E109" s="522"/>
      <c r="F109" s="522"/>
      <c r="G109" s="522"/>
      <c r="H109" s="522"/>
      <c r="I109" s="522"/>
      <c r="J109" s="522"/>
      <c r="K109" s="527"/>
      <c r="L109" s="528"/>
      <c r="M109" s="528"/>
      <c r="N109" s="528"/>
      <c r="O109" s="528"/>
      <c r="P109" s="528"/>
      <c r="Q109" s="528"/>
      <c r="R109" s="533"/>
      <c r="S109" s="534"/>
      <c r="T109" s="533"/>
      <c r="U109" s="534"/>
      <c r="V109" s="527"/>
      <c r="W109" s="528"/>
      <c r="X109" s="528"/>
      <c r="Y109" s="528"/>
      <c r="Z109" s="528"/>
      <c r="AA109" s="528"/>
      <c r="AB109" s="528"/>
      <c r="AC109" s="528"/>
      <c r="AD109" s="527"/>
      <c r="AE109" s="528"/>
      <c r="AF109" s="528"/>
      <c r="AG109" s="528"/>
      <c r="AH109" s="528"/>
      <c r="AI109" s="528"/>
      <c r="AJ109" s="528"/>
      <c r="AK109" s="541"/>
      <c r="AL109" s="527"/>
      <c r="AM109" s="528"/>
      <c r="AN109" s="528"/>
      <c r="AO109" s="528"/>
      <c r="AP109" s="528"/>
      <c r="AQ109" s="528"/>
      <c r="AR109" s="541"/>
      <c r="AS109" s="546"/>
      <c r="AT109" s="547"/>
      <c r="AU109" s="547"/>
      <c r="AV109" s="547"/>
      <c r="AW109" s="547"/>
      <c r="AX109" s="547"/>
      <c r="AY109" s="548"/>
      <c r="AZ109" s="493"/>
      <c r="BA109" s="494"/>
      <c r="BB109" s="105">
        <v>3</v>
      </c>
      <c r="BC109" s="483"/>
      <c r="BD109" s="484"/>
      <c r="BE109" s="484"/>
      <c r="BF109" s="485"/>
      <c r="BG109" s="486"/>
      <c r="BH109" s="487"/>
      <c r="BI109" s="224"/>
      <c r="BJ109" s="488"/>
      <c r="BK109" s="489"/>
      <c r="BL109" s="489"/>
      <c r="BM109" s="489"/>
      <c r="BN109" s="489"/>
      <c r="BO109" s="490"/>
      <c r="BP109" s="488"/>
      <c r="BQ109" s="489"/>
      <c r="BR109" s="489"/>
      <c r="BS109" s="489"/>
      <c r="BT109" s="489"/>
      <c r="BU109" s="490"/>
      <c r="BV109" s="488"/>
      <c r="BW109" s="489"/>
      <c r="BX109" s="489"/>
      <c r="BY109" s="489"/>
      <c r="BZ109" s="489"/>
      <c r="CA109" s="490"/>
      <c r="CB109" s="483"/>
      <c r="CC109" s="484"/>
      <c r="CD109" s="484"/>
      <c r="CE109" s="485"/>
      <c r="CF109" s="477"/>
      <c r="CG109" s="478"/>
      <c r="CH109" s="478"/>
      <c r="CI109" s="478"/>
      <c r="CJ109" s="479"/>
      <c r="CK109" s="477"/>
      <c r="CL109" s="478"/>
      <c r="CM109" s="478"/>
      <c r="CN109" s="478"/>
      <c r="CO109" s="479"/>
      <c r="CP109" s="477"/>
      <c r="CQ109" s="478"/>
      <c r="CR109" s="478"/>
      <c r="CS109" s="478"/>
      <c r="CT109" s="479"/>
      <c r="CU109" s="480"/>
      <c r="CV109" s="481"/>
      <c r="CW109" s="481"/>
      <c r="CX109" s="481"/>
      <c r="CY109" s="482"/>
    </row>
    <row r="110" spans="1:103" s="91" customFormat="1" ht="16.5" x14ac:dyDescent="0.15">
      <c r="A110" s="517"/>
      <c r="B110" s="102"/>
      <c r="C110" s="220" t="str">
        <f t="shared" ca="1" si="3"/>
        <v>@</v>
      </c>
      <c r="D110" s="521"/>
      <c r="E110" s="522"/>
      <c r="F110" s="522"/>
      <c r="G110" s="522"/>
      <c r="H110" s="522"/>
      <c r="I110" s="522"/>
      <c r="J110" s="522"/>
      <c r="K110" s="527"/>
      <c r="L110" s="528"/>
      <c r="M110" s="528"/>
      <c r="N110" s="528"/>
      <c r="O110" s="528"/>
      <c r="P110" s="528"/>
      <c r="Q110" s="528"/>
      <c r="R110" s="533"/>
      <c r="S110" s="534"/>
      <c r="T110" s="533"/>
      <c r="U110" s="534"/>
      <c r="V110" s="527"/>
      <c r="W110" s="528"/>
      <c r="X110" s="528"/>
      <c r="Y110" s="528"/>
      <c r="Z110" s="528"/>
      <c r="AA110" s="528"/>
      <c r="AB110" s="528"/>
      <c r="AC110" s="528"/>
      <c r="AD110" s="527"/>
      <c r="AE110" s="528"/>
      <c r="AF110" s="528"/>
      <c r="AG110" s="528"/>
      <c r="AH110" s="528"/>
      <c r="AI110" s="528"/>
      <c r="AJ110" s="528"/>
      <c r="AK110" s="541"/>
      <c r="AL110" s="527"/>
      <c r="AM110" s="528"/>
      <c r="AN110" s="528"/>
      <c r="AO110" s="528"/>
      <c r="AP110" s="528"/>
      <c r="AQ110" s="528"/>
      <c r="AR110" s="541"/>
      <c r="AS110" s="546"/>
      <c r="AT110" s="547"/>
      <c r="AU110" s="547"/>
      <c r="AV110" s="547"/>
      <c r="AW110" s="547"/>
      <c r="AX110" s="547"/>
      <c r="AY110" s="548"/>
      <c r="AZ110" s="493"/>
      <c r="BA110" s="494"/>
      <c r="BB110" s="105">
        <v>4</v>
      </c>
      <c r="BC110" s="483"/>
      <c r="BD110" s="484"/>
      <c r="BE110" s="484"/>
      <c r="BF110" s="485"/>
      <c r="BG110" s="486"/>
      <c r="BH110" s="487"/>
      <c r="BI110" s="224"/>
      <c r="BJ110" s="488"/>
      <c r="BK110" s="489"/>
      <c r="BL110" s="489"/>
      <c r="BM110" s="489"/>
      <c r="BN110" s="489"/>
      <c r="BO110" s="490"/>
      <c r="BP110" s="488"/>
      <c r="BQ110" s="489"/>
      <c r="BR110" s="489"/>
      <c r="BS110" s="489"/>
      <c r="BT110" s="489"/>
      <c r="BU110" s="490"/>
      <c r="BV110" s="488"/>
      <c r="BW110" s="489"/>
      <c r="BX110" s="489"/>
      <c r="BY110" s="489"/>
      <c r="BZ110" s="489"/>
      <c r="CA110" s="490"/>
      <c r="CB110" s="483"/>
      <c r="CC110" s="484"/>
      <c r="CD110" s="484"/>
      <c r="CE110" s="485"/>
      <c r="CF110" s="477"/>
      <c r="CG110" s="478"/>
      <c r="CH110" s="478"/>
      <c r="CI110" s="478"/>
      <c r="CJ110" s="479"/>
      <c r="CK110" s="477"/>
      <c r="CL110" s="478"/>
      <c r="CM110" s="478"/>
      <c r="CN110" s="478"/>
      <c r="CO110" s="479"/>
      <c r="CP110" s="477"/>
      <c r="CQ110" s="478"/>
      <c r="CR110" s="478"/>
      <c r="CS110" s="478"/>
      <c r="CT110" s="479"/>
      <c r="CU110" s="480"/>
      <c r="CV110" s="481"/>
      <c r="CW110" s="481"/>
      <c r="CX110" s="481"/>
      <c r="CY110" s="482"/>
    </row>
    <row r="111" spans="1:103" s="91" customFormat="1" ht="16.5" x14ac:dyDescent="0.15">
      <c r="A111" s="517"/>
      <c r="B111" s="102"/>
      <c r="C111" s="220" t="str">
        <f t="shared" ca="1" si="3"/>
        <v>@</v>
      </c>
      <c r="D111" s="521"/>
      <c r="E111" s="522"/>
      <c r="F111" s="522"/>
      <c r="G111" s="522"/>
      <c r="H111" s="522"/>
      <c r="I111" s="522"/>
      <c r="J111" s="522"/>
      <c r="K111" s="527"/>
      <c r="L111" s="528"/>
      <c r="M111" s="528"/>
      <c r="N111" s="528"/>
      <c r="O111" s="528"/>
      <c r="P111" s="528"/>
      <c r="Q111" s="528"/>
      <c r="R111" s="533"/>
      <c r="S111" s="534"/>
      <c r="T111" s="533"/>
      <c r="U111" s="534"/>
      <c r="V111" s="527"/>
      <c r="W111" s="528"/>
      <c r="X111" s="528"/>
      <c r="Y111" s="528"/>
      <c r="Z111" s="528"/>
      <c r="AA111" s="528"/>
      <c r="AB111" s="528"/>
      <c r="AC111" s="528"/>
      <c r="AD111" s="527"/>
      <c r="AE111" s="528"/>
      <c r="AF111" s="528"/>
      <c r="AG111" s="528"/>
      <c r="AH111" s="528"/>
      <c r="AI111" s="528"/>
      <c r="AJ111" s="528"/>
      <c r="AK111" s="541"/>
      <c r="AL111" s="527"/>
      <c r="AM111" s="528"/>
      <c r="AN111" s="528"/>
      <c r="AO111" s="528"/>
      <c r="AP111" s="528"/>
      <c r="AQ111" s="528"/>
      <c r="AR111" s="541"/>
      <c r="AS111" s="546"/>
      <c r="AT111" s="547"/>
      <c r="AU111" s="547"/>
      <c r="AV111" s="547"/>
      <c r="AW111" s="547"/>
      <c r="AX111" s="547"/>
      <c r="AY111" s="548"/>
      <c r="AZ111" s="493"/>
      <c r="BA111" s="494"/>
      <c r="BB111" s="105">
        <v>5</v>
      </c>
      <c r="BC111" s="483"/>
      <c r="BD111" s="484"/>
      <c r="BE111" s="484"/>
      <c r="BF111" s="485"/>
      <c r="BG111" s="486"/>
      <c r="BH111" s="487"/>
      <c r="BI111" s="224"/>
      <c r="BJ111" s="488"/>
      <c r="BK111" s="489"/>
      <c r="BL111" s="489"/>
      <c r="BM111" s="489"/>
      <c r="BN111" s="489"/>
      <c r="BO111" s="490"/>
      <c r="BP111" s="488"/>
      <c r="BQ111" s="489"/>
      <c r="BR111" s="489"/>
      <c r="BS111" s="489"/>
      <c r="BT111" s="489"/>
      <c r="BU111" s="490"/>
      <c r="BV111" s="488"/>
      <c r="BW111" s="489"/>
      <c r="BX111" s="489"/>
      <c r="BY111" s="489"/>
      <c r="BZ111" s="489"/>
      <c r="CA111" s="490"/>
      <c r="CB111" s="483"/>
      <c r="CC111" s="484"/>
      <c r="CD111" s="484"/>
      <c r="CE111" s="485"/>
      <c r="CF111" s="477"/>
      <c r="CG111" s="478"/>
      <c r="CH111" s="478"/>
      <c r="CI111" s="478"/>
      <c r="CJ111" s="479"/>
      <c r="CK111" s="477"/>
      <c r="CL111" s="478"/>
      <c r="CM111" s="478"/>
      <c r="CN111" s="478"/>
      <c r="CO111" s="479"/>
      <c r="CP111" s="477"/>
      <c r="CQ111" s="478"/>
      <c r="CR111" s="478"/>
      <c r="CS111" s="478"/>
      <c r="CT111" s="479"/>
      <c r="CU111" s="480"/>
      <c r="CV111" s="481"/>
      <c r="CW111" s="481"/>
      <c r="CX111" s="481"/>
      <c r="CY111" s="482"/>
    </row>
    <row r="112" spans="1:103" s="91" customFormat="1" ht="16.5" x14ac:dyDescent="0.15">
      <c r="A112" s="518"/>
      <c r="B112" s="107"/>
      <c r="C112" s="219" t="str">
        <f t="shared" ca="1" si="3"/>
        <v>@</v>
      </c>
      <c r="D112" s="523"/>
      <c r="E112" s="524"/>
      <c r="F112" s="524"/>
      <c r="G112" s="524"/>
      <c r="H112" s="524"/>
      <c r="I112" s="524"/>
      <c r="J112" s="524"/>
      <c r="K112" s="529"/>
      <c r="L112" s="530"/>
      <c r="M112" s="530"/>
      <c r="N112" s="530"/>
      <c r="O112" s="530"/>
      <c r="P112" s="530"/>
      <c r="Q112" s="530"/>
      <c r="R112" s="535"/>
      <c r="S112" s="536"/>
      <c r="T112" s="535"/>
      <c r="U112" s="537"/>
      <c r="V112" s="529"/>
      <c r="W112" s="539"/>
      <c r="X112" s="539"/>
      <c r="Y112" s="539"/>
      <c r="Z112" s="539"/>
      <c r="AA112" s="539"/>
      <c r="AB112" s="539"/>
      <c r="AC112" s="539"/>
      <c r="AD112" s="529"/>
      <c r="AE112" s="539"/>
      <c r="AF112" s="539"/>
      <c r="AG112" s="539"/>
      <c r="AH112" s="539"/>
      <c r="AI112" s="539"/>
      <c r="AJ112" s="539"/>
      <c r="AK112" s="542"/>
      <c r="AL112" s="529"/>
      <c r="AM112" s="539"/>
      <c r="AN112" s="539"/>
      <c r="AO112" s="539"/>
      <c r="AP112" s="539"/>
      <c r="AQ112" s="539"/>
      <c r="AR112" s="542"/>
      <c r="AS112" s="549"/>
      <c r="AT112" s="550"/>
      <c r="AU112" s="550"/>
      <c r="AV112" s="550"/>
      <c r="AW112" s="550"/>
      <c r="AX112" s="550"/>
      <c r="AY112" s="551"/>
      <c r="AZ112" s="495"/>
      <c r="BA112" s="496"/>
      <c r="BB112" s="108">
        <v>6</v>
      </c>
      <c r="BC112" s="505"/>
      <c r="BD112" s="506"/>
      <c r="BE112" s="506"/>
      <c r="BF112" s="507"/>
      <c r="BG112" s="508"/>
      <c r="BH112" s="509"/>
      <c r="BI112" s="227"/>
      <c r="BJ112" s="510"/>
      <c r="BK112" s="511"/>
      <c r="BL112" s="511"/>
      <c r="BM112" s="511"/>
      <c r="BN112" s="511"/>
      <c r="BO112" s="512"/>
      <c r="BP112" s="510"/>
      <c r="BQ112" s="511"/>
      <c r="BR112" s="511"/>
      <c r="BS112" s="511"/>
      <c r="BT112" s="511"/>
      <c r="BU112" s="512"/>
      <c r="BV112" s="510"/>
      <c r="BW112" s="511"/>
      <c r="BX112" s="511"/>
      <c r="BY112" s="511"/>
      <c r="BZ112" s="511"/>
      <c r="CA112" s="512"/>
      <c r="CB112" s="513"/>
      <c r="CC112" s="514"/>
      <c r="CD112" s="514"/>
      <c r="CE112" s="515"/>
      <c r="CF112" s="477"/>
      <c r="CG112" s="478"/>
      <c r="CH112" s="478"/>
      <c r="CI112" s="478"/>
      <c r="CJ112" s="479"/>
      <c r="CK112" s="477"/>
      <c r="CL112" s="478"/>
      <c r="CM112" s="478"/>
      <c r="CN112" s="478"/>
      <c r="CO112" s="479"/>
      <c r="CP112" s="477"/>
      <c r="CQ112" s="478"/>
      <c r="CR112" s="478"/>
      <c r="CS112" s="478"/>
      <c r="CT112" s="479"/>
      <c r="CU112" s="480"/>
      <c r="CV112" s="481"/>
      <c r="CW112" s="481"/>
      <c r="CX112" s="481"/>
      <c r="CY112" s="482"/>
    </row>
    <row r="113" spans="1:103" s="91" customFormat="1" ht="16.149999999999999" customHeight="1" x14ac:dyDescent="0.15">
      <c r="A113" s="516">
        <v>18</v>
      </c>
      <c r="B113" s="102"/>
      <c r="C113" s="222" t="str">
        <f t="shared" ca="1" si="3"/>
        <v>@</v>
      </c>
      <c r="D113" s="519" t="s">
        <v>579</v>
      </c>
      <c r="E113" s="520"/>
      <c r="F113" s="520"/>
      <c r="G113" s="520"/>
      <c r="H113" s="520"/>
      <c r="I113" s="520"/>
      <c r="J113" s="520"/>
      <c r="K113" s="525" t="s">
        <v>600</v>
      </c>
      <c r="L113" s="526"/>
      <c r="M113" s="526"/>
      <c r="N113" s="526"/>
      <c r="O113" s="526"/>
      <c r="P113" s="526"/>
      <c r="Q113" s="526"/>
      <c r="R113" s="531"/>
      <c r="S113" s="532"/>
      <c r="T113" s="531" t="s">
        <v>603</v>
      </c>
      <c r="U113" s="532"/>
      <c r="V113" s="525" t="s">
        <v>604</v>
      </c>
      <c r="W113" s="538"/>
      <c r="X113" s="538"/>
      <c r="Y113" s="538"/>
      <c r="Z113" s="538"/>
      <c r="AA113" s="538"/>
      <c r="AB113" s="538"/>
      <c r="AC113" s="538"/>
      <c r="AD113" s="525" t="s">
        <v>605</v>
      </c>
      <c r="AE113" s="526"/>
      <c r="AF113" s="526"/>
      <c r="AG113" s="526"/>
      <c r="AH113" s="526"/>
      <c r="AI113" s="526"/>
      <c r="AJ113" s="526"/>
      <c r="AK113" s="540"/>
      <c r="AL113" s="525"/>
      <c r="AM113" s="538"/>
      <c r="AN113" s="538"/>
      <c r="AO113" s="538"/>
      <c r="AP113" s="538"/>
      <c r="AQ113" s="538"/>
      <c r="AR113" s="540"/>
      <c r="AS113" s="543"/>
      <c r="AT113" s="544"/>
      <c r="AU113" s="544"/>
      <c r="AV113" s="544"/>
      <c r="AW113" s="544"/>
      <c r="AX113" s="544"/>
      <c r="AY113" s="545"/>
      <c r="AZ113" s="491"/>
      <c r="BA113" s="492"/>
      <c r="BB113" s="103">
        <v>1</v>
      </c>
      <c r="BC113" s="497"/>
      <c r="BD113" s="498"/>
      <c r="BE113" s="498"/>
      <c r="BF113" s="499"/>
      <c r="BG113" s="500" t="s">
        <v>568</v>
      </c>
      <c r="BH113" s="501"/>
      <c r="BI113" s="226"/>
      <c r="BJ113" s="502"/>
      <c r="BK113" s="503"/>
      <c r="BL113" s="503"/>
      <c r="BM113" s="503"/>
      <c r="BN113" s="503"/>
      <c r="BO113" s="504"/>
      <c r="BP113" s="502"/>
      <c r="BQ113" s="503"/>
      <c r="BR113" s="503"/>
      <c r="BS113" s="503"/>
      <c r="BT113" s="503"/>
      <c r="BU113" s="504"/>
      <c r="BV113" s="502"/>
      <c r="BW113" s="503"/>
      <c r="BX113" s="503"/>
      <c r="BY113" s="503"/>
      <c r="BZ113" s="503"/>
      <c r="CA113" s="504"/>
      <c r="CB113" s="497"/>
      <c r="CC113" s="498"/>
      <c r="CD113" s="498"/>
      <c r="CE113" s="499"/>
      <c r="CF113" s="477"/>
      <c r="CG113" s="478"/>
      <c r="CH113" s="478"/>
      <c r="CI113" s="478"/>
      <c r="CJ113" s="479"/>
      <c r="CK113" s="477"/>
      <c r="CL113" s="478"/>
      <c r="CM113" s="478"/>
      <c r="CN113" s="478"/>
      <c r="CO113" s="479"/>
      <c r="CP113" s="477"/>
      <c r="CQ113" s="478"/>
      <c r="CR113" s="478"/>
      <c r="CS113" s="478"/>
      <c r="CT113" s="479"/>
      <c r="CU113" s="480"/>
      <c r="CV113" s="481"/>
      <c r="CW113" s="481"/>
      <c r="CX113" s="481"/>
      <c r="CY113" s="482"/>
    </row>
    <row r="114" spans="1:103" s="91" customFormat="1" ht="16.5" x14ac:dyDescent="0.15">
      <c r="A114" s="517"/>
      <c r="B114" s="102"/>
      <c r="C114" s="220" t="str">
        <f t="shared" ca="1" si="3"/>
        <v>@</v>
      </c>
      <c r="D114" s="521"/>
      <c r="E114" s="522"/>
      <c r="F114" s="522"/>
      <c r="G114" s="522"/>
      <c r="H114" s="522"/>
      <c r="I114" s="522"/>
      <c r="J114" s="522"/>
      <c r="K114" s="527"/>
      <c r="L114" s="528"/>
      <c r="M114" s="528"/>
      <c r="N114" s="528"/>
      <c r="O114" s="528"/>
      <c r="P114" s="528"/>
      <c r="Q114" s="528"/>
      <c r="R114" s="533"/>
      <c r="S114" s="534"/>
      <c r="T114" s="533"/>
      <c r="U114" s="534"/>
      <c r="V114" s="527"/>
      <c r="W114" s="528"/>
      <c r="X114" s="528"/>
      <c r="Y114" s="528"/>
      <c r="Z114" s="528"/>
      <c r="AA114" s="528"/>
      <c r="AB114" s="528"/>
      <c r="AC114" s="528"/>
      <c r="AD114" s="527"/>
      <c r="AE114" s="528"/>
      <c r="AF114" s="528"/>
      <c r="AG114" s="528"/>
      <c r="AH114" s="528"/>
      <c r="AI114" s="528"/>
      <c r="AJ114" s="528"/>
      <c r="AK114" s="541"/>
      <c r="AL114" s="527"/>
      <c r="AM114" s="528"/>
      <c r="AN114" s="528"/>
      <c r="AO114" s="528"/>
      <c r="AP114" s="528"/>
      <c r="AQ114" s="528"/>
      <c r="AR114" s="541"/>
      <c r="AS114" s="546"/>
      <c r="AT114" s="547"/>
      <c r="AU114" s="547"/>
      <c r="AV114" s="547"/>
      <c r="AW114" s="547"/>
      <c r="AX114" s="547"/>
      <c r="AY114" s="548"/>
      <c r="AZ114" s="493"/>
      <c r="BA114" s="494"/>
      <c r="BB114" s="105">
        <v>2</v>
      </c>
      <c r="BC114" s="483"/>
      <c r="BD114" s="484"/>
      <c r="BE114" s="484"/>
      <c r="BF114" s="485"/>
      <c r="BG114" s="486"/>
      <c r="BH114" s="487"/>
      <c r="BI114" s="224"/>
      <c r="BJ114" s="488"/>
      <c r="BK114" s="489"/>
      <c r="BL114" s="489"/>
      <c r="BM114" s="489"/>
      <c r="BN114" s="489"/>
      <c r="BO114" s="490"/>
      <c r="BP114" s="488"/>
      <c r="BQ114" s="489"/>
      <c r="BR114" s="489"/>
      <c r="BS114" s="489"/>
      <c r="BT114" s="489"/>
      <c r="BU114" s="490"/>
      <c r="BV114" s="488"/>
      <c r="BW114" s="489"/>
      <c r="BX114" s="489"/>
      <c r="BY114" s="489"/>
      <c r="BZ114" s="489"/>
      <c r="CA114" s="490"/>
      <c r="CB114" s="483"/>
      <c r="CC114" s="484"/>
      <c r="CD114" s="484"/>
      <c r="CE114" s="485"/>
      <c r="CF114" s="477"/>
      <c r="CG114" s="478"/>
      <c r="CH114" s="478"/>
      <c r="CI114" s="478"/>
      <c r="CJ114" s="479"/>
      <c r="CK114" s="477"/>
      <c r="CL114" s="478"/>
      <c r="CM114" s="478"/>
      <c r="CN114" s="478"/>
      <c r="CO114" s="479"/>
      <c r="CP114" s="477"/>
      <c r="CQ114" s="478"/>
      <c r="CR114" s="478"/>
      <c r="CS114" s="478"/>
      <c r="CT114" s="479"/>
      <c r="CU114" s="480"/>
      <c r="CV114" s="481"/>
      <c r="CW114" s="481"/>
      <c r="CX114" s="481"/>
      <c r="CY114" s="482"/>
    </row>
    <row r="115" spans="1:103" s="91" customFormat="1" ht="16.5" x14ac:dyDescent="0.15">
      <c r="A115" s="517"/>
      <c r="B115" s="102"/>
      <c r="C115" s="220" t="str">
        <f t="shared" ca="1" si="3"/>
        <v>@</v>
      </c>
      <c r="D115" s="521"/>
      <c r="E115" s="522"/>
      <c r="F115" s="522"/>
      <c r="G115" s="522"/>
      <c r="H115" s="522"/>
      <c r="I115" s="522"/>
      <c r="J115" s="522"/>
      <c r="K115" s="527"/>
      <c r="L115" s="528"/>
      <c r="M115" s="528"/>
      <c r="N115" s="528"/>
      <c r="O115" s="528"/>
      <c r="P115" s="528"/>
      <c r="Q115" s="528"/>
      <c r="R115" s="533"/>
      <c r="S115" s="534"/>
      <c r="T115" s="533"/>
      <c r="U115" s="534"/>
      <c r="V115" s="527"/>
      <c r="W115" s="528"/>
      <c r="X115" s="528"/>
      <c r="Y115" s="528"/>
      <c r="Z115" s="528"/>
      <c r="AA115" s="528"/>
      <c r="AB115" s="528"/>
      <c r="AC115" s="528"/>
      <c r="AD115" s="527"/>
      <c r="AE115" s="528"/>
      <c r="AF115" s="528"/>
      <c r="AG115" s="528"/>
      <c r="AH115" s="528"/>
      <c r="AI115" s="528"/>
      <c r="AJ115" s="528"/>
      <c r="AK115" s="541"/>
      <c r="AL115" s="527"/>
      <c r="AM115" s="528"/>
      <c r="AN115" s="528"/>
      <c r="AO115" s="528"/>
      <c r="AP115" s="528"/>
      <c r="AQ115" s="528"/>
      <c r="AR115" s="541"/>
      <c r="AS115" s="546"/>
      <c r="AT115" s="547"/>
      <c r="AU115" s="547"/>
      <c r="AV115" s="547"/>
      <c r="AW115" s="547"/>
      <c r="AX115" s="547"/>
      <c r="AY115" s="548"/>
      <c r="AZ115" s="493"/>
      <c r="BA115" s="494"/>
      <c r="BB115" s="105">
        <v>3</v>
      </c>
      <c r="BC115" s="483"/>
      <c r="BD115" s="484"/>
      <c r="BE115" s="484"/>
      <c r="BF115" s="485"/>
      <c r="BG115" s="486"/>
      <c r="BH115" s="487"/>
      <c r="BI115" s="224"/>
      <c r="BJ115" s="488"/>
      <c r="BK115" s="489"/>
      <c r="BL115" s="489"/>
      <c r="BM115" s="489"/>
      <c r="BN115" s="489"/>
      <c r="BO115" s="490"/>
      <c r="BP115" s="488"/>
      <c r="BQ115" s="489"/>
      <c r="BR115" s="489"/>
      <c r="BS115" s="489"/>
      <c r="BT115" s="489"/>
      <c r="BU115" s="490"/>
      <c r="BV115" s="488"/>
      <c r="BW115" s="489"/>
      <c r="BX115" s="489"/>
      <c r="BY115" s="489"/>
      <c r="BZ115" s="489"/>
      <c r="CA115" s="490"/>
      <c r="CB115" s="483"/>
      <c r="CC115" s="484"/>
      <c r="CD115" s="484"/>
      <c r="CE115" s="485"/>
      <c r="CF115" s="477"/>
      <c r="CG115" s="478"/>
      <c r="CH115" s="478"/>
      <c r="CI115" s="478"/>
      <c r="CJ115" s="479"/>
      <c r="CK115" s="477"/>
      <c r="CL115" s="478"/>
      <c r="CM115" s="478"/>
      <c r="CN115" s="478"/>
      <c r="CO115" s="479"/>
      <c r="CP115" s="477"/>
      <c r="CQ115" s="478"/>
      <c r="CR115" s="478"/>
      <c r="CS115" s="478"/>
      <c r="CT115" s="479"/>
      <c r="CU115" s="480"/>
      <c r="CV115" s="481"/>
      <c r="CW115" s="481"/>
      <c r="CX115" s="481"/>
      <c r="CY115" s="482"/>
    </row>
    <row r="116" spans="1:103" s="91" customFormat="1" ht="16.5" x14ac:dyDescent="0.15">
      <c r="A116" s="517"/>
      <c r="B116" s="102"/>
      <c r="C116" s="220" t="str">
        <f t="shared" ca="1" si="3"/>
        <v>@</v>
      </c>
      <c r="D116" s="521"/>
      <c r="E116" s="522"/>
      <c r="F116" s="522"/>
      <c r="G116" s="522"/>
      <c r="H116" s="522"/>
      <c r="I116" s="522"/>
      <c r="J116" s="522"/>
      <c r="K116" s="527"/>
      <c r="L116" s="528"/>
      <c r="M116" s="528"/>
      <c r="N116" s="528"/>
      <c r="O116" s="528"/>
      <c r="P116" s="528"/>
      <c r="Q116" s="528"/>
      <c r="R116" s="533"/>
      <c r="S116" s="534"/>
      <c r="T116" s="533"/>
      <c r="U116" s="534"/>
      <c r="V116" s="527"/>
      <c r="W116" s="528"/>
      <c r="X116" s="528"/>
      <c r="Y116" s="528"/>
      <c r="Z116" s="528"/>
      <c r="AA116" s="528"/>
      <c r="AB116" s="528"/>
      <c r="AC116" s="528"/>
      <c r="AD116" s="527"/>
      <c r="AE116" s="528"/>
      <c r="AF116" s="528"/>
      <c r="AG116" s="528"/>
      <c r="AH116" s="528"/>
      <c r="AI116" s="528"/>
      <c r="AJ116" s="528"/>
      <c r="AK116" s="541"/>
      <c r="AL116" s="527"/>
      <c r="AM116" s="528"/>
      <c r="AN116" s="528"/>
      <c r="AO116" s="528"/>
      <c r="AP116" s="528"/>
      <c r="AQ116" s="528"/>
      <c r="AR116" s="541"/>
      <c r="AS116" s="546"/>
      <c r="AT116" s="547"/>
      <c r="AU116" s="547"/>
      <c r="AV116" s="547"/>
      <c r="AW116" s="547"/>
      <c r="AX116" s="547"/>
      <c r="AY116" s="548"/>
      <c r="AZ116" s="493"/>
      <c r="BA116" s="494"/>
      <c r="BB116" s="105">
        <v>4</v>
      </c>
      <c r="BC116" s="483"/>
      <c r="BD116" s="484"/>
      <c r="BE116" s="484"/>
      <c r="BF116" s="485"/>
      <c r="BG116" s="486"/>
      <c r="BH116" s="487"/>
      <c r="BI116" s="224"/>
      <c r="BJ116" s="488"/>
      <c r="BK116" s="489"/>
      <c r="BL116" s="489"/>
      <c r="BM116" s="489"/>
      <c r="BN116" s="489"/>
      <c r="BO116" s="490"/>
      <c r="BP116" s="488"/>
      <c r="BQ116" s="489"/>
      <c r="BR116" s="489"/>
      <c r="BS116" s="489"/>
      <c r="BT116" s="489"/>
      <c r="BU116" s="490"/>
      <c r="BV116" s="488"/>
      <c r="BW116" s="489"/>
      <c r="BX116" s="489"/>
      <c r="BY116" s="489"/>
      <c r="BZ116" s="489"/>
      <c r="CA116" s="490"/>
      <c r="CB116" s="483"/>
      <c r="CC116" s="484"/>
      <c r="CD116" s="484"/>
      <c r="CE116" s="485"/>
      <c r="CF116" s="477"/>
      <c r="CG116" s="478"/>
      <c r="CH116" s="478"/>
      <c r="CI116" s="478"/>
      <c r="CJ116" s="479"/>
      <c r="CK116" s="477"/>
      <c r="CL116" s="478"/>
      <c r="CM116" s="478"/>
      <c r="CN116" s="478"/>
      <c r="CO116" s="479"/>
      <c r="CP116" s="477"/>
      <c r="CQ116" s="478"/>
      <c r="CR116" s="478"/>
      <c r="CS116" s="478"/>
      <c r="CT116" s="479"/>
      <c r="CU116" s="480"/>
      <c r="CV116" s="481"/>
      <c r="CW116" s="481"/>
      <c r="CX116" s="481"/>
      <c r="CY116" s="482"/>
    </row>
    <row r="117" spans="1:103" s="91" customFormat="1" ht="16.5" x14ac:dyDescent="0.15">
      <c r="A117" s="517"/>
      <c r="B117" s="102"/>
      <c r="C117" s="220" t="str">
        <f t="shared" ca="1" si="3"/>
        <v>@</v>
      </c>
      <c r="D117" s="521"/>
      <c r="E117" s="522"/>
      <c r="F117" s="522"/>
      <c r="G117" s="522"/>
      <c r="H117" s="522"/>
      <c r="I117" s="522"/>
      <c r="J117" s="522"/>
      <c r="K117" s="527"/>
      <c r="L117" s="528"/>
      <c r="M117" s="528"/>
      <c r="N117" s="528"/>
      <c r="O117" s="528"/>
      <c r="P117" s="528"/>
      <c r="Q117" s="528"/>
      <c r="R117" s="533"/>
      <c r="S117" s="534"/>
      <c r="T117" s="533"/>
      <c r="U117" s="534"/>
      <c r="V117" s="527"/>
      <c r="W117" s="528"/>
      <c r="X117" s="528"/>
      <c r="Y117" s="528"/>
      <c r="Z117" s="528"/>
      <c r="AA117" s="528"/>
      <c r="AB117" s="528"/>
      <c r="AC117" s="528"/>
      <c r="AD117" s="527"/>
      <c r="AE117" s="528"/>
      <c r="AF117" s="528"/>
      <c r="AG117" s="528"/>
      <c r="AH117" s="528"/>
      <c r="AI117" s="528"/>
      <c r="AJ117" s="528"/>
      <c r="AK117" s="541"/>
      <c r="AL117" s="527"/>
      <c r="AM117" s="528"/>
      <c r="AN117" s="528"/>
      <c r="AO117" s="528"/>
      <c r="AP117" s="528"/>
      <c r="AQ117" s="528"/>
      <c r="AR117" s="541"/>
      <c r="AS117" s="546"/>
      <c r="AT117" s="547"/>
      <c r="AU117" s="547"/>
      <c r="AV117" s="547"/>
      <c r="AW117" s="547"/>
      <c r="AX117" s="547"/>
      <c r="AY117" s="548"/>
      <c r="AZ117" s="493"/>
      <c r="BA117" s="494"/>
      <c r="BB117" s="105">
        <v>5</v>
      </c>
      <c r="BC117" s="483"/>
      <c r="BD117" s="484"/>
      <c r="BE117" s="484"/>
      <c r="BF117" s="485"/>
      <c r="BG117" s="486"/>
      <c r="BH117" s="487"/>
      <c r="BI117" s="224"/>
      <c r="BJ117" s="488"/>
      <c r="BK117" s="489"/>
      <c r="BL117" s="489"/>
      <c r="BM117" s="489"/>
      <c r="BN117" s="489"/>
      <c r="BO117" s="490"/>
      <c r="BP117" s="488"/>
      <c r="BQ117" s="489"/>
      <c r="BR117" s="489"/>
      <c r="BS117" s="489"/>
      <c r="BT117" s="489"/>
      <c r="BU117" s="490"/>
      <c r="BV117" s="488"/>
      <c r="BW117" s="489"/>
      <c r="BX117" s="489"/>
      <c r="BY117" s="489"/>
      <c r="BZ117" s="489"/>
      <c r="CA117" s="490"/>
      <c r="CB117" s="483"/>
      <c r="CC117" s="484"/>
      <c r="CD117" s="484"/>
      <c r="CE117" s="485"/>
      <c r="CF117" s="477"/>
      <c r="CG117" s="478"/>
      <c r="CH117" s="478"/>
      <c r="CI117" s="478"/>
      <c r="CJ117" s="479"/>
      <c r="CK117" s="477"/>
      <c r="CL117" s="478"/>
      <c r="CM117" s="478"/>
      <c r="CN117" s="478"/>
      <c r="CO117" s="479"/>
      <c r="CP117" s="477"/>
      <c r="CQ117" s="478"/>
      <c r="CR117" s="478"/>
      <c r="CS117" s="478"/>
      <c r="CT117" s="479"/>
      <c r="CU117" s="480"/>
      <c r="CV117" s="481"/>
      <c r="CW117" s="481"/>
      <c r="CX117" s="481"/>
      <c r="CY117" s="482"/>
    </row>
    <row r="118" spans="1:103" s="91" customFormat="1" ht="16.5" x14ac:dyDescent="0.15">
      <c r="A118" s="518"/>
      <c r="B118" s="107"/>
      <c r="C118" s="220" t="str">
        <f t="shared" ca="1" si="3"/>
        <v>@</v>
      </c>
      <c r="D118" s="523"/>
      <c r="E118" s="524"/>
      <c r="F118" s="524"/>
      <c r="G118" s="524"/>
      <c r="H118" s="524"/>
      <c r="I118" s="524"/>
      <c r="J118" s="524"/>
      <c r="K118" s="529"/>
      <c r="L118" s="530"/>
      <c r="M118" s="530"/>
      <c r="N118" s="530"/>
      <c r="O118" s="530"/>
      <c r="P118" s="530"/>
      <c r="Q118" s="530"/>
      <c r="R118" s="535"/>
      <c r="S118" s="536"/>
      <c r="T118" s="535"/>
      <c r="U118" s="537"/>
      <c r="V118" s="529"/>
      <c r="W118" s="539"/>
      <c r="X118" s="539"/>
      <c r="Y118" s="539"/>
      <c r="Z118" s="539"/>
      <c r="AA118" s="539"/>
      <c r="AB118" s="539"/>
      <c r="AC118" s="539"/>
      <c r="AD118" s="529"/>
      <c r="AE118" s="530"/>
      <c r="AF118" s="530"/>
      <c r="AG118" s="530"/>
      <c r="AH118" s="530"/>
      <c r="AI118" s="530"/>
      <c r="AJ118" s="530"/>
      <c r="AK118" s="555"/>
      <c r="AL118" s="529"/>
      <c r="AM118" s="539"/>
      <c r="AN118" s="539"/>
      <c r="AO118" s="539"/>
      <c r="AP118" s="539"/>
      <c r="AQ118" s="539"/>
      <c r="AR118" s="542"/>
      <c r="AS118" s="549"/>
      <c r="AT118" s="550"/>
      <c r="AU118" s="550"/>
      <c r="AV118" s="550"/>
      <c r="AW118" s="550"/>
      <c r="AX118" s="550"/>
      <c r="AY118" s="551"/>
      <c r="AZ118" s="495"/>
      <c r="BA118" s="496"/>
      <c r="BB118" s="108">
        <v>6</v>
      </c>
      <c r="BC118" s="505"/>
      <c r="BD118" s="506"/>
      <c r="BE118" s="506"/>
      <c r="BF118" s="507"/>
      <c r="BG118" s="508"/>
      <c r="BH118" s="509"/>
      <c r="BI118" s="227"/>
      <c r="BJ118" s="510"/>
      <c r="BK118" s="511"/>
      <c r="BL118" s="511"/>
      <c r="BM118" s="511"/>
      <c r="BN118" s="511"/>
      <c r="BO118" s="512"/>
      <c r="BP118" s="510"/>
      <c r="BQ118" s="511"/>
      <c r="BR118" s="511"/>
      <c r="BS118" s="511"/>
      <c r="BT118" s="511"/>
      <c r="BU118" s="512"/>
      <c r="BV118" s="510"/>
      <c r="BW118" s="511"/>
      <c r="BX118" s="511"/>
      <c r="BY118" s="511"/>
      <c r="BZ118" s="511"/>
      <c r="CA118" s="512"/>
      <c r="CB118" s="513"/>
      <c r="CC118" s="514"/>
      <c r="CD118" s="514"/>
      <c r="CE118" s="515"/>
      <c r="CF118" s="477"/>
      <c r="CG118" s="478"/>
      <c r="CH118" s="478"/>
      <c r="CI118" s="478"/>
      <c r="CJ118" s="479"/>
      <c r="CK118" s="477"/>
      <c r="CL118" s="478"/>
      <c r="CM118" s="478"/>
      <c r="CN118" s="478"/>
      <c r="CO118" s="479"/>
      <c r="CP118" s="477"/>
      <c r="CQ118" s="478"/>
      <c r="CR118" s="478"/>
      <c r="CS118" s="478"/>
      <c r="CT118" s="479"/>
      <c r="CU118" s="480"/>
      <c r="CV118" s="481"/>
      <c r="CW118" s="481"/>
      <c r="CX118" s="481"/>
      <c r="CY118" s="482"/>
    </row>
    <row r="119" spans="1:103" s="91" customFormat="1" ht="16.149999999999999" customHeight="1" x14ac:dyDescent="0.15">
      <c r="A119" s="516">
        <v>19</v>
      </c>
      <c r="B119" s="102"/>
      <c r="C119" s="220" t="str">
        <f t="shared" ca="1" si="3"/>
        <v>@</v>
      </c>
      <c r="D119" s="519" t="s">
        <v>579</v>
      </c>
      <c r="E119" s="520"/>
      <c r="F119" s="520"/>
      <c r="G119" s="520"/>
      <c r="H119" s="520"/>
      <c r="I119" s="520"/>
      <c r="J119" s="520"/>
      <c r="K119" s="525" t="s">
        <v>606</v>
      </c>
      <c r="L119" s="526"/>
      <c r="M119" s="526"/>
      <c r="N119" s="526"/>
      <c r="O119" s="526"/>
      <c r="P119" s="526"/>
      <c r="Q119" s="526"/>
      <c r="R119" s="531"/>
      <c r="S119" s="532"/>
      <c r="T119" s="531" t="s">
        <v>284</v>
      </c>
      <c r="U119" s="532"/>
      <c r="V119" s="525" t="s">
        <v>607</v>
      </c>
      <c r="W119" s="538"/>
      <c r="X119" s="538"/>
      <c r="Y119" s="538"/>
      <c r="Z119" s="538"/>
      <c r="AA119" s="538"/>
      <c r="AB119" s="538"/>
      <c r="AC119" s="538"/>
      <c r="AD119" s="525" t="s">
        <v>608</v>
      </c>
      <c r="AE119" s="526"/>
      <c r="AF119" s="526"/>
      <c r="AG119" s="526"/>
      <c r="AH119" s="526"/>
      <c r="AI119" s="526"/>
      <c r="AJ119" s="526"/>
      <c r="AK119" s="540"/>
      <c r="AL119" s="525"/>
      <c r="AM119" s="538"/>
      <c r="AN119" s="538"/>
      <c r="AO119" s="538"/>
      <c r="AP119" s="538"/>
      <c r="AQ119" s="538"/>
      <c r="AR119" s="540"/>
      <c r="AS119" s="543"/>
      <c r="AT119" s="544"/>
      <c r="AU119" s="544"/>
      <c r="AV119" s="544"/>
      <c r="AW119" s="544"/>
      <c r="AX119" s="544"/>
      <c r="AY119" s="545"/>
      <c r="AZ119" s="491"/>
      <c r="BA119" s="492"/>
      <c r="BB119" s="103">
        <v>1</v>
      </c>
      <c r="BC119" s="497"/>
      <c r="BD119" s="498"/>
      <c r="BE119" s="498"/>
      <c r="BF119" s="499"/>
      <c r="BG119" s="500" t="s">
        <v>568</v>
      </c>
      <c r="BH119" s="501"/>
      <c r="BI119" s="226"/>
      <c r="BJ119" s="502"/>
      <c r="BK119" s="503"/>
      <c r="BL119" s="503"/>
      <c r="BM119" s="503"/>
      <c r="BN119" s="503"/>
      <c r="BO119" s="504"/>
      <c r="BP119" s="502"/>
      <c r="BQ119" s="503"/>
      <c r="BR119" s="503"/>
      <c r="BS119" s="503"/>
      <c r="BT119" s="503"/>
      <c r="BU119" s="504"/>
      <c r="BV119" s="502"/>
      <c r="BW119" s="503"/>
      <c r="BX119" s="503"/>
      <c r="BY119" s="503"/>
      <c r="BZ119" s="503"/>
      <c r="CA119" s="504"/>
      <c r="CB119" s="552"/>
      <c r="CC119" s="553"/>
      <c r="CD119" s="553"/>
      <c r="CE119" s="554"/>
      <c r="CF119" s="477"/>
      <c r="CG119" s="478"/>
      <c r="CH119" s="478"/>
      <c r="CI119" s="478"/>
      <c r="CJ119" s="479"/>
      <c r="CK119" s="477"/>
      <c r="CL119" s="478"/>
      <c r="CM119" s="478"/>
      <c r="CN119" s="478"/>
      <c r="CO119" s="479"/>
      <c r="CP119" s="477"/>
      <c r="CQ119" s="478"/>
      <c r="CR119" s="478"/>
      <c r="CS119" s="478"/>
      <c r="CT119" s="479"/>
      <c r="CU119" s="477"/>
      <c r="CV119" s="481"/>
      <c r="CW119" s="481"/>
      <c r="CX119" s="481"/>
      <c r="CY119" s="482"/>
    </row>
    <row r="120" spans="1:103" s="91" customFormat="1" ht="16.5" x14ac:dyDescent="0.15">
      <c r="A120" s="517"/>
      <c r="B120" s="102"/>
      <c r="C120" s="220" t="str">
        <f t="shared" ca="1" si="3"/>
        <v>@</v>
      </c>
      <c r="D120" s="521"/>
      <c r="E120" s="522"/>
      <c r="F120" s="522"/>
      <c r="G120" s="522"/>
      <c r="H120" s="522"/>
      <c r="I120" s="522"/>
      <c r="J120" s="522"/>
      <c r="K120" s="527"/>
      <c r="L120" s="528"/>
      <c r="M120" s="528"/>
      <c r="N120" s="528"/>
      <c r="O120" s="528"/>
      <c r="P120" s="528"/>
      <c r="Q120" s="528"/>
      <c r="R120" s="533"/>
      <c r="S120" s="534"/>
      <c r="T120" s="533"/>
      <c r="U120" s="534"/>
      <c r="V120" s="527"/>
      <c r="W120" s="528"/>
      <c r="X120" s="528"/>
      <c r="Y120" s="528"/>
      <c r="Z120" s="528"/>
      <c r="AA120" s="528"/>
      <c r="AB120" s="528"/>
      <c r="AC120" s="528"/>
      <c r="AD120" s="527"/>
      <c r="AE120" s="528"/>
      <c r="AF120" s="528"/>
      <c r="AG120" s="528"/>
      <c r="AH120" s="528"/>
      <c r="AI120" s="528"/>
      <c r="AJ120" s="528"/>
      <c r="AK120" s="541"/>
      <c r="AL120" s="527"/>
      <c r="AM120" s="528"/>
      <c r="AN120" s="528"/>
      <c r="AO120" s="528"/>
      <c r="AP120" s="528"/>
      <c r="AQ120" s="528"/>
      <c r="AR120" s="541"/>
      <c r="AS120" s="546"/>
      <c r="AT120" s="547"/>
      <c r="AU120" s="547"/>
      <c r="AV120" s="547"/>
      <c r="AW120" s="547"/>
      <c r="AX120" s="547"/>
      <c r="AY120" s="548"/>
      <c r="AZ120" s="493"/>
      <c r="BA120" s="494"/>
      <c r="BB120" s="105">
        <v>2</v>
      </c>
      <c r="BC120" s="483"/>
      <c r="BD120" s="484"/>
      <c r="BE120" s="484"/>
      <c r="BF120" s="485"/>
      <c r="BG120" s="486"/>
      <c r="BH120" s="487"/>
      <c r="BI120" s="224"/>
      <c r="BJ120" s="488"/>
      <c r="BK120" s="489"/>
      <c r="BL120" s="489"/>
      <c r="BM120" s="489"/>
      <c r="BN120" s="489"/>
      <c r="BO120" s="490"/>
      <c r="BP120" s="488"/>
      <c r="BQ120" s="489"/>
      <c r="BR120" s="489"/>
      <c r="BS120" s="489"/>
      <c r="BT120" s="489"/>
      <c r="BU120" s="490"/>
      <c r="BV120" s="488"/>
      <c r="BW120" s="489"/>
      <c r="BX120" s="489"/>
      <c r="BY120" s="489"/>
      <c r="BZ120" s="489"/>
      <c r="CA120" s="490"/>
      <c r="CB120" s="483"/>
      <c r="CC120" s="484"/>
      <c r="CD120" s="484"/>
      <c r="CE120" s="485"/>
      <c r="CF120" s="477"/>
      <c r="CG120" s="478"/>
      <c r="CH120" s="478"/>
      <c r="CI120" s="478"/>
      <c r="CJ120" s="479"/>
      <c r="CK120" s="477"/>
      <c r="CL120" s="478"/>
      <c r="CM120" s="478"/>
      <c r="CN120" s="478"/>
      <c r="CO120" s="479"/>
      <c r="CP120" s="477"/>
      <c r="CQ120" s="478"/>
      <c r="CR120" s="478"/>
      <c r="CS120" s="478"/>
      <c r="CT120" s="479"/>
      <c r="CU120" s="480"/>
      <c r="CV120" s="481"/>
      <c r="CW120" s="481"/>
      <c r="CX120" s="481"/>
      <c r="CY120" s="482"/>
    </row>
    <row r="121" spans="1:103" s="91" customFormat="1" ht="16.5" x14ac:dyDescent="0.15">
      <c r="A121" s="517"/>
      <c r="B121" s="102"/>
      <c r="C121" s="220" t="str">
        <f t="shared" ca="1" si="3"/>
        <v>@</v>
      </c>
      <c r="D121" s="521"/>
      <c r="E121" s="522"/>
      <c r="F121" s="522"/>
      <c r="G121" s="522"/>
      <c r="H121" s="522"/>
      <c r="I121" s="522"/>
      <c r="J121" s="522"/>
      <c r="K121" s="527"/>
      <c r="L121" s="528"/>
      <c r="M121" s="528"/>
      <c r="N121" s="528"/>
      <c r="O121" s="528"/>
      <c r="P121" s="528"/>
      <c r="Q121" s="528"/>
      <c r="R121" s="533"/>
      <c r="S121" s="534"/>
      <c r="T121" s="533"/>
      <c r="U121" s="534"/>
      <c r="V121" s="527"/>
      <c r="W121" s="528"/>
      <c r="X121" s="528"/>
      <c r="Y121" s="528"/>
      <c r="Z121" s="528"/>
      <c r="AA121" s="528"/>
      <c r="AB121" s="528"/>
      <c r="AC121" s="528"/>
      <c r="AD121" s="527"/>
      <c r="AE121" s="528"/>
      <c r="AF121" s="528"/>
      <c r="AG121" s="528"/>
      <c r="AH121" s="528"/>
      <c r="AI121" s="528"/>
      <c r="AJ121" s="528"/>
      <c r="AK121" s="541"/>
      <c r="AL121" s="527"/>
      <c r="AM121" s="528"/>
      <c r="AN121" s="528"/>
      <c r="AO121" s="528"/>
      <c r="AP121" s="528"/>
      <c r="AQ121" s="528"/>
      <c r="AR121" s="541"/>
      <c r="AS121" s="546"/>
      <c r="AT121" s="547"/>
      <c r="AU121" s="547"/>
      <c r="AV121" s="547"/>
      <c r="AW121" s="547"/>
      <c r="AX121" s="547"/>
      <c r="AY121" s="548"/>
      <c r="AZ121" s="493"/>
      <c r="BA121" s="494"/>
      <c r="BB121" s="105">
        <v>3</v>
      </c>
      <c r="BC121" s="483"/>
      <c r="BD121" s="484"/>
      <c r="BE121" s="484"/>
      <c r="BF121" s="485"/>
      <c r="BG121" s="486"/>
      <c r="BH121" s="487"/>
      <c r="BI121" s="224"/>
      <c r="BJ121" s="488"/>
      <c r="BK121" s="489"/>
      <c r="BL121" s="489"/>
      <c r="BM121" s="489"/>
      <c r="BN121" s="489"/>
      <c r="BO121" s="490"/>
      <c r="BP121" s="488"/>
      <c r="BQ121" s="489"/>
      <c r="BR121" s="489"/>
      <c r="BS121" s="489"/>
      <c r="BT121" s="489"/>
      <c r="BU121" s="490"/>
      <c r="BV121" s="488"/>
      <c r="BW121" s="489"/>
      <c r="BX121" s="489"/>
      <c r="BY121" s="489"/>
      <c r="BZ121" s="489"/>
      <c r="CA121" s="490"/>
      <c r="CB121" s="483"/>
      <c r="CC121" s="484"/>
      <c r="CD121" s="484"/>
      <c r="CE121" s="485"/>
      <c r="CF121" s="477"/>
      <c r="CG121" s="478"/>
      <c r="CH121" s="478"/>
      <c r="CI121" s="478"/>
      <c r="CJ121" s="479"/>
      <c r="CK121" s="477"/>
      <c r="CL121" s="478"/>
      <c r="CM121" s="478"/>
      <c r="CN121" s="478"/>
      <c r="CO121" s="479"/>
      <c r="CP121" s="477"/>
      <c r="CQ121" s="478"/>
      <c r="CR121" s="478"/>
      <c r="CS121" s="478"/>
      <c r="CT121" s="479"/>
      <c r="CU121" s="480"/>
      <c r="CV121" s="481"/>
      <c r="CW121" s="481"/>
      <c r="CX121" s="481"/>
      <c r="CY121" s="482"/>
    </row>
    <row r="122" spans="1:103" s="91" customFormat="1" ht="16.5" x14ac:dyDescent="0.15">
      <c r="A122" s="517"/>
      <c r="B122" s="102"/>
      <c r="C122" s="220" t="str">
        <f t="shared" ca="1" si="3"/>
        <v>@</v>
      </c>
      <c r="D122" s="521"/>
      <c r="E122" s="522"/>
      <c r="F122" s="522"/>
      <c r="G122" s="522"/>
      <c r="H122" s="522"/>
      <c r="I122" s="522"/>
      <c r="J122" s="522"/>
      <c r="K122" s="527"/>
      <c r="L122" s="528"/>
      <c r="M122" s="528"/>
      <c r="N122" s="528"/>
      <c r="O122" s="528"/>
      <c r="P122" s="528"/>
      <c r="Q122" s="528"/>
      <c r="R122" s="533"/>
      <c r="S122" s="534"/>
      <c r="T122" s="533"/>
      <c r="U122" s="534"/>
      <c r="V122" s="527"/>
      <c r="W122" s="528"/>
      <c r="X122" s="528"/>
      <c r="Y122" s="528"/>
      <c r="Z122" s="528"/>
      <c r="AA122" s="528"/>
      <c r="AB122" s="528"/>
      <c r="AC122" s="528"/>
      <c r="AD122" s="527"/>
      <c r="AE122" s="528"/>
      <c r="AF122" s="528"/>
      <c r="AG122" s="528"/>
      <c r="AH122" s="528"/>
      <c r="AI122" s="528"/>
      <c r="AJ122" s="528"/>
      <c r="AK122" s="541"/>
      <c r="AL122" s="527"/>
      <c r="AM122" s="528"/>
      <c r="AN122" s="528"/>
      <c r="AO122" s="528"/>
      <c r="AP122" s="528"/>
      <c r="AQ122" s="528"/>
      <c r="AR122" s="541"/>
      <c r="AS122" s="546"/>
      <c r="AT122" s="547"/>
      <c r="AU122" s="547"/>
      <c r="AV122" s="547"/>
      <c r="AW122" s="547"/>
      <c r="AX122" s="547"/>
      <c r="AY122" s="548"/>
      <c r="AZ122" s="493"/>
      <c r="BA122" s="494"/>
      <c r="BB122" s="105">
        <v>4</v>
      </c>
      <c r="BC122" s="483"/>
      <c r="BD122" s="484"/>
      <c r="BE122" s="484"/>
      <c r="BF122" s="485"/>
      <c r="BG122" s="486"/>
      <c r="BH122" s="487"/>
      <c r="BI122" s="224"/>
      <c r="BJ122" s="488"/>
      <c r="BK122" s="489"/>
      <c r="BL122" s="489"/>
      <c r="BM122" s="489"/>
      <c r="BN122" s="489"/>
      <c r="BO122" s="490"/>
      <c r="BP122" s="488"/>
      <c r="BQ122" s="489"/>
      <c r="BR122" s="489"/>
      <c r="BS122" s="489"/>
      <c r="BT122" s="489"/>
      <c r="BU122" s="490"/>
      <c r="BV122" s="488"/>
      <c r="BW122" s="489"/>
      <c r="BX122" s="489"/>
      <c r="BY122" s="489"/>
      <c r="BZ122" s="489"/>
      <c r="CA122" s="490"/>
      <c r="CB122" s="483"/>
      <c r="CC122" s="484"/>
      <c r="CD122" s="484"/>
      <c r="CE122" s="485"/>
      <c r="CF122" s="477"/>
      <c r="CG122" s="478"/>
      <c r="CH122" s="478"/>
      <c r="CI122" s="478"/>
      <c r="CJ122" s="479"/>
      <c r="CK122" s="477"/>
      <c r="CL122" s="478"/>
      <c r="CM122" s="478"/>
      <c r="CN122" s="478"/>
      <c r="CO122" s="479"/>
      <c r="CP122" s="477"/>
      <c r="CQ122" s="478"/>
      <c r="CR122" s="478"/>
      <c r="CS122" s="478"/>
      <c r="CT122" s="479"/>
      <c r="CU122" s="480"/>
      <c r="CV122" s="481"/>
      <c r="CW122" s="481"/>
      <c r="CX122" s="481"/>
      <c r="CY122" s="482"/>
    </row>
    <row r="123" spans="1:103" s="91" customFormat="1" ht="16.5" x14ac:dyDescent="0.15">
      <c r="A123" s="517"/>
      <c r="B123" s="102"/>
      <c r="C123" s="220" t="str">
        <f t="shared" ca="1" si="3"/>
        <v>@</v>
      </c>
      <c r="D123" s="521"/>
      <c r="E123" s="522"/>
      <c r="F123" s="522"/>
      <c r="G123" s="522"/>
      <c r="H123" s="522"/>
      <c r="I123" s="522"/>
      <c r="J123" s="522"/>
      <c r="K123" s="527"/>
      <c r="L123" s="528"/>
      <c r="M123" s="528"/>
      <c r="N123" s="528"/>
      <c r="O123" s="528"/>
      <c r="P123" s="528"/>
      <c r="Q123" s="528"/>
      <c r="R123" s="533"/>
      <c r="S123" s="534"/>
      <c r="T123" s="533"/>
      <c r="U123" s="534"/>
      <c r="V123" s="527"/>
      <c r="W123" s="528"/>
      <c r="X123" s="528"/>
      <c r="Y123" s="528"/>
      <c r="Z123" s="528"/>
      <c r="AA123" s="528"/>
      <c r="AB123" s="528"/>
      <c r="AC123" s="528"/>
      <c r="AD123" s="527"/>
      <c r="AE123" s="528"/>
      <c r="AF123" s="528"/>
      <c r="AG123" s="528"/>
      <c r="AH123" s="528"/>
      <c r="AI123" s="528"/>
      <c r="AJ123" s="528"/>
      <c r="AK123" s="541"/>
      <c r="AL123" s="527"/>
      <c r="AM123" s="528"/>
      <c r="AN123" s="528"/>
      <c r="AO123" s="528"/>
      <c r="AP123" s="528"/>
      <c r="AQ123" s="528"/>
      <c r="AR123" s="541"/>
      <c r="AS123" s="546"/>
      <c r="AT123" s="547"/>
      <c r="AU123" s="547"/>
      <c r="AV123" s="547"/>
      <c r="AW123" s="547"/>
      <c r="AX123" s="547"/>
      <c r="AY123" s="548"/>
      <c r="AZ123" s="493"/>
      <c r="BA123" s="494"/>
      <c r="BB123" s="105">
        <v>5</v>
      </c>
      <c r="BC123" s="483"/>
      <c r="BD123" s="484"/>
      <c r="BE123" s="484"/>
      <c r="BF123" s="485"/>
      <c r="BG123" s="486"/>
      <c r="BH123" s="487"/>
      <c r="BI123" s="224"/>
      <c r="BJ123" s="488"/>
      <c r="BK123" s="489"/>
      <c r="BL123" s="489"/>
      <c r="BM123" s="489"/>
      <c r="BN123" s="489"/>
      <c r="BO123" s="490"/>
      <c r="BP123" s="488"/>
      <c r="BQ123" s="489"/>
      <c r="BR123" s="489"/>
      <c r="BS123" s="489"/>
      <c r="BT123" s="489"/>
      <c r="BU123" s="490"/>
      <c r="BV123" s="488"/>
      <c r="BW123" s="489"/>
      <c r="BX123" s="489"/>
      <c r="BY123" s="489"/>
      <c r="BZ123" s="489"/>
      <c r="CA123" s="490"/>
      <c r="CB123" s="483"/>
      <c r="CC123" s="484"/>
      <c r="CD123" s="484"/>
      <c r="CE123" s="485"/>
      <c r="CF123" s="477"/>
      <c r="CG123" s="478"/>
      <c r="CH123" s="478"/>
      <c r="CI123" s="478"/>
      <c r="CJ123" s="479"/>
      <c r="CK123" s="477"/>
      <c r="CL123" s="478"/>
      <c r="CM123" s="478"/>
      <c r="CN123" s="478"/>
      <c r="CO123" s="479"/>
      <c r="CP123" s="477"/>
      <c r="CQ123" s="478"/>
      <c r="CR123" s="478"/>
      <c r="CS123" s="478"/>
      <c r="CT123" s="479"/>
      <c r="CU123" s="480"/>
      <c r="CV123" s="481"/>
      <c r="CW123" s="481"/>
      <c r="CX123" s="481"/>
      <c r="CY123" s="482"/>
    </row>
    <row r="124" spans="1:103" s="91" customFormat="1" ht="16.5" x14ac:dyDescent="0.15">
      <c r="A124" s="518"/>
      <c r="B124" s="107"/>
      <c r="C124" s="220" t="str">
        <f t="shared" ca="1" si="3"/>
        <v>@</v>
      </c>
      <c r="D124" s="523"/>
      <c r="E124" s="524"/>
      <c r="F124" s="524"/>
      <c r="G124" s="524"/>
      <c r="H124" s="524"/>
      <c r="I124" s="524"/>
      <c r="J124" s="524"/>
      <c r="K124" s="529"/>
      <c r="L124" s="530"/>
      <c r="M124" s="530"/>
      <c r="N124" s="530"/>
      <c r="O124" s="530"/>
      <c r="P124" s="530"/>
      <c r="Q124" s="530"/>
      <c r="R124" s="535"/>
      <c r="S124" s="536"/>
      <c r="T124" s="535"/>
      <c r="U124" s="537"/>
      <c r="V124" s="529"/>
      <c r="W124" s="539"/>
      <c r="X124" s="539"/>
      <c r="Y124" s="539"/>
      <c r="Z124" s="539"/>
      <c r="AA124" s="539"/>
      <c r="AB124" s="539"/>
      <c r="AC124" s="539"/>
      <c r="AD124" s="529"/>
      <c r="AE124" s="530"/>
      <c r="AF124" s="530"/>
      <c r="AG124" s="530"/>
      <c r="AH124" s="530"/>
      <c r="AI124" s="530"/>
      <c r="AJ124" s="530"/>
      <c r="AK124" s="555"/>
      <c r="AL124" s="529"/>
      <c r="AM124" s="539"/>
      <c r="AN124" s="539"/>
      <c r="AO124" s="539"/>
      <c r="AP124" s="539"/>
      <c r="AQ124" s="539"/>
      <c r="AR124" s="542"/>
      <c r="AS124" s="549"/>
      <c r="AT124" s="550"/>
      <c r="AU124" s="550"/>
      <c r="AV124" s="550"/>
      <c r="AW124" s="550"/>
      <c r="AX124" s="550"/>
      <c r="AY124" s="551"/>
      <c r="AZ124" s="495"/>
      <c r="BA124" s="496"/>
      <c r="BB124" s="108">
        <v>6</v>
      </c>
      <c r="BC124" s="505"/>
      <c r="BD124" s="506"/>
      <c r="BE124" s="506"/>
      <c r="BF124" s="507"/>
      <c r="BG124" s="508"/>
      <c r="BH124" s="509"/>
      <c r="BI124" s="225"/>
      <c r="BJ124" s="510"/>
      <c r="BK124" s="511"/>
      <c r="BL124" s="511"/>
      <c r="BM124" s="511"/>
      <c r="BN124" s="511"/>
      <c r="BO124" s="512"/>
      <c r="BP124" s="510"/>
      <c r="BQ124" s="511"/>
      <c r="BR124" s="511"/>
      <c r="BS124" s="511"/>
      <c r="BT124" s="511"/>
      <c r="BU124" s="512"/>
      <c r="BV124" s="510"/>
      <c r="BW124" s="511"/>
      <c r="BX124" s="511"/>
      <c r="BY124" s="511"/>
      <c r="BZ124" s="511"/>
      <c r="CA124" s="512"/>
      <c r="CB124" s="505"/>
      <c r="CC124" s="506"/>
      <c r="CD124" s="506"/>
      <c r="CE124" s="507"/>
      <c r="CF124" s="477"/>
      <c r="CG124" s="478"/>
      <c r="CH124" s="478"/>
      <c r="CI124" s="478"/>
      <c r="CJ124" s="479"/>
      <c r="CK124" s="477"/>
      <c r="CL124" s="478"/>
      <c r="CM124" s="478"/>
      <c r="CN124" s="478"/>
      <c r="CO124" s="479"/>
      <c r="CP124" s="477"/>
      <c r="CQ124" s="478"/>
      <c r="CR124" s="478"/>
      <c r="CS124" s="478"/>
      <c r="CT124" s="479"/>
      <c r="CU124" s="480"/>
      <c r="CV124" s="481"/>
      <c r="CW124" s="481"/>
      <c r="CX124" s="481"/>
      <c r="CY124" s="482"/>
    </row>
    <row r="125" spans="1:103" s="91" customFormat="1" ht="16.149999999999999" customHeight="1" x14ac:dyDescent="0.15">
      <c r="A125" s="516">
        <v>20</v>
      </c>
      <c r="B125" s="102"/>
      <c r="C125" s="216" t="str">
        <f t="shared" ca="1" si="3"/>
        <v>@</v>
      </c>
      <c r="D125" s="519" t="s">
        <v>579</v>
      </c>
      <c r="E125" s="520"/>
      <c r="F125" s="520"/>
      <c r="G125" s="520"/>
      <c r="H125" s="520"/>
      <c r="I125" s="520"/>
      <c r="J125" s="520"/>
      <c r="K125" s="525" t="s">
        <v>609</v>
      </c>
      <c r="L125" s="526"/>
      <c r="M125" s="526"/>
      <c r="N125" s="526"/>
      <c r="O125" s="526"/>
      <c r="P125" s="526"/>
      <c r="Q125" s="526"/>
      <c r="R125" s="531"/>
      <c r="S125" s="532"/>
      <c r="T125" s="531" t="s">
        <v>284</v>
      </c>
      <c r="U125" s="532"/>
      <c r="V125" s="525" t="s">
        <v>610</v>
      </c>
      <c r="W125" s="538"/>
      <c r="X125" s="538"/>
      <c r="Y125" s="538"/>
      <c r="Z125" s="538"/>
      <c r="AA125" s="538"/>
      <c r="AB125" s="538"/>
      <c r="AC125" s="538"/>
      <c r="AD125" s="525" t="s">
        <v>611</v>
      </c>
      <c r="AE125" s="538"/>
      <c r="AF125" s="538"/>
      <c r="AG125" s="538"/>
      <c r="AH125" s="538"/>
      <c r="AI125" s="538"/>
      <c r="AJ125" s="538"/>
      <c r="AK125" s="540"/>
      <c r="AL125" s="525"/>
      <c r="AM125" s="538"/>
      <c r="AN125" s="538"/>
      <c r="AO125" s="538"/>
      <c r="AP125" s="538"/>
      <c r="AQ125" s="538"/>
      <c r="AR125" s="540"/>
      <c r="AS125" s="543"/>
      <c r="AT125" s="544"/>
      <c r="AU125" s="544"/>
      <c r="AV125" s="544"/>
      <c r="AW125" s="544"/>
      <c r="AX125" s="544"/>
      <c r="AY125" s="545"/>
      <c r="AZ125" s="491"/>
      <c r="BA125" s="492"/>
      <c r="BB125" s="103">
        <v>1</v>
      </c>
      <c r="BC125" s="497"/>
      <c r="BD125" s="498"/>
      <c r="BE125" s="498"/>
      <c r="BF125" s="499"/>
      <c r="BG125" s="500" t="s">
        <v>568</v>
      </c>
      <c r="BH125" s="501"/>
      <c r="BI125" s="226"/>
      <c r="BJ125" s="502"/>
      <c r="BK125" s="503"/>
      <c r="BL125" s="503"/>
      <c r="BM125" s="503"/>
      <c r="BN125" s="503"/>
      <c r="BO125" s="504"/>
      <c r="BP125" s="502"/>
      <c r="BQ125" s="503"/>
      <c r="BR125" s="503"/>
      <c r="BS125" s="503"/>
      <c r="BT125" s="503"/>
      <c r="BU125" s="504"/>
      <c r="BV125" s="502"/>
      <c r="BW125" s="503"/>
      <c r="BX125" s="503"/>
      <c r="BY125" s="503"/>
      <c r="BZ125" s="503"/>
      <c r="CA125" s="504"/>
      <c r="CB125" s="497"/>
      <c r="CC125" s="498"/>
      <c r="CD125" s="498"/>
      <c r="CE125" s="499"/>
      <c r="CF125" s="477"/>
      <c r="CG125" s="478"/>
      <c r="CH125" s="478"/>
      <c r="CI125" s="478"/>
      <c r="CJ125" s="479"/>
      <c r="CK125" s="477"/>
      <c r="CL125" s="478"/>
      <c r="CM125" s="478"/>
      <c r="CN125" s="478"/>
      <c r="CO125" s="479"/>
      <c r="CP125" s="477"/>
      <c r="CQ125" s="478"/>
      <c r="CR125" s="478"/>
      <c r="CS125" s="478"/>
      <c r="CT125" s="479"/>
      <c r="CU125" s="480"/>
      <c r="CV125" s="481"/>
      <c r="CW125" s="481"/>
      <c r="CX125" s="481"/>
      <c r="CY125" s="482"/>
    </row>
    <row r="126" spans="1:103" s="91" customFormat="1" ht="16.5" x14ac:dyDescent="0.15">
      <c r="A126" s="517"/>
      <c r="B126" s="102"/>
      <c r="C126" s="220" t="str">
        <f t="shared" ca="1" si="3"/>
        <v>@</v>
      </c>
      <c r="D126" s="521"/>
      <c r="E126" s="522"/>
      <c r="F126" s="522"/>
      <c r="G126" s="522"/>
      <c r="H126" s="522"/>
      <c r="I126" s="522"/>
      <c r="J126" s="522"/>
      <c r="K126" s="527"/>
      <c r="L126" s="528"/>
      <c r="M126" s="528"/>
      <c r="N126" s="528"/>
      <c r="O126" s="528"/>
      <c r="P126" s="528"/>
      <c r="Q126" s="528"/>
      <c r="R126" s="533"/>
      <c r="S126" s="534"/>
      <c r="T126" s="533"/>
      <c r="U126" s="534"/>
      <c r="V126" s="527"/>
      <c r="W126" s="528"/>
      <c r="X126" s="528"/>
      <c r="Y126" s="528"/>
      <c r="Z126" s="528"/>
      <c r="AA126" s="528"/>
      <c r="AB126" s="528"/>
      <c r="AC126" s="528"/>
      <c r="AD126" s="527"/>
      <c r="AE126" s="528"/>
      <c r="AF126" s="528"/>
      <c r="AG126" s="528"/>
      <c r="AH126" s="528"/>
      <c r="AI126" s="528"/>
      <c r="AJ126" s="528"/>
      <c r="AK126" s="541"/>
      <c r="AL126" s="527"/>
      <c r="AM126" s="528"/>
      <c r="AN126" s="528"/>
      <c r="AO126" s="528"/>
      <c r="AP126" s="528"/>
      <c r="AQ126" s="528"/>
      <c r="AR126" s="541"/>
      <c r="AS126" s="546"/>
      <c r="AT126" s="547"/>
      <c r="AU126" s="547"/>
      <c r="AV126" s="547"/>
      <c r="AW126" s="547"/>
      <c r="AX126" s="547"/>
      <c r="AY126" s="548"/>
      <c r="AZ126" s="493"/>
      <c r="BA126" s="494"/>
      <c r="BB126" s="105">
        <v>2</v>
      </c>
      <c r="BC126" s="483"/>
      <c r="BD126" s="484"/>
      <c r="BE126" s="484"/>
      <c r="BF126" s="485"/>
      <c r="BG126" s="486"/>
      <c r="BH126" s="487"/>
      <c r="BI126" s="224"/>
      <c r="BJ126" s="488"/>
      <c r="BK126" s="489"/>
      <c r="BL126" s="489"/>
      <c r="BM126" s="489"/>
      <c r="BN126" s="489"/>
      <c r="BO126" s="490"/>
      <c r="BP126" s="488"/>
      <c r="BQ126" s="489"/>
      <c r="BR126" s="489"/>
      <c r="BS126" s="489"/>
      <c r="BT126" s="489"/>
      <c r="BU126" s="490"/>
      <c r="BV126" s="488"/>
      <c r="BW126" s="489"/>
      <c r="BX126" s="489"/>
      <c r="BY126" s="489"/>
      <c r="BZ126" s="489"/>
      <c r="CA126" s="490"/>
      <c r="CB126" s="483"/>
      <c r="CC126" s="484"/>
      <c r="CD126" s="484"/>
      <c r="CE126" s="485"/>
      <c r="CF126" s="477"/>
      <c r="CG126" s="478"/>
      <c r="CH126" s="478"/>
      <c r="CI126" s="478"/>
      <c r="CJ126" s="479"/>
      <c r="CK126" s="477"/>
      <c r="CL126" s="478"/>
      <c r="CM126" s="478"/>
      <c r="CN126" s="478"/>
      <c r="CO126" s="479"/>
      <c r="CP126" s="477"/>
      <c r="CQ126" s="478"/>
      <c r="CR126" s="478"/>
      <c r="CS126" s="478"/>
      <c r="CT126" s="479"/>
      <c r="CU126" s="480"/>
      <c r="CV126" s="481"/>
      <c r="CW126" s="481"/>
      <c r="CX126" s="481"/>
      <c r="CY126" s="482"/>
    </row>
    <row r="127" spans="1:103" s="91" customFormat="1" ht="16.5" x14ac:dyDescent="0.15">
      <c r="A127" s="517"/>
      <c r="B127" s="102"/>
      <c r="C127" s="220" t="str">
        <f t="shared" ca="1" si="3"/>
        <v>@</v>
      </c>
      <c r="D127" s="521"/>
      <c r="E127" s="522"/>
      <c r="F127" s="522"/>
      <c r="G127" s="522"/>
      <c r="H127" s="522"/>
      <c r="I127" s="522"/>
      <c r="J127" s="522"/>
      <c r="K127" s="527"/>
      <c r="L127" s="528"/>
      <c r="M127" s="528"/>
      <c r="N127" s="528"/>
      <c r="O127" s="528"/>
      <c r="P127" s="528"/>
      <c r="Q127" s="528"/>
      <c r="R127" s="533"/>
      <c r="S127" s="534"/>
      <c r="T127" s="533"/>
      <c r="U127" s="534"/>
      <c r="V127" s="527"/>
      <c r="W127" s="528"/>
      <c r="X127" s="528"/>
      <c r="Y127" s="528"/>
      <c r="Z127" s="528"/>
      <c r="AA127" s="528"/>
      <c r="AB127" s="528"/>
      <c r="AC127" s="528"/>
      <c r="AD127" s="527"/>
      <c r="AE127" s="528"/>
      <c r="AF127" s="528"/>
      <c r="AG127" s="528"/>
      <c r="AH127" s="528"/>
      <c r="AI127" s="528"/>
      <c r="AJ127" s="528"/>
      <c r="AK127" s="541"/>
      <c r="AL127" s="527"/>
      <c r="AM127" s="528"/>
      <c r="AN127" s="528"/>
      <c r="AO127" s="528"/>
      <c r="AP127" s="528"/>
      <c r="AQ127" s="528"/>
      <c r="AR127" s="541"/>
      <c r="AS127" s="546"/>
      <c r="AT127" s="547"/>
      <c r="AU127" s="547"/>
      <c r="AV127" s="547"/>
      <c r="AW127" s="547"/>
      <c r="AX127" s="547"/>
      <c r="AY127" s="548"/>
      <c r="AZ127" s="493"/>
      <c r="BA127" s="494"/>
      <c r="BB127" s="105">
        <v>3</v>
      </c>
      <c r="BC127" s="483"/>
      <c r="BD127" s="484"/>
      <c r="BE127" s="484"/>
      <c r="BF127" s="485"/>
      <c r="BG127" s="486"/>
      <c r="BH127" s="487"/>
      <c r="BI127" s="224"/>
      <c r="BJ127" s="488"/>
      <c r="BK127" s="489"/>
      <c r="BL127" s="489"/>
      <c r="BM127" s="489"/>
      <c r="BN127" s="489"/>
      <c r="BO127" s="490"/>
      <c r="BP127" s="488"/>
      <c r="BQ127" s="489"/>
      <c r="BR127" s="489"/>
      <c r="BS127" s="489"/>
      <c r="BT127" s="489"/>
      <c r="BU127" s="490"/>
      <c r="BV127" s="488"/>
      <c r="BW127" s="489"/>
      <c r="BX127" s="489"/>
      <c r="BY127" s="489"/>
      <c r="BZ127" s="489"/>
      <c r="CA127" s="490"/>
      <c r="CB127" s="483"/>
      <c r="CC127" s="484"/>
      <c r="CD127" s="484"/>
      <c r="CE127" s="485"/>
      <c r="CF127" s="477"/>
      <c r="CG127" s="478"/>
      <c r="CH127" s="478"/>
      <c r="CI127" s="478"/>
      <c r="CJ127" s="479"/>
      <c r="CK127" s="477"/>
      <c r="CL127" s="478"/>
      <c r="CM127" s="478"/>
      <c r="CN127" s="478"/>
      <c r="CO127" s="479"/>
      <c r="CP127" s="477"/>
      <c r="CQ127" s="478"/>
      <c r="CR127" s="478"/>
      <c r="CS127" s="478"/>
      <c r="CT127" s="479"/>
      <c r="CU127" s="480"/>
      <c r="CV127" s="481"/>
      <c r="CW127" s="481"/>
      <c r="CX127" s="481"/>
      <c r="CY127" s="482"/>
    </row>
    <row r="128" spans="1:103" s="91" customFormat="1" ht="16.5" x14ac:dyDescent="0.15">
      <c r="A128" s="517"/>
      <c r="B128" s="102"/>
      <c r="C128" s="220" t="str">
        <f t="shared" ca="1" si="3"/>
        <v>@</v>
      </c>
      <c r="D128" s="521"/>
      <c r="E128" s="522"/>
      <c r="F128" s="522"/>
      <c r="G128" s="522"/>
      <c r="H128" s="522"/>
      <c r="I128" s="522"/>
      <c r="J128" s="522"/>
      <c r="K128" s="527"/>
      <c r="L128" s="528"/>
      <c r="M128" s="528"/>
      <c r="N128" s="528"/>
      <c r="O128" s="528"/>
      <c r="P128" s="528"/>
      <c r="Q128" s="528"/>
      <c r="R128" s="533"/>
      <c r="S128" s="534"/>
      <c r="T128" s="533"/>
      <c r="U128" s="534"/>
      <c r="V128" s="527"/>
      <c r="W128" s="528"/>
      <c r="X128" s="528"/>
      <c r="Y128" s="528"/>
      <c r="Z128" s="528"/>
      <c r="AA128" s="528"/>
      <c r="AB128" s="528"/>
      <c r="AC128" s="528"/>
      <c r="AD128" s="527"/>
      <c r="AE128" s="528"/>
      <c r="AF128" s="528"/>
      <c r="AG128" s="528"/>
      <c r="AH128" s="528"/>
      <c r="AI128" s="528"/>
      <c r="AJ128" s="528"/>
      <c r="AK128" s="541"/>
      <c r="AL128" s="527"/>
      <c r="AM128" s="528"/>
      <c r="AN128" s="528"/>
      <c r="AO128" s="528"/>
      <c r="AP128" s="528"/>
      <c r="AQ128" s="528"/>
      <c r="AR128" s="541"/>
      <c r="AS128" s="546"/>
      <c r="AT128" s="547"/>
      <c r="AU128" s="547"/>
      <c r="AV128" s="547"/>
      <c r="AW128" s="547"/>
      <c r="AX128" s="547"/>
      <c r="AY128" s="548"/>
      <c r="AZ128" s="493"/>
      <c r="BA128" s="494"/>
      <c r="BB128" s="105">
        <v>4</v>
      </c>
      <c r="BC128" s="483"/>
      <c r="BD128" s="484"/>
      <c r="BE128" s="484"/>
      <c r="BF128" s="485"/>
      <c r="BG128" s="486"/>
      <c r="BH128" s="487"/>
      <c r="BI128" s="224"/>
      <c r="BJ128" s="488"/>
      <c r="BK128" s="489"/>
      <c r="BL128" s="489"/>
      <c r="BM128" s="489"/>
      <c r="BN128" s="489"/>
      <c r="BO128" s="490"/>
      <c r="BP128" s="488"/>
      <c r="BQ128" s="489"/>
      <c r="BR128" s="489"/>
      <c r="BS128" s="489"/>
      <c r="BT128" s="489"/>
      <c r="BU128" s="490"/>
      <c r="BV128" s="488"/>
      <c r="BW128" s="489"/>
      <c r="BX128" s="489"/>
      <c r="BY128" s="489"/>
      <c r="BZ128" s="489"/>
      <c r="CA128" s="490"/>
      <c r="CB128" s="483"/>
      <c r="CC128" s="484"/>
      <c r="CD128" s="484"/>
      <c r="CE128" s="485"/>
      <c r="CF128" s="477"/>
      <c r="CG128" s="478"/>
      <c r="CH128" s="478"/>
      <c r="CI128" s="478"/>
      <c r="CJ128" s="479"/>
      <c r="CK128" s="477"/>
      <c r="CL128" s="478"/>
      <c r="CM128" s="478"/>
      <c r="CN128" s="478"/>
      <c r="CO128" s="479"/>
      <c r="CP128" s="477"/>
      <c r="CQ128" s="478"/>
      <c r="CR128" s="478"/>
      <c r="CS128" s="478"/>
      <c r="CT128" s="479"/>
      <c r="CU128" s="480"/>
      <c r="CV128" s="481"/>
      <c r="CW128" s="481"/>
      <c r="CX128" s="481"/>
      <c r="CY128" s="482"/>
    </row>
    <row r="129" spans="1:103" s="91" customFormat="1" ht="16.5" x14ac:dyDescent="0.15">
      <c r="A129" s="517"/>
      <c r="B129" s="102"/>
      <c r="C129" s="220" t="str">
        <f t="shared" ca="1" si="3"/>
        <v>@</v>
      </c>
      <c r="D129" s="521"/>
      <c r="E129" s="522"/>
      <c r="F129" s="522"/>
      <c r="G129" s="522"/>
      <c r="H129" s="522"/>
      <c r="I129" s="522"/>
      <c r="J129" s="522"/>
      <c r="K129" s="527"/>
      <c r="L129" s="528"/>
      <c r="M129" s="528"/>
      <c r="N129" s="528"/>
      <c r="O129" s="528"/>
      <c r="P129" s="528"/>
      <c r="Q129" s="528"/>
      <c r="R129" s="533"/>
      <c r="S129" s="534"/>
      <c r="T129" s="533"/>
      <c r="U129" s="534"/>
      <c r="V129" s="527"/>
      <c r="W129" s="528"/>
      <c r="X129" s="528"/>
      <c r="Y129" s="528"/>
      <c r="Z129" s="528"/>
      <c r="AA129" s="528"/>
      <c r="AB129" s="528"/>
      <c r="AC129" s="528"/>
      <c r="AD129" s="527"/>
      <c r="AE129" s="528"/>
      <c r="AF129" s="528"/>
      <c r="AG129" s="528"/>
      <c r="AH129" s="528"/>
      <c r="AI129" s="528"/>
      <c r="AJ129" s="528"/>
      <c r="AK129" s="541"/>
      <c r="AL129" s="527"/>
      <c r="AM129" s="528"/>
      <c r="AN129" s="528"/>
      <c r="AO129" s="528"/>
      <c r="AP129" s="528"/>
      <c r="AQ129" s="528"/>
      <c r="AR129" s="541"/>
      <c r="AS129" s="546"/>
      <c r="AT129" s="547"/>
      <c r="AU129" s="547"/>
      <c r="AV129" s="547"/>
      <c r="AW129" s="547"/>
      <c r="AX129" s="547"/>
      <c r="AY129" s="548"/>
      <c r="AZ129" s="493"/>
      <c r="BA129" s="494"/>
      <c r="BB129" s="105">
        <v>5</v>
      </c>
      <c r="BC129" s="483"/>
      <c r="BD129" s="484"/>
      <c r="BE129" s="484"/>
      <c r="BF129" s="485"/>
      <c r="BG129" s="486"/>
      <c r="BH129" s="487"/>
      <c r="BI129" s="224"/>
      <c r="BJ129" s="488"/>
      <c r="BK129" s="489"/>
      <c r="BL129" s="489"/>
      <c r="BM129" s="489"/>
      <c r="BN129" s="489"/>
      <c r="BO129" s="490"/>
      <c r="BP129" s="488"/>
      <c r="BQ129" s="489"/>
      <c r="BR129" s="489"/>
      <c r="BS129" s="489"/>
      <c r="BT129" s="489"/>
      <c r="BU129" s="490"/>
      <c r="BV129" s="488"/>
      <c r="BW129" s="489"/>
      <c r="BX129" s="489"/>
      <c r="BY129" s="489"/>
      <c r="BZ129" s="489"/>
      <c r="CA129" s="490"/>
      <c r="CB129" s="483"/>
      <c r="CC129" s="484"/>
      <c r="CD129" s="484"/>
      <c r="CE129" s="485"/>
      <c r="CF129" s="477"/>
      <c r="CG129" s="478"/>
      <c r="CH129" s="478"/>
      <c r="CI129" s="478"/>
      <c r="CJ129" s="479"/>
      <c r="CK129" s="477"/>
      <c r="CL129" s="478"/>
      <c r="CM129" s="478"/>
      <c r="CN129" s="478"/>
      <c r="CO129" s="479"/>
      <c r="CP129" s="477"/>
      <c r="CQ129" s="478"/>
      <c r="CR129" s="478"/>
      <c r="CS129" s="478"/>
      <c r="CT129" s="479"/>
      <c r="CU129" s="480"/>
      <c r="CV129" s="481"/>
      <c r="CW129" s="481"/>
      <c r="CX129" s="481"/>
      <c r="CY129" s="482"/>
    </row>
    <row r="130" spans="1:103" s="91" customFormat="1" ht="27.75" customHeight="1" x14ac:dyDescent="0.15">
      <c r="A130" s="518"/>
      <c r="B130" s="107"/>
      <c r="C130" s="219" t="str">
        <f t="shared" ca="1" si="3"/>
        <v>@</v>
      </c>
      <c r="D130" s="523"/>
      <c r="E130" s="524"/>
      <c r="F130" s="524"/>
      <c r="G130" s="524"/>
      <c r="H130" s="524"/>
      <c r="I130" s="524"/>
      <c r="J130" s="524"/>
      <c r="K130" s="529"/>
      <c r="L130" s="530"/>
      <c r="M130" s="530"/>
      <c r="N130" s="530"/>
      <c r="O130" s="530"/>
      <c r="P130" s="530"/>
      <c r="Q130" s="530"/>
      <c r="R130" s="535"/>
      <c r="S130" s="536"/>
      <c r="T130" s="535"/>
      <c r="U130" s="537"/>
      <c r="V130" s="529"/>
      <c r="W130" s="539"/>
      <c r="X130" s="539"/>
      <c r="Y130" s="539"/>
      <c r="Z130" s="539"/>
      <c r="AA130" s="539"/>
      <c r="AB130" s="539"/>
      <c r="AC130" s="539"/>
      <c r="AD130" s="529"/>
      <c r="AE130" s="539"/>
      <c r="AF130" s="539"/>
      <c r="AG130" s="539"/>
      <c r="AH130" s="539"/>
      <c r="AI130" s="539"/>
      <c r="AJ130" s="539"/>
      <c r="AK130" s="542"/>
      <c r="AL130" s="529"/>
      <c r="AM130" s="539"/>
      <c r="AN130" s="539"/>
      <c r="AO130" s="539"/>
      <c r="AP130" s="539"/>
      <c r="AQ130" s="539"/>
      <c r="AR130" s="542"/>
      <c r="AS130" s="549"/>
      <c r="AT130" s="550"/>
      <c r="AU130" s="550"/>
      <c r="AV130" s="550"/>
      <c r="AW130" s="550"/>
      <c r="AX130" s="550"/>
      <c r="AY130" s="551"/>
      <c r="AZ130" s="495"/>
      <c r="BA130" s="496"/>
      <c r="BB130" s="108">
        <v>6</v>
      </c>
      <c r="BC130" s="505"/>
      <c r="BD130" s="506"/>
      <c r="BE130" s="506"/>
      <c r="BF130" s="507"/>
      <c r="BG130" s="508"/>
      <c r="BH130" s="509"/>
      <c r="BI130" s="227"/>
      <c r="BJ130" s="510"/>
      <c r="BK130" s="511"/>
      <c r="BL130" s="511"/>
      <c r="BM130" s="511"/>
      <c r="BN130" s="511"/>
      <c r="BO130" s="512"/>
      <c r="BP130" s="510"/>
      <c r="BQ130" s="511"/>
      <c r="BR130" s="511"/>
      <c r="BS130" s="511"/>
      <c r="BT130" s="511"/>
      <c r="BU130" s="512"/>
      <c r="BV130" s="510"/>
      <c r="BW130" s="511"/>
      <c r="BX130" s="511"/>
      <c r="BY130" s="511"/>
      <c r="BZ130" s="511"/>
      <c r="CA130" s="512"/>
      <c r="CB130" s="513"/>
      <c r="CC130" s="514"/>
      <c r="CD130" s="514"/>
      <c r="CE130" s="515"/>
      <c r="CF130" s="477"/>
      <c r="CG130" s="478"/>
      <c r="CH130" s="478"/>
      <c r="CI130" s="478"/>
      <c r="CJ130" s="479"/>
      <c r="CK130" s="477"/>
      <c r="CL130" s="478"/>
      <c r="CM130" s="478"/>
      <c r="CN130" s="478"/>
      <c r="CO130" s="479"/>
      <c r="CP130" s="477"/>
      <c r="CQ130" s="478"/>
      <c r="CR130" s="478"/>
      <c r="CS130" s="478"/>
      <c r="CT130" s="479"/>
      <c r="CU130" s="480"/>
      <c r="CV130" s="481"/>
      <c r="CW130" s="481"/>
      <c r="CX130" s="481"/>
      <c r="CY130" s="482"/>
    </row>
    <row r="131" spans="1:103" s="91" customFormat="1" ht="16.149999999999999" customHeight="1" x14ac:dyDescent="0.15">
      <c r="A131" s="516">
        <v>21</v>
      </c>
      <c r="B131" s="102"/>
      <c r="C131" s="222" t="str">
        <f t="shared" ca="1" si="3"/>
        <v>@</v>
      </c>
      <c r="D131" s="519" t="s">
        <v>579</v>
      </c>
      <c r="E131" s="520"/>
      <c r="F131" s="520"/>
      <c r="G131" s="520"/>
      <c r="H131" s="520"/>
      <c r="I131" s="520"/>
      <c r="J131" s="520"/>
      <c r="K131" s="525" t="s">
        <v>612</v>
      </c>
      <c r="L131" s="526"/>
      <c r="M131" s="526"/>
      <c r="N131" s="526"/>
      <c r="O131" s="526"/>
      <c r="P131" s="526"/>
      <c r="Q131" s="526"/>
      <c r="R131" s="531"/>
      <c r="S131" s="532"/>
      <c r="T131" s="531" t="s">
        <v>603</v>
      </c>
      <c r="U131" s="532"/>
      <c r="V131" s="525" t="s">
        <v>613</v>
      </c>
      <c r="W131" s="538"/>
      <c r="X131" s="538"/>
      <c r="Y131" s="538"/>
      <c r="Z131" s="538"/>
      <c r="AA131" s="538"/>
      <c r="AB131" s="538"/>
      <c r="AC131" s="538"/>
      <c r="AD131" s="525" t="s">
        <v>614</v>
      </c>
      <c r="AE131" s="526"/>
      <c r="AF131" s="526"/>
      <c r="AG131" s="526"/>
      <c r="AH131" s="526"/>
      <c r="AI131" s="526"/>
      <c r="AJ131" s="526"/>
      <c r="AK131" s="540"/>
      <c r="AL131" s="525"/>
      <c r="AM131" s="538"/>
      <c r="AN131" s="538"/>
      <c r="AO131" s="538"/>
      <c r="AP131" s="538"/>
      <c r="AQ131" s="538"/>
      <c r="AR131" s="540"/>
      <c r="AS131" s="543"/>
      <c r="AT131" s="544"/>
      <c r="AU131" s="544"/>
      <c r="AV131" s="544"/>
      <c r="AW131" s="544"/>
      <c r="AX131" s="544"/>
      <c r="AY131" s="545"/>
      <c r="AZ131" s="491"/>
      <c r="BA131" s="492"/>
      <c r="BB131" s="103">
        <v>1</v>
      </c>
      <c r="BC131" s="497"/>
      <c r="BD131" s="498"/>
      <c r="BE131" s="498"/>
      <c r="BF131" s="499"/>
      <c r="BG131" s="500" t="s">
        <v>568</v>
      </c>
      <c r="BH131" s="501"/>
      <c r="BI131" s="226"/>
      <c r="BJ131" s="502"/>
      <c r="BK131" s="503"/>
      <c r="BL131" s="503"/>
      <c r="BM131" s="503"/>
      <c r="BN131" s="503"/>
      <c r="BO131" s="504"/>
      <c r="BP131" s="502"/>
      <c r="BQ131" s="503"/>
      <c r="BR131" s="503"/>
      <c r="BS131" s="503"/>
      <c r="BT131" s="503"/>
      <c r="BU131" s="504"/>
      <c r="BV131" s="502"/>
      <c r="BW131" s="503"/>
      <c r="BX131" s="503"/>
      <c r="BY131" s="503"/>
      <c r="BZ131" s="503"/>
      <c r="CA131" s="504"/>
      <c r="CB131" s="497"/>
      <c r="CC131" s="498"/>
      <c r="CD131" s="498"/>
      <c r="CE131" s="499"/>
      <c r="CF131" s="477"/>
      <c r="CG131" s="478"/>
      <c r="CH131" s="478"/>
      <c r="CI131" s="478"/>
      <c r="CJ131" s="479"/>
      <c r="CK131" s="477"/>
      <c r="CL131" s="478"/>
      <c r="CM131" s="478"/>
      <c r="CN131" s="478"/>
      <c r="CO131" s="479"/>
      <c r="CP131" s="477"/>
      <c r="CQ131" s="478"/>
      <c r="CR131" s="478"/>
      <c r="CS131" s="478"/>
      <c r="CT131" s="479"/>
      <c r="CU131" s="480"/>
      <c r="CV131" s="481"/>
      <c r="CW131" s="481"/>
      <c r="CX131" s="481"/>
      <c r="CY131" s="482"/>
    </row>
    <row r="132" spans="1:103" s="91" customFormat="1" ht="16.5" x14ac:dyDescent="0.15">
      <c r="A132" s="517"/>
      <c r="B132" s="102"/>
      <c r="C132" s="220" t="str">
        <f t="shared" ca="1" si="3"/>
        <v>@</v>
      </c>
      <c r="D132" s="521"/>
      <c r="E132" s="522"/>
      <c r="F132" s="522"/>
      <c r="G132" s="522"/>
      <c r="H132" s="522"/>
      <c r="I132" s="522"/>
      <c r="J132" s="522"/>
      <c r="K132" s="527"/>
      <c r="L132" s="528"/>
      <c r="M132" s="528"/>
      <c r="N132" s="528"/>
      <c r="O132" s="528"/>
      <c r="P132" s="528"/>
      <c r="Q132" s="528"/>
      <c r="R132" s="533"/>
      <c r="S132" s="534"/>
      <c r="T132" s="533"/>
      <c r="U132" s="534"/>
      <c r="V132" s="527"/>
      <c r="W132" s="528"/>
      <c r="X132" s="528"/>
      <c r="Y132" s="528"/>
      <c r="Z132" s="528"/>
      <c r="AA132" s="528"/>
      <c r="AB132" s="528"/>
      <c r="AC132" s="528"/>
      <c r="AD132" s="527"/>
      <c r="AE132" s="528"/>
      <c r="AF132" s="528"/>
      <c r="AG132" s="528"/>
      <c r="AH132" s="528"/>
      <c r="AI132" s="528"/>
      <c r="AJ132" s="528"/>
      <c r="AK132" s="541"/>
      <c r="AL132" s="527"/>
      <c r="AM132" s="528"/>
      <c r="AN132" s="528"/>
      <c r="AO132" s="528"/>
      <c r="AP132" s="528"/>
      <c r="AQ132" s="528"/>
      <c r="AR132" s="541"/>
      <c r="AS132" s="546"/>
      <c r="AT132" s="547"/>
      <c r="AU132" s="547"/>
      <c r="AV132" s="547"/>
      <c r="AW132" s="547"/>
      <c r="AX132" s="547"/>
      <c r="AY132" s="548"/>
      <c r="AZ132" s="493"/>
      <c r="BA132" s="494"/>
      <c r="BB132" s="105">
        <v>2</v>
      </c>
      <c r="BC132" s="483"/>
      <c r="BD132" s="484"/>
      <c r="BE132" s="484"/>
      <c r="BF132" s="485"/>
      <c r="BG132" s="486"/>
      <c r="BH132" s="487"/>
      <c r="BI132" s="224"/>
      <c r="BJ132" s="488"/>
      <c r="BK132" s="489"/>
      <c r="BL132" s="489"/>
      <c r="BM132" s="489"/>
      <c r="BN132" s="489"/>
      <c r="BO132" s="490"/>
      <c r="BP132" s="488"/>
      <c r="BQ132" s="489"/>
      <c r="BR132" s="489"/>
      <c r="BS132" s="489"/>
      <c r="BT132" s="489"/>
      <c r="BU132" s="490"/>
      <c r="BV132" s="488"/>
      <c r="BW132" s="489"/>
      <c r="BX132" s="489"/>
      <c r="BY132" s="489"/>
      <c r="BZ132" s="489"/>
      <c r="CA132" s="490"/>
      <c r="CB132" s="483"/>
      <c r="CC132" s="484"/>
      <c r="CD132" s="484"/>
      <c r="CE132" s="485"/>
      <c r="CF132" s="477"/>
      <c r="CG132" s="478"/>
      <c r="CH132" s="478"/>
      <c r="CI132" s="478"/>
      <c r="CJ132" s="479"/>
      <c r="CK132" s="477"/>
      <c r="CL132" s="478"/>
      <c r="CM132" s="478"/>
      <c r="CN132" s="478"/>
      <c r="CO132" s="479"/>
      <c r="CP132" s="477"/>
      <c r="CQ132" s="478"/>
      <c r="CR132" s="478"/>
      <c r="CS132" s="478"/>
      <c r="CT132" s="479"/>
      <c r="CU132" s="480"/>
      <c r="CV132" s="481"/>
      <c r="CW132" s="481"/>
      <c r="CX132" s="481"/>
      <c r="CY132" s="482"/>
    </row>
    <row r="133" spans="1:103" s="91" customFormat="1" ht="16.5" x14ac:dyDescent="0.15">
      <c r="A133" s="517"/>
      <c r="B133" s="102"/>
      <c r="C133" s="220" t="str">
        <f t="shared" ca="1" si="3"/>
        <v>@</v>
      </c>
      <c r="D133" s="521"/>
      <c r="E133" s="522"/>
      <c r="F133" s="522"/>
      <c r="G133" s="522"/>
      <c r="H133" s="522"/>
      <c r="I133" s="522"/>
      <c r="J133" s="522"/>
      <c r="K133" s="527"/>
      <c r="L133" s="528"/>
      <c r="M133" s="528"/>
      <c r="N133" s="528"/>
      <c r="O133" s="528"/>
      <c r="P133" s="528"/>
      <c r="Q133" s="528"/>
      <c r="R133" s="533"/>
      <c r="S133" s="534"/>
      <c r="T133" s="533"/>
      <c r="U133" s="534"/>
      <c r="V133" s="527"/>
      <c r="W133" s="528"/>
      <c r="X133" s="528"/>
      <c r="Y133" s="528"/>
      <c r="Z133" s="528"/>
      <c r="AA133" s="528"/>
      <c r="AB133" s="528"/>
      <c r="AC133" s="528"/>
      <c r="AD133" s="527"/>
      <c r="AE133" s="528"/>
      <c r="AF133" s="528"/>
      <c r="AG133" s="528"/>
      <c r="AH133" s="528"/>
      <c r="AI133" s="528"/>
      <c r="AJ133" s="528"/>
      <c r="AK133" s="541"/>
      <c r="AL133" s="527"/>
      <c r="AM133" s="528"/>
      <c r="AN133" s="528"/>
      <c r="AO133" s="528"/>
      <c r="AP133" s="528"/>
      <c r="AQ133" s="528"/>
      <c r="AR133" s="541"/>
      <c r="AS133" s="546"/>
      <c r="AT133" s="547"/>
      <c r="AU133" s="547"/>
      <c r="AV133" s="547"/>
      <c r="AW133" s="547"/>
      <c r="AX133" s="547"/>
      <c r="AY133" s="548"/>
      <c r="AZ133" s="493"/>
      <c r="BA133" s="494"/>
      <c r="BB133" s="105">
        <v>3</v>
      </c>
      <c r="BC133" s="483"/>
      <c r="BD133" s="484"/>
      <c r="BE133" s="484"/>
      <c r="BF133" s="485"/>
      <c r="BG133" s="486"/>
      <c r="BH133" s="487"/>
      <c r="BI133" s="224"/>
      <c r="BJ133" s="488"/>
      <c r="BK133" s="489"/>
      <c r="BL133" s="489"/>
      <c r="BM133" s="489"/>
      <c r="BN133" s="489"/>
      <c r="BO133" s="490"/>
      <c r="BP133" s="488"/>
      <c r="BQ133" s="489"/>
      <c r="BR133" s="489"/>
      <c r="BS133" s="489"/>
      <c r="BT133" s="489"/>
      <c r="BU133" s="490"/>
      <c r="BV133" s="488"/>
      <c r="BW133" s="489"/>
      <c r="BX133" s="489"/>
      <c r="BY133" s="489"/>
      <c r="BZ133" s="489"/>
      <c r="CA133" s="490"/>
      <c r="CB133" s="483"/>
      <c r="CC133" s="484"/>
      <c r="CD133" s="484"/>
      <c r="CE133" s="485"/>
      <c r="CF133" s="477"/>
      <c r="CG133" s="478"/>
      <c r="CH133" s="478"/>
      <c r="CI133" s="478"/>
      <c r="CJ133" s="479"/>
      <c r="CK133" s="477"/>
      <c r="CL133" s="478"/>
      <c r="CM133" s="478"/>
      <c r="CN133" s="478"/>
      <c r="CO133" s="479"/>
      <c r="CP133" s="477"/>
      <c r="CQ133" s="478"/>
      <c r="CR133" s="478"/>
      <c r="CS133" s="478"/>
      <c r="CT133" s="479"/>
      <c r="CU133" s="480"/>
      <c r="CV133" s="481"/>
      <c r="CW133" s="481"/>
      <c r="CX133" s="481"/>
      <c r="CY133" s="482"/>
    </row>
    <row r="134" spans="1:103" s="91" customFormat="1" ht="16.5" x14ac:dyDescent="0.15">
      <c r="A134" s="517"/>
      <c r="B134" s="102"/>
      <c r="C134" s="220" t="str">
        <f t="shared" ca="1" si="3"/>
        <v>@</v>
      </c>
      <c r="D134" s="521"/>
      <c r="E134" s="522"/>
      <c r="F134" s="522"/>
      <c r="G134" s="522"/>
      <c r="H134" s="522"/>
      <c r="I134" s="522"/>
      <c r="J134" s="522"/>
      <c r="K134" s="527"/>
      <c r="L134" s="528"/>
      <c r="M134" s="528"/>
      <c r="N134" s="528"/>
      <c r="O134" s="528"/>
      <c r="P134" s="528"/>
      <c r="Q134" s="528"/>
      <c r="R134" s="533"/>
      <c r="S134" s="534"/>
      <c r="T134" s="533"/>
      <c r="U134" s="534"/>
      <c r="V134" s="527"/>
      <c r="W134" s="528"/>
      <c r="X134" s="528"/>
      <c r="Y134" s="528"/>
      <c r="Z134" s="528"/>
      <c r="AA134" s="528"/>
      <c r="AB134" s="528"/>
      <c r="AC134" s="528"/>
      <c r="AD134" s="527"/>
      <c r="AE134" s="528"/>
      <c r="AF134" s="528"/>
      <c r="AG134" s="528"/>
      <c r="AH134" s="528"/>
      <c r="AI134" s="528"/>
      <c r="AJ134" s="528"/>
      <c r="AK134" s="541"/>
      <c r="AL134" s="527"/>
      <c r="AM134" s="528"/>
      <c r="AN134" s="528"/>
      <c r="AO134" s="528"/>
      <c r="AP134" s="528"/>
      <c r="AQ134" s="528"/>
      <c r="AR134" s="541"/>
      <c r="AS134" s="546"/>
      <c r="AT134" s="547"/>
      <c r="AU134" s="547"/>
      <c r="AV134" s="547"/>
      <c r="AW134" s="547"/>
      <c r="AX134" s="547"/>
      <c r="AY134" s="548"/>
      <c r="AZ134" s="493"/>
      <c r="BA134" s="494"/>
      <c r="BB134" s="105">
        <v>4</v>
      </c>
      <c r="BC134" s="483"/>
      <c r="BD134" s="484"/>
      <c r="BE134" s="484"/>
      <c r="BF134" s="485"/>
      <c r="BG134" s="486"/>
      <c r="BH134" s="487"/>
      <c r="BI134" s="224"/>
      <c r="BJ134" s="488"/>
      <c r="BK134" s="489"/>
      <c r="BL134" s="489"/>
      <c r="BM134" s="489"/>
      <c r="BN134" s="489"/>
      <c r="BO134" s="490"/>
      <c r="BP134" s="488"/>
      <c r="BQ134" s="489"/>
      <c r="BR134" s="489"/>
      <c r="BS134" s="489"/>
      <c r="BT134" s="489"/>
      <c r="BU134" s="490"/>
      <c r="BV134" s="488"/>
      <c r="BW134" s="489"/>
      <c r="BX134" s="489"/>
      <c r="BY134" s="489"/>
      <c r="BZ134" s="489"/>
      <c r="CA134" s="490"/>
      <c r="CB134" s="483"/>
      <c r="CC134" s="484"/>
      <c r="CD134" s="484"/>
      <c r="CE134" s="485"/>
      <c r="CF134" s="477"/>
      <c r="CG134" s="478"/>
      <c r="CH134" s="478"/>
      <c r="CI134" s="478"/>
      <c r="CJ134" s="479"/>
      <c r="CK134" s="477"/>
      <c r="CL134" s="478"/>
      <c r="CM134" s="478"/>
      <c r="CN134" s="478"/>
      <c r="CO134" s="479"/>
      <c r="CP134" s="477"/>
      <c r="CQ134" s="478"/>
      <c r="CR134" s="478"/>
      <c r="CS134" s="478"/>
      <c r="CT134" s="479"/>
      <c r="CU134" s="480"/>
      <c r="CV134" s="481"/>
      <c r="CW134" s="481"/>
      <c r="CX134" s="481"/>
      <c r="CY134" s="482"/>
    </row>
    <row r="135" spans="1:103" s="91" customFormat="1" ht="16.5" x14ac:dyDescent="0.15">
      <c r="A135" s="517"/>
      <c r="B135" s="102"/>
      <c r="C135" s="220" t="str">
        <f t="shared" ca="1" si="3"/>
        <v>@</v>
      </c>
      <c r="D135" s="521"/>
      <c r="E135" s="522"/>
      <c r="F135" s="522"/>
      <c r="G135" s="522"/>
      <c r="H135" s="522"/>
      <c r="I135" s="522"/>
      <c r="J135" s="522"/>
      <c r="K135" s="527"/>
      <c r="L135" s="528"/>
      <c r="M135" s="528"/>
      <c r="N135" s="528"/>
      <c r="O135" s="528"/>
      <c r="P135" s="528"/>
      <c r="Q135" s="528"/>
      <c r="R135" s="533"/>
      <c r="S135" s="534"/>
      <c r="T135" s="533"/>
      <c r="U135" s="534"/>
      <c r="V135" s="527"/>
      <c r="W135" s="528"/>
      <c r="X135" s="528"/>
      <c r="Y135" s="528"/>
      <c r="Z135" s="528"/>
      <c r="AA135" s="528"/>
      <c r="AB135" s="528"/>
      <c r="AC135" s="528"/>
      <c r="AD135" s="527"/>
      <c r="AE135" s="528"/>
      <c r="AF135" s="528"/>
      <c r="AG135" s="528"/>
      <c r="AH135" s="528"/>
      <c r="AI135" s="528"/>
      <c r="AJ135" s="528"/>
      <c r="AK135" s="541"/>
      <c r="AL135" s="527"/>
      <c r="AM135" s="528"/>
      <c r="AN135" s="528"/>
      <c r="AO135" s="528"/>
      <c r="AP135" s="528"/>
      <c r="AQ135" s="528"/>
      <c r="AR135" s="541"/>
      <c r="AS135" s="546"/>
      <c r="AT135" s="547"/>
      <c r="AU135" s="547"/>
      <c r="AV135" s="547"/>
      <c r="AW135" s="547"/>
      <c r="AX135" s="547"/>
      <c r="AY135" s="548"/>
      <c r="AZ135" s="493"/>
      <c r="BA135" s="494"/>
      <c r="BB135" s="105">
        <v>5</v>
      </c>
      <c r="BC135" s="483"/>
      <c r="BD135" s="484"/>
      <c r="BE135" s="484"/>
      <c r="BF135" s="485"/>
      <c r="BG135" s="486"/>
      <c r="BH135" s="487"/>
      <c r="BI135" s="224"/>
      <c r="BJ135" s="488"/>
      <c r="BK135" s="489"/>
      <c r="BL135" s="489"/>
      <c r="BM135" s="489"/>
      <c r="BN135" s="489"/>
      <c r="BO135" s="490"/>
      <c r="BP135" s="488"/>
      <c r="BQ135" s="489"/>
      <c r="BR135" s="489"/>
      <c r="BS135" s="489"/>
      <c r="BT135" s="489"/>
      <c r="BU135" s="490"/>
      <c r="BV135" s="488"/>
      <c r="BW135" s="489"/>
      <c r="BX135" s="489"/>
      <c r="BY135" s="489"/>
      <c r="BZ135" s="489"/>
      <c r="CA135" s="490"/>
      <c r="CB135" s="483"/>
      <c r="CC135" s="484"/>
      <c r="CD135" s="484"/>
      <c r="CE135" s="485"/>
      <c r="CF135" s="477"/>
      <c r="CG135" s="478"/>
      <c r="CH135" s="478"/>
      <c r="CI135" s="478"/>
      <c r="CJ135" s="479"/>
      <c r="CK135" s="477"/>
      <c r="CL135" s="478"/>
      <c r="CM135" s="478"/>
      <c r="CN135" s="478"/>
      <c r="CO135" s="479"/>
      <c r="CP135" s="477"/>
      <c r="CQ135" s="478"/>
      <c r="CR135" s="478"/>
      <c r="CS135" s="478"/>
      <c r="CT135" s="479"/>
      <c r="CU135" s="480"/>
      <c r="CV135" s="481"/>
      <c r="CW135" s="481"/>
      <c r="CX135" s="481"/>
      <c r="CY135" s="482"/>
    </row>
    <row r="136" spans="1:103" s="91" customFormat="1" ht="16.5" x14ac:dyDescent="0.15">
      <c r="A136" s="518"/>
      <c r="B136" s="107"/>
      <c r="C136" s="220" t="str">
        <f t="shared" ca="1" si="3"/>
        <v>@</v>
      </c>
      <c r="D136" s="523"/>
      <c r="E136" s="524"/>
      <c r="F136" s="524"/>
      <c r="G136" s="524"/>
      <c r="H136" s="524"/>
      <c r="I136" s="524"/>
      <c r="J136" s="524"/>
      <c r="K136" s="529"/>
      <c r="L136" s="530"/>
      <c r="M136" s="530"/>
      <c r="N136" s="530"/>
      <c r="O136" s="530"/>
      <c r="P136" s="530"/>
      <c r="Q136" s="530"/>
      <c r="R136" s="535"/>
      <c r="S136" s="536"/>
      <c r="T136" s="535"/>
      <c r="U136" s="537"/>
      <c r="V136" s="529"/>
      <c r="W136" s="539"/>
      <c r="X136" s="539"/>
      <c r="Y136" s="539"/>
      <c r="Z136" s="539"/>
      <c r="AA136" s="539"/>
      <c r="AB136" s="539"/>
      <c r="AC136" s="539"/>
      <c r="AD136" s="529"/>
      <c r="AE136" s="530"/>
      <c r="AF136" s="530"/>
      <c r="AG136" s="530"/>
      <c r="AH136" s="530"/>
      <c r="AI136" s="530"/>
      <c r="AJ136" s="530"/>
      <c r="AK136" s="555"/>
      <c r="AL136" s="529"/>
      <c r="AM136" s="539"/>
      <c r="AN136" s="539"/>
      <c r="AO136" s="539"/>
      <c r="AP136" s="539"/>
      <c r="AQ136" s="539"/>
      <c r="AR136" s="542"/>
      <c r="AS136" s="549"/>
      <c r="AT136" s="550"/>
      <c r="AU136" s="550"/>
      <c r="AV136" s="550"/>
      <c r="AW136" s="550"/>
      <c r="AX136" s="550"/>
      <c r="AY136" s="551"/>
      <c r="AZ136" s="495"/>
      <c r="BA136" s="496"/>
      <c r="BB136" s="108">
        <v>6</v>
      </c>
      <c r="BC136" s="505"/>
      <c r="BD136" s="506"/>
      <c r="BE136" s="506"/>
      <c r="BF136" s="507"/>
      <c r="BG136" s="508"/>
      <c r="BH136" s="509"/>
      <c r="BI136" s="227"/>
      <c r="BJ136" s="510"/>
      <c r="BK136" s="511"/>
      <c r="BL136" s="511"/>
      <c r="BM136" s="511"/>
      <c r="BN136" s="511"/>
      <c r="BO136" s="512"/>
      <c r="BP136" s="510"/>
      <c r="BQ136" s="511"/>
      <c r="BR136" s="511"/>
      <c r="BS136" s="511"/>
      <c r="BT136" s="511"/>
      <c r="BU136" s="512"/>
      <c r="BV136" s="510"/>
      <c r="BW136" s="511"/>
      <c r="BX136" s="511"/>
      <c r="BY136" s="511"/>
      <c r="BZ136" s="511"/>
      <c r="CA136" s="512"/>
      <c r="CB136" s="513"/>
      <c r="CC136" s="514"/>
      <c r="CD136" s="514"/>
      <c r="CE136" s="515"/>
      <c r="CF136" s="477"/>
      <c r="CG136" s="478"/>
      <c r="CH136" s="478"/>
      <c r="CI136" s="478"/>
      <c r="CJ136" s="479"/>
      <c r="CK136" s="477"/>
      <c r="CL136" s="478"/>
      <c r="CM136" s="478"/>
      <c r="CN136" s="478"/>
      <c r="CO136" s="479"/>
      <c r="CP136" s="477"/>
      <c r="CQ136" s="478"/>
      <c r="CR136" s="478"/>
      <c r="CS136" s="478"/>
      <c r="CT136" s="479"/>
      <c r="CU136" s="480"/>
      <c r="CV136" s="481"/>
      <c r="CW136" s="481"/>
      <c r="CX136" s="481"/>
      <c r="CY136" s="482"/>
    </row>
    <row r="137" spans="1:103" s="91" customFormat="1" ht="16.149999999999999" customHeight="1" x14ac:dyDescent="0.15">
      <c r="A137" s="516">
        <v>22</v>
      </c>
      <c r="B137" s="102"/>
      <c r="C137" s="220" t="str">
        <f t="shared" ca="1" si="3"/>
        <v>@</v>
      </c>
      <c r="D137" s="519" t="s">
        <v>579</v>
      </c>
      <c r="E137" s="520"/>
      <c r="F137" s="520"/>
      <c r="G137" s="520"/>
      <c r="H137" s="520"/>
      <c r="I137" s="520"/>
      <c r="J137" s="520"/>
      <c r="K137" s="525" t="s">
        <v>617</v>
      </c>
      <c r="L137" s="526"/>
      <c r="M137" s="526"/>
      <c r="N137" s="526"/>
      <c r="O137" s="526"/>
      <c r="P137" s="526"/>
      <c r="Q137" s="526"/>
      <c r="R137" s="531"/>
      <c r="S137" s="532"/>
      <c r="T137" s="531" t="s">
        <v>284</v>
      </c>
      <c r="U137" s="532"/>
      <c r="V137" s="525" t="s">
        <v>615</v>
      </c>
      <c r="W137" s="538"/>
      <c r="X137" s="538"/>
      <c r="Y137" s="538"/>
      <c r="Z137" s="538"/>
      <c r="AA137" s="538"/>
      <c r="AB137" s="538"/>
      <c r="AC137" s="538"/>
      <c r="AD137" s="525" t="s">
        <v>616</v>
      </c>
      <c r="AE137" s="526"/>
      <c r="AF137" s="526"/>
      <c r="AG137" s="526"/>
      <c r="AH137" s="526"/>
      <c r="AI137" s="526"/>
      <c r="AJ137" s="526"/>
      <c r="AK137" s="540"/>
      <c r="AL137" s="525"/>
      <c r="AM137" s="538"/>
      <c r="AN137" s="538"/>
      <c r="AO137" s="538"/>
      <c r="AP137" s="538"/>
      <c r="AQ137" s="538"/>
      <c r="AR137" s="540"/>
      <c r="AS137" s="543"/>
      <c r="AT137" s="544"/>
      <c r="AU137" s="544"/>
      <c r="AV137" s="544"/>
      <c r="AW137" s="544"/>
      <c r="AX137" s="544"/>
      <c r="AY137" s="545"/>
      <c r="AZ137" s="491"/>
      <c r="BA137" s="492"/>
      <c r="BB137" s="103">
        <v>1</v>
      </c>
      <c r="BC137" s="497"/>
      <c r="BD137" s="498"/>
      <c r="BE137" s="498"/>
      <c r="BF137" s="499"/>
      <c r="BG137" s="500" t="s">
        <v>568</v>
      </c>
      <c r="BH137" s="501"/>
      <c r="BI137" s="226"/>
      <c r="BJ137" s="502"/>
      <c r="BK137" s="503"/>
      <c r="BL137" s="503"/>
      <c r="BM137" s="503"/>
      <c r="BN137" s="503"/>
      <c r="BO137" s="504"/>
      <c r="BP137" s="502"/>
      <c r="BQ137" s="503"/>
      <c r="BR137" s="503"/>
      <c r="BS137" s="503"/>
      <c r="BT137" s="503"/>
      <c r="BU137" s="504"/>
      <c r="BV137" s="502"/>
      <c r="BW137" s="503"/>
      <c r="BX137" s="503"/>
      <c r="BY137" s="503"/>
      <c r="BZ137" s="503"/>
      <c r="CA137" s="504"/>
      <c r="CB137" s="552"/>
      <c r="CC137" s="553"/>
      <c r="CD137" s="553"/>
      <c r="CE137" s="554"/>
      <c r="CF137" s="477"/>
      <c r="CG137" s="478"/>
      <c r="CH137" s="478"/>
      <c r="CI137" s="478"/>
      <c r="CJ137" s="479"/>
      <c r="CK137" s="477"/>
      <c r="CL137" s="478"/>
      <c r="CM137" s="478"/>
      <c r="CN137" s="478"/>
      <c r="CO137" s="479"/>
      <c r="CP137" s="477"/>
      <c r="CQ137" s="478"/>
      <c r="CR137" s="478"/>
      <c r="CS137" s="478"/>
      <c r="CT137" s="479"/>
      <c r="CU137" s="477"/>
      <c r="CV137" s="481"/>
      <c r="CW137" s="481"/>
      <c r="CX137" s="481"/>
      <c r="CY137" s="482"/>
    </row>
    <row r="138" spans="1:103" s="91" customFormat="1" ht="16.5" x14ac:dyDescent="0.15">
      <c r="A138" s="517"/>
      <c r="B138" s="102"/>
      <c r="C138" s="220" t="str">
        <f t="shared" ca="1" si="3"/>
        <v>@</v>
      </c>
      <c r="D138" s="521"/>
      <c r="E138" s="522"/>
      <c r="F138" s="522"/>
      <c r="G138" s="522"/>
      <c r="H138" s="522"/>
      <c r="I138" s="522"/>
      <c r="J138" s="522"/>
      <c r="K138" s="527"/>
      <c r="L138" s="528"/>
      <c r="M138" s="528"/>
      <c r="N138" s="528"/>
      <c r="O138" s="528"/>
      <c r="P138" s="528"/>
      <c r="Q138" s="528"/>
      <c r="R138" s="533"/>
      <c r="S138" s="534"/>
      <c r="T138" s="533"/>
      <c r="U138" s="534"/>
      <c r="V138" s="527"/>
      <c r="W138" s="528"/>
      <c r="X138" s="528"/>
      <c r="Y138" s="528"/>
      <c r="Z138" s="528"/>
      <c r="AA138" s="528"/>
      <c r="AB138" s="528"/>
      <c r="AC138" s="528"/>
      <c r="AD138" s="527"/>
      <c r="AE138" s="528"/>
      <c r="AF138" s="528"/>
      <c r="AG138" s="528"/>
      <c r="AH138" s="528"/>
      <c r="AI138" s="528"/>
      <c r="AJ138" s="528"/>
      <c r="AK138" s="541"/>
      <c r="AL138" s="527"/>
      <c r="AM138" s="528"/>
      <c r="AN138" s="528"/>
      <c r="AO138" s="528"/>
      <c r="AP138" s="528"/>
      <c r="AQ138" s="528"/>
      <c r="AR138" s="541"/>
      <c r="AS138" s="546"/>
      <c r="AT138" s="547"/>
      <c r="AU138" s="547"/>
      <c r="AV138" s="547"/>
      <c r="AW138" s="547"/>
      <c r="AX138" s="547"/>
      <c r="AY138" s="548"/>
      <c r="AZ138" s="493"/>
      <c r="BA138" s="494"/>
      <c r="BB138" s="105">
        <v>2</v>
      </c>
      <c r="BC138" s="483"/>
      <c r="BD138" s="484"/>
      <c r="BE138" s="484"/>
      <c r="BF138" s="485"/>
      <c r="BG138" s="486"/>
      <c r="BH138" s="487"/>
      <c r="BI138" s="224"/>
      <c r="BJ138" s="488"/>
      <c r="BK138" s="489"/>
      <c r="BL138" s="489"/>
      <c r="BM138" s="489"/>
      <c r="BN138" s="489"/>
      <c r="BO138" s="490"/>
      <c r="BP138" s="488"/>
      <c r="BQ138" s="489"/>
      <c r="BR138" s="489"/>
      <c r="BS138" s="489"/>
      <c r="BT138" s="489"/>
      <c r="BU138" s="490"/>
      <c r="BV138" s="488"/>
      <c r="BW138" s="489"/>
      <c r="BX138" s="489"/>
      <c r="BY138" s="489"/>
      <c r="BZ138" s="489"/>
      <c r="CA138" s="490"/>
      <c r="CB138" s="483"/>
      <c r="CC138" s="484"/>
      <c r="CD138" s="484"/>
      <c r="CE138" s="485"/>
      <c r="CF138" s="477"/>
      <c r="CG138" s="478"/>
      <c r="CH138" s="478"/>
      <c r="CI138" s="478"/>
      <c r="CJ138" s="479"/>
      <c r="CK138" s="477"/>
      <c r="CL138" s="478"/>
      <c r="CM138" s="478"/>
      <c r="CN138" s="478"/>
      <c r="CO138" s="479"/>
      <c r="CP138" s="477"/>
      <c r="CQ138" s="478"/>
      <c r="CR138" s="478"/>
      <c r="CS138" s="478"/>
      <c r="CT138" s="479"/>
      <c r="CU138" s="480"/>
      <c r="CV138" s="481"/>
      <c r="CW138" s="481"/>
      <c r="CX138" s="481"/>
      <c r="CY138" s="482"/>
    </row>
    <row r="139" spans="1:103" s="91" customFormat="1" ht="16.5" x14ac:dyDescent="0.15">
      <c r="A139" s="517"/>
      <c r="B139" s="102"/>
      <c r="C139" s="220" t="str">
        <f t="shared" ca="1" si="3"/>
        <v>@</v>
      </c>
      <c r="D139" s="521"/>
      <c r="E139" s="522"/>
      <c r="F139" s="522"/>
      <c r="G139" s="522"/>
      <c r="H139" s="522"/>
      <c r="I139" s="522"/>
      <c r="J139" s="522"/>
      <c r="K139" s="527"/>
      <c r="L139" s="528"/>
      <c r="M139" s="528"/>
      <c r="N139" s="528"/>
      <c r="O139" s="528"/>
      <c r="P139" s="528"/>
      <c r="Q139" s="528"/>
      <c r="R139" s="533"/>
      <c r="S139" s="534"/>
      <c r="T139" s="533"/>
      <c r="U139" s="534"/>
      <c r="V139" s="527"/>
      <c r="W139" s="528"/>
      <c r="X139" s="528"/>
      <c r="Y139" s="528"/>
      <c r="Z139" s="528"/>
      <c r="AA139" s="528"/>
      <c r="AB139" s="528"/>
      <c r="AC139" s="528"/>
      <c r="AD139" s="527"/>
      <c r="AE139" s="528"/>
      <c r="AF139" s="528"/>
      <c r="AG139" s="528"/>
      <c r="AH139" s="528"/>
      <c r="AI139" s="528"/>
      <c r="AJ139" s="528"/>
      <c r="AK139" s="541"/>
      <c r="AL139" s="527"/>
      <c r="AM139" s="528"/>
      <c r="AN139" s="528"/>
      <c r="AO139" s="528"/>
      <c r="AP139" s="528"/>
      <c r="AQ139" s="528"/>
      <c r="AR139" s="541"/>
      <c r="AS139" s="546"/>
      <c r="AT139" s="547"/>
      <c r="AU139" s="547"/>
      <c r="AV139" s="547"/>
      <c r="AW139" s="547"/>
      <c r="AX139" s="547"/>
      <c r="AY139" s="548"/>
      <c r="AZ139" s="493"/>
      <c r="BA139" s="494"/>
      <c r="BB139" s="105">
        <v>3</v>
      </c>
      <c r="BC139" s="483"/>
      <c r="BD139" s="484"/>
      <c r="BE139" s="484"/>
      <c r="BF139" s="485"/>
      <c r="BG139" s="486"/>
      <c r="BH139" s="487"/>
      <c r="BI139" s="224"/>
      <c r="BJ139" s="488"/>
      <c r="BK139" s="489"/>
      <c r="BL139" s="489"/>
      <c r="BM139" s="489"/>
      <c r="BN139" s="489"/>
      <c r="BO139" s="490"/>
      <c r="BP139" s="488"/>
      <c r="BQ139" s="489"/>
      <c r="BR139" s="489"/>
      <c r="BS139" s="489"/>
      <c r="BT139" s="489"/>
      <c r="BU139" s="490"/>
      <c r="BV139" s="488"/>
      <c r="BW139" s="489"/>
      <c r="BX139" s="489"/>
      <c r="BY139" s="489"/>
      <c r="BZ139" s="489"/>
      <c r="CA139" s="490"/>
      <c r="CB139" s="483"/>
      <c r="CC139" s="484"/>
      <c r="CD139" s="484"/>
      <c r="CE139" s="485"/>
      <c r="CF139" s="477"/>
      <c r="CG139" s="478"/>
      <c r="CH139" s="478"/>
      <c r="CI139" s="478"/>
      <c r="CJ139" s="479"/>
      <c r="CK139" s="477"/>
      <c r="CL139" s="478"/>
      <c r="CM139" s="478"/>
      <c r="CN139" s="478"/>
      <c r="CO139" s="479"/>
      <c r="CP139" s="477"/>
      <c r="CQ139" s="478"/>
      <c r="CR139" s="478"/>
      <c r="CS139" s="478"/>
      <c r="CT139" s="479"/>
      <c r="CU139" s="480"/>
      <c r="CV139" s="481"/>
      <c r="CW139" s="481"/>
      <c r="CX139" s="481"/>
      <c r="CY139" s="482"/>
    </row>
    <row r="140" spans="1:103" s="91" customFormat="1" ht="16.5" x14ac:dyDescent="0.15">
      <c r="A140" s="517"/>
      <c r="B140" s="102"/>
      <c r="C140" s="220" t="str">
        <f t="shared" ca="1" si="3"/>
        <v>@</v>
      </c>
      <c r="D140" s="521"/>
      <c r="E140" s="522"/>
      <c r="F140" s="522"/>
      <c r="G140" s="522"/>
      <c r="H140" s="522"/>
      <c r="I140" s="522"/>
      <c r="J140" s="522"/>
      <c r="K140" s="527"/>
      <c r="L140" s="528"/>
      <c r="M140" s="528"/>
      <c r="N140" s="528"/>
      <c r="O140" s="528"/>
      <c r="P140" s="528"/>
      <c r="Q140" s="528"/>
      <c r="R140" s="533"/>
      <c r="S140" s="534"/>
      <c r="T140" s="533"/>
      <c r="U140" s="534"/>
      <c r="V140" s="527"/>
      <c r="W140" s="528"/>
      <c r="X140" s="528"/>
      <c r="Y140" s="528"/>
      <c r="Z140" s="528"/>
      <c r="AA140" s="528"/>
      <c r="AB140" s="528"/>
      <c r="AC140" s="528"/>
      <c r="AD140" s="527"/>
      <c r="AE140" s="528"/>
      <c r="AF140" s="528"/>
      <c r="AG140" s="528"/>
      <c r="AH140" s="528"/>
      <c r="AI140" s="528"/>
      <c r="AJ140" s="528"/>
      <c r="AK140" s="541"/>
      <c r="AL140" s="527"/>
      <c r="AM140" s="528"/>
      <c r="AN140" s="528"/>
      <c r="AO140" s="528"/>
      <c r="AP140" s="528"/>
      <c r="AQ140" s="528"/>
      <c r="AR140" s="541"/>
      <c r="AS140" s="546"/>
      <c r="AT140" s="547"/>
      <c r="AU140" s="547"/>
      <c r="AV140" s="547"/>
      <c r="AW140" s="547"/>
      <c r="AX140" s="547"/>
      <c r="AY140" s="548"/>
      <c r="AZ140" s="493"/>
      <c r="BA140" s="494"/>
      <c r="BB140" s="105">
        <v>4</v>
      </c>
      <c r="BC140" s="483"/>
      <c r="BD140" s="484"/>
      <c r="BE140" s="484"/>
      <c r="BF140" s="485"/>
      <c r="BG140" s="486"/>
      <c r="BH140" s="487"/>
      <c r="BI140" s="224"/>
      <c r="BJ140" s="488"/>
      <c r="BK140" s="489"/>
      <c r="BL140" s="489"/>
      <c r="BM140" s="489"/>
      <c r="BN140" s="489"/>
      <c r="BO140" s="490"/>
      <c r="BP140" s="488"/>
      <c r="BQ140" s="489"/>
      <c r="BR140" s="489"/>
      <c r="BS140" s="489"/>
      <c r="BT140" s="489"/>
      <c r="BU140" s="490"/>
      <c r="BV140" s="488"/>
      <c r="BW140" s="489"/>
      <c r="BX140" s="489"/>
      <c r="BY140" s="489"/>
      <c r="BZ140" s="489"/>
      <c r="CA140" s="490"/>
      <c r="CB140" s="483"/>
      <c r="CC140" s="484"/>
      <c r="CD140" s="484"/>
      <c r="CE140" s="485"/>
      <c r="CF140" s="477"/>
      <c r="CG140" s="478"/>
      <c r="CH140" s="478"/>
      <c r="CI140" s="478"/>
      <c r="CJ140" s="479"/>
      <c r="CK140" s="477"/>
      <c r="CL140" s="478"/>
      <c r="CM140" s="478"/>
      <c r="CN140" s="478"/>
      <c r="CO140" s="479"/>
      <c r="CP140" s="477"/>
      <c r="CQ140" s="478"/>
      <c r="CR140" s="478"/>
      <c r="CS140" s="478"/>
      <c r="CT140" s="479"/>
      <c r="CU140" s="480"/>
      <c r="CV140" s="481"/>
      <c r="CW140" s="481"/>
      <c r="CX140" s="481"/>
      <c r="CY140" s="482"/>
    </row>
    <row r="141" spans="1:103" s="91" customFormat="1" ht="16.5" x14ac:dyDescent="0.15">
      <c r="A141" s="517"/>
      <c r="B141" s="102"/>
      <c r="C141" s="220" t="str">
        <f t="shared" ca="1" si="3"/>
        <v>@</v>
      </c>
      <c r="D141" s="521"/>
      <c r="E141" s="522"/>
      <c r="F141" s="522"/>
      <c r="G141" s="522"/>
      <c r="H141" s="522"/>
      <c r="I141" s="522"/>
      <c r="J141" s="522"/>
      <c r="K141" s="527"/>
      <c r="L141" s="528"/>
      <c r="M141" s="528"/>
      <c r="N141" s="528"/>
      <c r="O141" s="528"/>
      <c r="P141" s="528"/>
      <c r="Q141" s="528"/>
      <c r="R141" s="533"/>
      <c r="S141" s="534"/>
      <c r="T141" s="533"/>
      <c r="U141" s="534"/>
      <c r="V141" s="527"/>
      <c r="W141" s="528"/>
      <c r="X141" s="528"/>
      <c r="Y141" s="528"/>
      <c r="Z141" s="528"/>
      <c r="AA141" s="528"/>
      <c r="AB141" s="528"/>
      <c r="AC141" s="528"/>
      <c r="AD141" s="527"/>
      <c r="AE141" s="528"/>
      <c r="AF141" s="528"/>
      <c r="AG141" s="528"/>
      <c r="AH141" s="528"/>
      <c r="AI141" s="528"/>
      <c r="AJ141" s="528"/>
      <c r="AK141" s="541"/>
      <c r="AL141" s="527"/>
      <c r="AM141" s="528"/>
      <c r="AN141" s="528"/>
      <c r="AO141" s="528"/>
      <c r="AP141" s="528"/>
      <c r="AQ141" s="528"/>
      <c r="AR141" s="541"/>
      <c r="AS141" s="546"/>
      <c r="AT141" s="547"/>
      <c r="AU141" s="547"/>
      <c r="AV141" s="547"/>
      <c r="AW141" s="547"/>
      <c r="AX141" s="547"/>
      <c r="AY141" s="548"/>
      <c r="AZ141" s="493"/>
      <c r="BA141" s="494"/>
      <c r="BB141" s="105">
        <v>5</v>
      </c>
      <c r="BC141" s="483"/>
      <c r="BD141" s="484"/>
      <c r="BE141" s="484"/>
      <c r="BF141" s="485"/>
      <c r="BG141" s="486"/>
      <c r="BH141" s="487"/>
      <c r="BI141" s="224"/>
      <c r="BJ141" s="488"/>
      <c r="BK141" s="489"/>
      <c r="BL141" s="489"/>
      <c r="BM141" s="489"/>
      <c r="BN141" s="489"/>
      <c r="BO141" s="490"/>
      <c r="BP141" s="488"/>
      <c r="BQ141" s="489"/>
      <c r="BR141" s="489"/>
      <c r="BS141" s="489"/>
      <c r="BT141" s="489"/>
      <c r="BU141" s="490"/>
      <c r="BV141" s="488"/>
      <c r="BW141" s="489"/>
      <c r="BX141" s="489"/>
      <c r="BY141" s="489"/>
      <c r="BZ141" s="489"/>
      <c r="CA141" s="490"/>
      <c r="CB141" s="483"/>
      <c r="CC141" s="484"/>
      <c r="CD141" s="484"/>
      <c r="CE141" s="485"/>
      <c r="CF141" s="477"/>
      <c r="CG141" s="478"/>
      <c r="CH141" s="478"/>
      <c r="CI141" s="478"/>
      <c r="CJ141" s="479"/>
      <c r="CK141" s="477"/>
      <c r="CL141" s="478"/>
      <c r="CM141" s="478"/>
      <c r="CN141" s="478"/>
      <c r="CO141" s="479"/>
      <c r="CP141" s="477"/>
      <c r="CQ141" s="478"/>
      <c r="CR141" s="478"/>
      <c r="CS141" s="478"/>
      <c r="CT141" s="479"/>
      <c r="CU141" s="480"/>
      <c r="CV141" s="481"/>
      <c r="CW141" s="481"/>
      <c r="CX141" s="481"/>
      <c r="CY141" s="482"/>
    </row>
    <row r="142" spans="1:103" s="91" customFormat="1" ht="16.5" x14ac:dyDescent="0.15">
      <c r="A142" s="518"/>
      <c r="B142" s="107"/>
      <c r="C142" s="220" t="str">
        <f t="shared" ca="1" si="3"/>
        <v>@</v>
      </c>
      <c r="D142" s="523"/>
      <c r="E142" s="524"/>
      <c r="F142" s="524"/>
      <c r="G142" s="524"/>
      <c r="H142" s="524"/>
      <c r="I142" s="524"/>
      <c r="J142" s="524"/>
      <c r="K142" s="529"/>
      <c r="L142" s="530"/>
      <c r="M142" s="530"/>
      <c r="N142" s="530"/>
      <c r="O142" s="530"/>
      <c r="P142" s="530"/>
      <c r="Q142" s="530"/>
      <c r="R142" s="535"/>
      <c r="S142" s="536"/>
      <c r="T142" s="535"/>
      <c r="U142" s="537"/>
      <c r="V142" s="529"/>
      <c r="W142" s="539"/>
      <c r="X142" s="539"/>
      <c r="Y142" s="539"/>
      <c r="Z142" s="539"/>
      <c r="AA142" s="539"/>
      <c r="AB142" s="539"/>
      <c r="AC142" s="539"/>
      <c r="AD142" s="529"/>
      <c r="AE142" s="530"/>
      <c r="AF142" s="530"/>
      <c r="AG142" s="530"/>
      <c r="AH142" s="530"/>
      <c r="AI142" s="530"/>
      <c r="AJ142" s="530"/>
      <c r="AK142" s="555"/>
      <c r="AL142" s="529"/>
      <c r="AM142" s="539"/>
      <c r="AN142" s="539"/>
      <c r="AO142" s="539"/>
      <c r="AP142" s="539"/>
      <c r="AQ142" s="539"/>
      <c r="AR142" s="542"/>
      <c r="AS142" s="549"/>
      <c r="AT142" s="550"/>
      <c r="AU142" s="550"/>
      <c r="AV142" s="550"/>
      <c r="AW142" s="550"/>
      <c r="AX142" s="550"/>
      <c r="AY142" s="551"/>
      <c r="AZ142" s="495"/>
      <c r="BA142" s="496"/>
      <c r="BB142" s="108">
        <v>6</v>
      </c>
      <c r="BC142" s="505"/>
      <c r="BD142" s="506"/>
      <c r="BE142" s="506"/>
      <c r="BF142" s="507"/>
      <c r="BG142" s="508"/>
      <c r="BH142" s="509"/>
      <c r="BI142" s="225"/>
      <c r="BJ142" s="510"/>
      <c r="BK142" s="511"/>
      <c r="BL142" s="511"/>
      <c r="BM142" s="511"/>
      <c r="BN142" s="511"/>
      <c r="BO142" s="512"/>
      <c r="BP142" s="510"/>
      <c r="BQ142" s="511"/>
      <c r="BR142" s="511"/>
      <c r="BS142" s="511"/>
      <c r="BT142" s="511"/>
      <c r="BU142" s="512"/>
      <c r="BV142" s="510"/>
      <c r="BW142" s="511"/>
      <c r="BX142" s="511"/>
      <c r="BY142" s="511"/>
      <c r="BZ142" s="511"/>
      <c r="CA142" s="512"/>
      <c r="CB142" s="505"/>
      <c r="CC142" s="506"/>
      <c r="CD142" s="506"/>
      <c r="CE142" s="507"/>
      <c r="CF142" s="477"/>
      <c r="CG142" s="478"/>
      <c r="CH142" s="478"/>
      <c r="CI142" s="478"/>
      <c r="CJ142" s="479"/>
      <c r="CK142" s="477"/>
      <c r="CL142" s="478"/>
      <c r="CM142" s="478"/>
      <c r="CN142" s="478"/>
      <c r="CO142" s="479"/>
      <c r="CP142" s="477"/>
      <c r="CQ142" s="478"/>
      <c r="CR142" s="478"/>
      <c r="CS142" s="478"/>
      <c r="CT142" s="479"/>
      <c r="CU142" s="480"/>
      <c r="CV142" s="481"/>
      <c r="CW142" s="481"/>
      <c r="CX142" s="481"/>
      <c r="CY142" s="482"/>
    </row>
    <row r="143" spans="1:103" s="91" customFormat="1" ht="16.149999999999999" customHeight="1" x14ac:dyDescent="0.15">
      <c r="A143" s="516">
        <v>23</v>
      </c>
      <c r="B143" s="102"/>
      <c r="C143" s="216" t="str">
        <f t="shared" ca="1" si="3"/>
        <v>@</v>
      </c>
      <c r="D143" s="519" t="s">
        <v>579</v>
      </c>
      <c r="E143" s="520"/>
      <c r="F143" s="520"/>
      <c r="G143" s="520"/>
      <c r="H143" s="520"/>
      <c r="I143" s="520"/>
      <c r="J143" s="520"/>
      <c r="K143" s="525" t="s">
        <v>618</v>
      </c>
      <c r="L143" s="526"/>
      <c r="M143" s="526"/>
      <c r="N143" s="526"/>
      <c r="O143" s="526"/>
      <c r="P143" s="526"/>
      <c r="Q143" s="526"/>
      <c r="R143" s="531"/>
      <c r="S143" s="532"/>
      <c r="T143" s="531" t="s">
        <v>284</v>
      </c>
      <c r="U143" s="532"/>
      <c r="V143" s="525" t="s">
        <v>619</v>
      </c>
      <c r="W143" s="538"/>
      <c r="X143" s="538"/>
      <c r="Y143" s="538"/>
      <c r="Z143" s="538"/>
      <c r="AA143" s="538"/>
      <c r="AB143" s="538"/>
      <c r="AC143" s="538"/>
      <c r="AD143" s="525" t="s">
        <v>620</v>
      </c>
      <c r="AE143" s="538"/>
      <c r="AF143" s="538"/>
      <c r="AG143" s="538"/>
      <c r="AH143" s="538"/>
      <c r="AI143" s="538"/>
      <c r="AJ143" s="538"/>
      <c r="AK143" s="540"/>
      <c r="AL143" s="525"/>
      <c r="AM143" s="538"/>
      <c r="AN143" s="538"/>
      <c r="AO143" s="538"/>
      <c r="AP143" s="538"/>
      <c r="AQ143" s="538"/>
      <c r="AR143" s="540"/>
      <c r="AS143" s="543"/>
      <c r="AT143" s="544"/>
      <c r="AU143" s="544"/>
      <c r="AV143" s="544"/>
      <c r="AW143" s="544"/>
      <c r="AX143" s="544"/>
      <c r="AY143" s="545"/>
      <c r="AZ143" s="491" t="s">
        <v>797</v>
      </c>
      <c r="BA143" s="492"/>
      <c r="BB143" s="103">
        <v>1</v>
      </c>
      <c r="BC143" s="497">
        <v>44166</v>
      </c>
      <c r="BD143" s="498"/>
      <c r="BE143" s="498"/>
      <c r="BF143" s="499"/>
      <c r="BG143" s="500" t="s">
        <v>568</v>
      </c>
      <c r="BH143" s="501"/>
      <c r="BI143" s="226"/>
      <c r="BJ143" s="502"/>
      <c r="BK143" s="503"/>
      <c r="BL143" s="503"/>
      <c r="BM143" s="503"/>
      <c r="BN143" s="503"/>
      <c r="BO143" s="504"/>
      <c r="BP143" s="502"/>
      <c r="BQ143" s="503"/>
      <c r="BR143" s="503"/>
      <c r="BS143" s="503"/>
      <c r="BT143" s="503"/>
      <c r="BU143" s="504"/>
      <c r="BV143" s="502"/>
      <c r="BW143" s="503"/>
      <c r="BX143" s="503"/>
      <c r="BY143" s="503"/>
      <c r="BZ143" s="503"/>
      <c r="CA143" s="504"/>
      <c r="CB143" s="497"/>
      <c r="CC143" s="498"/>
      <c r="CD143" s="498"/>
      <c r="CE143" s="499"/>
      <c r="CF143" s="477"/>
      <c r="CG143" s="478"/>
      <c r="CH143" s="478"/>
      <c r="CI143" s="478"/>
      <c r="CJ143" s="479"/>
      <c r="CK143" s="477"/>
      <c r="CL143" s="478"/>
      <c r="CM143" s="478"/>
      <c r="CN143" s="478"/>
      <c r="CO143" s="479"/>
      <c r="CP143" s="477"/>
      <c r="CQ143" s="478"/>
      <c r="CR143" s="478"/>
      <c r="CS143" s="478"/>
      <c r="CT143" s="479"/>
      <c r="CU143" s="480"/>
      <c r="CV143" s="481"/>
      <c r="CW143" s="481"/>
      <c r="CX143" s="481"/>
      <c r="CY143" s="482"/>
    </row>
    <row r="144" spans="1:103" s="91" customFormat="1" ht="16.5" x14ac:dyDescent="0.15">
      <c r="A144" s="517"/>
      <c r="B144" s="102"/>
      <c r="C144" s="220" t="str">
        <f t="shared" ca="1" si="3"/>
        <v>@</v>
      </c>
      <c r="D144" s="521"/>
      <c r="E144" s="522"/>
      <c r="F144" s="522"/>
      <c r="G144" s="522"/>
      <c r="H144" s="522"/>
      <c r="I144" s="522"/>
      <c r="J144" s="522"/>
      <c r="K144" s="527"/>
      <c r="L144" s="528"/>
      <c r="M144" s="528"/>
      <c r="N144" s="528"/>
      <c r="O144" s="528"/>
      <c r="P144" s="528"/>
      <c r="Q144" s="528"/>
      <c r="R144" s="533"/>
      <c r="S144" s="534"/>
      <c r="T144" s="533"/>
      <c r="U144" s="534"/>
      <c r="V144" s="527"/>
      <c r="W144" s="528"/>
      <c r="X144" s="528"/>
      <c r="Y144" s="528"/>
      <c r="Z144" s="528"/>
      <c r="AA144" s="528"/>
      <c r="AB144" s="528"/>
      <c r="AC144" s="528"/>
      <c r="AD144" s="527"/>
      <c r="AE144" s="528"/>
      <c r="AF144" s="528"/>
      <c r="AG144" s="528"/>
      <c r="AH144" s="528"/>
      <c r="AI144" s="528"/>
      <c r="AJ144" s="528"/>
      <c r="AK144" s="541"/>
      <c r="AL144" s="527"/>
      <c r="AM144" s="528"/>
      <c r="AN144" s="528"/>
      <c r="AO144" s="528"/>
      <c r="AP144" s="528"/>
      <c r="AQ144" s="528"/>
      <c r="AR144" s="541"/>
      <c r="AS144" s="546"/>
      <c r="AT144" s="547"/>
      <c r="AU144" s="547"/>
      <c r="AV144" s="547"/>
      <c r="AW144" s="547"/>
      <c r="AX144" s="547"/>
      <c r="AY144" s="548"/>
      <c r="AZ144" s="493"/>
      <c r="BA144" s="494"/>
      <c r="BB144" s="105">
        <v>2</v>
      </c>
      <c r="BC144" s="483"/>
      <c r="BD144" s="484"/>
      <c r="BE144" s="484"/>
      <c r="BF144" s="485"/>
      <c r="BG144" s="486"/>
      <c r="BH144" s="487"/>
      <c r="BI144" s="224"/>
      <c r="BJ144" s="488"/>
      <c r="BK144" s="489"/>
      <c r="BL144" s="489"/>
      <c r="BM144" s="489"/>
      <c r="BN144" s="489"/>
      <c r="BO144" s="490"/>
      <c r="BP144" s="488"/>
      <c r="BQ144" s="489"/>
      <c r="BR144" s="489"/>
      <c r="BS144" s="489"/>
      <c r="BT144" s="489"/>
      <c r="BU144" s="490"/>
      <c r="BV144" s="488"/>
      <c r="BW144" s="489"/>
      <c r="BX144" s="489"/>
      <c r="BY144" s="489"/>
      <c r="BZ144" s="489"/>
      <c r="CA144" s="490"/>
      <c r="CB144" s="483"/>
      <c r="CC144" s="484"/>
      <c r="CD144" s="484"/>
      <c r="CE144" s="485"/>
      <c r="CF144" s="477"/>
      <c r="CG144" s="478"/>
      <c r="CH144" s="478"/>
      <c r="CI144" s="478"/>
      <c r="CJ144" s="479"/>
      <c r="CK144" s="477"/>
      <c r="CL144" s="478"/>
      <c r="CM144" s="478"/>
      <c r="CN144" s="478"/>
      <c r="CO144" s="479"/>
      <c r="CP144" s="477"/>
      <c r="CQ144" s="478"/>
      <c r="CR144" s="478"/>
      <c r="CS144" s="478"/>
      <c r="CT144" s="479"/>
      <c r="CU144" s="480"/>
      <c r="CV144" s="481"/>
      <c r="CW144" s="481"/>
      <c r="CX144" s="481"/>
      <c r="CY144" s="482"/>
    </row>
    <row r="145" spans="1:103" s="91" customFormat="1" ht="16.5" x14ac:dyDescent="0.15">
      <c r="A145" s="517"/>
      <c r="B145" s="102"/>
      <c r="C145" s="220" t="str">
        <f t="shared" ca="1" si="3"/>
        <v>@</v>
      </c>
      <c r="D145" s="521"/>
      <c r="E145" s="522"/>
      <c r="F145" s="522"/>
      <c r="G145" s="522"/>
      <c r="H145" s="522"/>
      <c r="I145" s="522"/>
      <c r="J145" s="522"/>
      <c r="K145" s="527"/>
      <c r="L145" s="528"/>
      <c r="M145" s="528"/>
      <c r="N145" s="528"/>
      <c r="O145" s="528"/>
      <c r="P145" s="528"/>
      <c r="Q145" s="528"/>
      <c r="R145" s="533"/>
      <c r="S145" s="534"/>
      <c r="T145" s="533"/>
      <c r="U145" s="534"/>
      <c r="V145" s="527"/>
      <c r="W145" s="528"/>
      <c r="X145" s="528"/>
      <c r="Y145" s="528"/>
      <c r="Z145" s="528"/>
      <c r="AA145" s="528"/>
      <c r="AB145" s="528"/>
      <c r="AC145" s="528"/>
      <c r="AD145" s="527"/>
      <c r="AE145" s="528"/>
      <c r="AF145" s="528"/>
      <c r="AG145" s="528"/>
      <c r="AH145" s="528"/>
      <c r="AI145" s="528"/>
      <c r="AJ145" s="528"/>
      <c r="AK145" s="541"/>
      <c r="AL145" s="527"/>
      <c r="AM145" s="528"/>
      <c r="AN145" s="528"/>
      <c r="AO145" s="528"/>
      <c r="AP145" s="528"/>
      <c r="AQ145" s="528"/>
      <c r="AR145" s="541"/>
      <c r="AS145" s="546"/>
      <c r="AT145" s="547"/>
      <c r="AU145" s="547"/>
      <c r="AV145" s="547"/>
      <c r="AW145" s="547"/>
      <c r="AX145" s="547"/>
      <c r="AY145" s="548"/>
      <c r="AZ145" s="493"/>
      <c r="BA145" s="494"/>
      <c r="BB145" s="105">
        <v>3</v>
      </c>
      <c r="BC145" s="483"/>
      <c r="BD145" s="484"/>
      <c r="BE145" s="484"/>
      <c r="BF145" s="485"/>
      <c r="BG145" s="486"/>
      <c r="BH145" s="487"/>
      <c r="BI145" s="224"/>
      <c r="BJ145" s="488"/>
      <c r="BK145" s="489"/>
      <c r="BL145" s="489"/>
      <c r="BM145" s="489"/>
      <c r="BN145" s="489"/>
      <c r="BO145" s="490"/>
      <c r="BP145" s="488"/>
      <c r="BQ145" s="489"/>
      <c r="BR145" s="489"/>
      <c r="BS145" s="489"/>
      <c r="BT145" s="489"/>
      <c r="BU145" s="490"/>
      <c r="BV145" s="488"/>
      <c r="BW145" s="489"/>
      <c r="BX145" s="489"/>
      <c r="BY145" s="489"/>
      <c r="BZ145" s="489"/>
      <c r="CA145" s="490"/>
      <c r="CB145" s="483"/>
      <c r="CC145" s="484"/>
      <c r="CD145" s="484"/>
      <c r="CE145" s="485"/>
      <c r="CF145" s="477"/>
      <c r="CG145" s="478"/>
      <c r="CH145" s="478"/>
      <c r="CI145" s="478"/>
      <c r="CJ145" s="479"/>
      <c r="CK145" s="477"/>
      <c r="CL145" s="478"/>
      <c r="CM145" s="478"/>
      <c r="CN145" s="478"/>
      <c r="CO145" s="479"/>
      <c r="CP145" s="477"/>
      <c r="CQ145" s="478"/>
      <c r="CR145" s="478"/>
      <c r="CS145" s="478"/>
      <c r="CT145" s="479"/>
      <c r="CU145" s="480"/>
      <c r="CV145" s="481"/>
      <c r="CW145" s="481"/>
      <c r="CX145" s="481"/>
      <c r="CY145" s="482"/>
    </row>
    <row r="146" spans="1:103" s="91" customFormat="1" ht="16.5" x14ac:dyDescent="0.15">
      <c r="A146" s="517"/>
      <c r="B146" s="102"/>
      <c r="C146" s="220" t="str">
        <f t="shared" ca="1" si="3"/>
        <v>@</v>
      </c>
      <c r="D146" s="521"/>
      <c r="E146" s="522"/>
      <c r="F146" s="522"/>
      <c r="G146" s="522"/>
      <c r="H146" s="522"/>
      <c r="I146" s="522"/>
      <c r="J146" s="522"/>
      <c r="K146" s="527"/>
      <c r="L146" s="528"/>
      <c r="M146" s="528"/>
      <c r="N146" s="528"/>
      <c r="O146" s="528"/>
      <c r="P146" s="528"/>
      <c r="Q146" s="528"/>
      <c r="R146" s="533"/>
      <c r="S146" s="534"/>
      <c r="T146" s="533"/>
      <c r="U146" s="534"/>
      <c r="V146" s="527"/>
      <c r="W146" s="528"/>
      <c r="X146" s="528"/>
      <c r="Y146" s="528"/>
      <c r="Z146" s="528"/>
      <c r="AA146" s="528"/>
      <c r="AB146" s="528"/>
      <c r="AC146" s="528"/>
      <c r="AD146" s="527"/>
      <c r="AE146" s="528"/>
      <c r="AF146" s="528"/>
      <c r="AG146" s="528"/>
      <c r="AH146" s="528"/>
      <c r="AI146" s="528"/>
      <c r="AJ146" s="528"/>
      <c r="AK146" s="541"/>
      <c r="AL146" s="527"/>
      <c r="AM146" s="528"/>
      <c r="AN146" s="528"/>
      <c r="AO146" s="528"/>
      <c r="AP146" s="528"/>
      <c r="AQ146" s="528"/>
      <c r="AR146" s="541"/>
      <c r="AS146" s="546"/>
      <c r="AT146" s="547"/>
      <c r="AU146" s="547"/>
      <c r="AV146" s="547"/>
      <c r="AW146" s="547"/>
      <c r="AX146" s="547"/>
      <c r="AY146" s="548"/>
      <c r="AZ146" s="493"/>
      <c r="BA146" s="494"/>
      <c r="BB146" s="105">
        <v>4</v>
      </c>
      <c r="BC146" s="483"/>
      <c r="BD146" s="484"/>
      <c r="BE146" s="484"/>
      <c r="BF146" s="485"/>
      <c r="BG146" s="486"/>
      <c r="BH146" s="487"/>
      <c r="BI146" s="224"/>
      <c r="BJ146" s="488"/>
      <c r="BK146" s="489"/>
      <c r="BL146" s="489"/>
      <c r="BM146" s="489"/>
      <c r="BN146" s="489"/>
      <c r="BO146" s="490"/>
      <c r="BP146" s="488"/>
      <c r="BQ146" s="489"/>
      <c r="BR146" s="489"/>
      <c r="BS146" s="489"/>
      <c r="BT146" s="489"/>
      <c r="BU146" s="490"/>
      <c r="BV146" s="488"/>
      <c r="BW146" s="489"/>
      <c r="BX146" s="489"/>
      <c r="BY146" s="489"/>
      <c r="BZ146" s="489"/>
      <c r="CA146" s="490"/>
      <c r="CB146" s="483"/>
      <c r="CC146" s="484"/>
      <c r="CD146" s="484"/>
      <c r="CE146" s="485"/>
      <c r="CF146" s="477"/>
      <c r="CG146" s="478"/>
      <c r="CH146" s="478"/>
      <c r="CI146" s="478"/>
      <c r="CJ146" s="479"/>
      <c r="CK146" s="477"/>
      <c r="CL146" s="478"/>
      <c r="CM146" s="478"/>
      <c r="CN146" s="478"/>
      <c r="CO146" s="479"/>
      <c r="CP146" s="477"/>
      <c r="CQ146" s="478"/>
      <c r="CR146" s="478"/>
      <c r="CS146" s="478"/>
      <c r="CT146" s="479"/>
      <c r="CU146" s="480"/>
      <c r="CV146" s="481"/>
      <c r="CW146" s="481"/>
      <c r="CX146" s="481"/>
      <c r="CY146" s="482"/>
    </row>
    <row r="147" spans="1:103" s="91" customFormat="1" ht="16.5" x14ac:dyDescent="0.15">
      <c r="A147" s="517"/>
      <c r="B147" s="102"/>
      <c r="C147" s="220" t="str">
        <f t="shared" ca="1" si="3"/>
        <v>@</v>
      </c>
      <c r="D147" s="521"/>
      <c r="E147" s="522"/>
      <c r="F147" s="522"/>
      <c r="G147" s="522"/>
      <c r="H147" s="522"/>
      <c r="I147" s="522"/>
      <c r="J147" s="522"/>
      <c r="K147" s="527"/>
      <c r="L147" s="528"/>
      <c r="M147" s="528"/>
      <c r="N147" s="528"/>
      <c r="O147" s="528"/>
      <c r="P147" s="528"/>
      <c r="Q147" s="528"/>
      <c r="R147" s="533"/>
      <c r="S147" s="534"/>
      <c r="T147" s="533"/>
      <c r="U147" s="534"/>
      <c r="V147" s="527"/>
      <c r="W147" s="528"/>
      <c r="X147" s="528"/>
      <c r="Y147" s="528"/>
      <c r="Z147" s="528"/>
      <c r="AA147" s="528"/>
      <c r="AB147" s="528"/>
      <c r="AC147" s="528"/>
      <c r="AD147" s="527"/>
      <c r="AE147" s="528"/>
      <c r="AF147" s="528"/>
      <c r="AG147" s="528"/>
      <c r="AH147" s="528"/>
      <c r="AI147" s="528"/>
      <c r="AJ147" s="528"/>
      <c r="AK147" s="541"/>
      <c r="AL147" s="527"/>
      <c r="AM147" s="528"/>
      <c r="AN147" s="528"/>
      <c r="AO147" s="528"/>
      <c r="AP147" s="528"/>
      <c r="AQ147" s="528"/>
      <c r="AR147" s="541"/>
      <c r="AS147" s="546"/>
      <c r="AT147" s="547"/>
      <c r="AU147" s="547"/>
      <c r="AV147" s="547"/>
      <c r="AW147" s="547"/>
      <c r="AX147" s="547"/>
      <c r="AY147" s="548"/>
      <c r="AZ147" s="493"/>
      <c r="BA147" s="494"/>
      <c r="BB147" s="105">
        <v>5</v>
      </c>
      <c r="BC147" s="483"/>
      <c r="BD147" s="484"/>
      <c r="BE147" s="484"/>
      <c r="BF147" s="485"/>
      <c r="BG147" s="486"/>
      <c r="BH147" s="487"/>
      <c r="BI147" s="224"/>
      <c r="BJ147" s="488"/>
      <c r="BK147" s="489"/>
      <c r="BL147" s="489"/>
      <c r="BM147" s="489"/>
      <c r="BN147" s="489"/>
      <c r="BO147" s="490"/>
      <c r="BP147" s="488"/>
      <c r="BQ147" s="489"/>
      <c r="BR147" s="489"/>
      <c r="BS147" s="489"/>
      <c r="BT147" s="489"/>
      <c r="BU147" s="490"/>
      <c r="BV147" s="488"/>
      <c r="BW147" s="489"/>
      <c r="BX147" s="489"/>
      <c r="BY147" s="489"/>
      <c r="BZ147" s="489"/>
      <c r="CA147" s="490"/>
      <c r="CB147" s="483"/>
      <c r="CC147" s="484"/>
      <c r="CD147" s="484"/>
      <c r="CE147" s="485"/>
      <c r="CF147" s="477"/>
      <c r="CG147" s="478"/>
      <c r="CH147" s="478"/>
      <c r="CI147" s="478"/>
      <c r="CJ147" s="479"/>
      <c r="CK147" s="477"/>
      <c r="CL147" s="478"/>
      <c r="CM147" s="478"/>
      <c r="CN147" s="478"/>
      <c r="CO147" s="479"/>
      <c r="CP147" s="477"/>
      <c r="CQ147" s="478"/>
      <c r="CR147" s="478"/>
      <c r="CS147" s="478"/>
      <c r="CT147" s="479"/>
      <c r="CU147" s="480"/>
      <c r="CV147" s="481"/>
      <c r="CW147" s="481"/>
      <c r="CX147" s="481"/>
      <c r="CY147" s="482"/>
    </row>
    <row r="148" spans="1:103" s="91" customFormat="1" ht="16.5" x14ac:dyDescent="0.15">
      <c r="A148" s="518"/>
      <c r="B148" s="107"/>
      <c r="C148" s="219" t="str">
        <f t="shared" ca="1" si="3"/>
        <v>@</v>
      </c>
      <c r="D148" s="523"/>
      <c r="E148" s="524"/>
      <c r="F148" s="524"/>
      <c r="G148" s="524"/>
      <c r="H148" s="524"/>
      <c r="I148" s="524"/>
      <c r="J148" s="524"/>
      <c r="K148" s="529"/>
      <c r="L148" s="530"/>
      <c r="M148" s="530"/>
      <c r="N148" s="530"/>
      <c r="O148" s="530"/>
      <c r="P148" s="530"/>
      <c r="Q148" s="530"/>
      <c r="R148" s="535"/>
      <c r="S148" s="536"/>
      <c r="T148" s="535"/>
      <c r="U148" s="537"/>
      <c r="V148" s="529"/>
      <c r="W148" s="539"/>
      <c r="X148" s="539"/>
      <c r="Y148" s="539"/>
      <c r="Z148" s="539"/>
      <c r="AA148" s="539"/>
      <c r="AB148" s="539"/>
      <c r="AC148" s="539"/>
      <c r="AD148" s="529"/>
      <c r="AE148" s="539"/>
      <c r="AF148" s="539"/>
      <c r="AG148" s="539"/>
      <c r="AH148" s="539"/>
      <c r="AI148" s="539"/>
      <c r="AJ148" s="539"/>
      <c r="AK148" s="542"/>
      <c r="AL148" s="529"/>
      <c r="AM148" s="539"/>
      <c r="AN148" s="539"/>
      <c r="AO148" s="539"/>
      <c r="AP148" s="539"/>
      <c r="AQ148" s="539"/>
      <c r="AR148" s="542"/>
      <c r="AS148" s="549"/>
      <c r="AT148" s="550"/>
      <c r="AU148" s="550"/>
      <c r="AV148" s="550"/>
      <c r="AW148" s="550"/>
      <c r="AX148" s="550"/>
      <c r="AY148" s="551"/>
      <c r="AZ148" s="495"/>
      <c r="BA148" s="496"/>
      <c r="BB148" s="108">
        <v>6</v>
      </c>
      <c r="BC148" s="505"/>
      <c r="BD148" s="506"/>
      <c r="BE148" s="506"/>
      <c r="BF148" s="507"/>
      <c r="BG148" s="508"/>
      <c r="BH148" s="509"/>
      <c r="BI148" s="227"/>
      <c r="BJ148" s="510"/>
      <c r="BK148" s="511"/>
      <c r="BL148" s="511"/>
      <c r="BM148" s="511"/>
      <c r="BN148" s="511"/>
      <c r="BO148" s="512"/>
      <c r="BP148" s="510"/>
      <c r="BQ148" s="511"/>
      <c r="BR148" s="511"/>
      <c r="BS148" s="511"/>
      <c r="BT148" s="511"/>
      <c r="BU148" s="512"/>
      <c r="BV148" s="510"/>
      <c r="BW148" s="511"/>
      <c r="BX148" s="511"/>
      <c r="BY148" s="511"/>
      <c r="BZ148" s="511"/>
      <c r="CA148" s="512"/>
      <c r="CB148" s="513"/>
      <c r="CC148" s="514"/>
      <c r="CD148" s="514"/>
      <c r="CE148" s="515"/>
      <c r="CF148" s="477"/>
      <c r="CG148" s="478"/>
      <c r="CH148" s="478"/>
      <c r="CI148" s="478"/>
      <c r="CJ148" s="479"/>
      <c r="CK148" s="477"/>
      <c r="CL148" s="478"/>
      <c r="CM148" s="478"/>
      <c r="CN148" s="478"/>
      <c r="CO148" s="479"/>
      <c r="CP148" s="477"/>
      <c r="CQ148" s="478"/>
      <c r="CR148" s="478"/>
      <c r="CS148" s="478"/>
      <c r="CT148" s="479"/>
      <c r="CU148" s="480"/>
      <c r="CV148" s="481"/>
      <c r="CW148" s="481"/>
      <c r="CX148" s="481"/>
      <c r="CY148" s="482"/>
    </row>
    <row r="149" spans="1:103" s="91" customFormat="1" ht="16.149999999999999" customHeight="1" x14ac:dyDescent="0.15">
      <c r="A149" s="516">
        <v>24</v>
      </c>
      <c r="B149" s="102"/>
      <c r="C149" s="222" t="str">
        <f t="shared" ca="1" si="3"/>
        <v>@</v>
      </c>
      <c r="D149" s="519" t="s">
        <v>579</v>
      </c>
      <c r="E149" s="520"/>
      <c r="F149" s="520"/>
      <c r="G149" s="520"/>
      <c r="H149" s="520"/>
      <c r="I149" s="520"/>
      <c r="J149" s="520"/>
      <c r="K149" s="525" t="s">
        <v>621</v>
      </c>
      <c r="L149" s="526"/>
      <c r="M149" s="526"/>
      <c r="N149" s="526"/>
      <c r="O149" s="526"/>
      <c r="P149" s="526"/>
      <c r="Q149" s="526"/>
      <c r="R149" s="531"/>
      <c r="S149" s="532"/>
      <c r="T149" s="531" t="s">
        <v>284</v>
      </c>
      <c r="U149" s="532"/>
      <c r="V149" s="525" t="s">
        <v>622</v>
      </c>
      <c r="W149" s="538"/>
      <c r="X149" s="538"/>
      <c r="Y149" s="538"/>
      <c r="Z149" s="538"/>
      <c r="AA149" s="538"/>
      <c r="AB149" s="538"/>
      <c r="AC149" s="538"/>
      <c r="AD149" s="525" t="s">
        <v>623</v>
      </c>
      <c r="AE149" s="526"/>
      <c r="AF149" s="526"/>
      <c r="AG149" s="526"/>
      <c r="AH149" s="526"/>
      <c r="AI149" s="526"/>
      <c r="AJ149" s="526"/>
      <c r="AK149" s="540"/>
      <c r="AL149" s="525"/>
      <c r="AM149" s="538"/>
      <c r="AN149" s="538"/>
      <c r="AO149" s="538"/>
      <c r="AP149" s="538"/>
      <c r="AQ149" s="538"/>
      <c r="AR149" s="540"/>
      <c r="AS149" s="543"/>
      <c r="AT149" s="544"/>
      <c r="AU149" s="544"/>
      <c r="AV149" s="544"/>
      <c r="AW149" s="544"/>
      <c r="AX149" s="544"/>
      <c r="AY149" s="545"/>
      <c r="AZ149" s="491" t="s">
        <v>797</v>
      </c>
      <c r="BA149" s="492"/>
      <c r="BB149" s="103">
        <v>1</v>
      </c>
      <c r="BC149" s="497">
        <v>44166</v>
      </c>
      <c r="BD149" s="498"/>
      <c r="BE149" s="498"/>
      <c r="BF149" s="499"/>
      <c r="BG149" s="500" t="s">
        <v>568</v>
      </c>
      <c r="BH149" s="501"/>
      <c r="BI149" s="226"/>
      <c r="BJ149" s="502"/>
      <c r="BK149" s="503"/>
      <c r="BL149" s="503"/>
      <c r="BM149" s="503"/>
      <c r="BN149" s="503"/>
      <c r="BO149" s="504"/>
      <c r="BP149" s="502"/>
      <c r="BQ149" s="503"/>
      <c r="BR149" s="503"/>
      <c r="BS149" s="503"/>
      <c r="BT149" s="503"/>
      <c r="BU149" s="504"/>
      <c r="BV149" s="502"/>
      <c r="BW149" s="503"/>
      <c r="BX149" s="503"/>
      <c r="BY149" s="503"/>
      <c r="BZ149" s="503"/>
      <c r="CA149" s="504"/>
      <c r="CB149" s="497"/>
      <c r="CC149" s="498"/>
      <c r="CD149" s="498"/>
      <c r="CE149" s="499"/>
      <c r="CF149" s="477"/>
      <c r="CG149" s="478"/>
      <c r="CH149" s="478"/>
      <c r="CI149" s="478"/>
      <c r="CJ149" s="479"/>
      <c r="CK149" s="477"/>
      <c r="CL149" s="478"/>
      <c r="CM149" s="478"/>
      <c r="CN149" s="478"/>
      <c r="CO149" s="479"/>
      <c r="CP149" s="477"/>
      <c r="CQ149" s="478"/>
      <c r="CR149" s="478"/>
      <c r="CS149" s="478"/>
      <c r="CT149" s="479"/>
      <c r="CU149" s="480"/>
      <c r="CV149" s="481"/>
      <c r="CW149" s="481"/>
      <c r="CX149" s="481"/>
      <c r="CY149" s="482"/>
    </row>
    <row r="150" spans="1:103" s="91" customFormat="1" ht="16.5" x14ac:dyDescent="0.15">
      <c r="A150" s="517"/>
      <c r="B150" s="102"/>
      <c r="C150" s="220" t="str">
        <f t="shared" ca="1" si="3"/>
        <v>@</v>
      </c>
      <c r="D150" s="521"/>
      <c r="E150" s="522"/>
      <c r="F150" s="522"/>
      <c r="G150" s="522"/>
      <c r="H150" s="522"/>
      <c r="I150" s="522"/>
      <c r="J150" s="522"/>
      <c r="K150" s="527"/>
      <c r="L150" s="528"/>
      <c r="M150" s="528"/>
      <c r="N150" s="528"/>
      <c r="O150" s="528"/>
      <c r="P150" s="528"/>
      <c r="Q150" s="528"/>
      <c r="R150" s="533"/>
      <c r="S150" s="534"/>
      <c r="T150" s="533"/>
      <c r="U150" s="534"/>
      <c r="V150" s="527"/>
      <c r="W150" s="528"/>
      <c r="X150" s="528"/>
      <c r="Y150" s="528"/>
      <c r="Z150" s="528"/>
      <c r="AA150" s="528"/>
      <c r="AB150" s="528"/>
      <c r="AC150" s="528"/>
      <c r="AD150" s="527"/>
      <c r="AE150" s="528"/>
      <c r="AF150" s="528"/>
      <c r="AG150" s="528"/>
      <c r="AH150" s="528"/>
      <c r="AI150" s="528"/>
      <c r="AJ150" s="528"/>
      <c r="AK150" s="541"/>
      <c r="AL150" s="527"/>
      <c r="AM150" s="528"/>
      <c r="AN150" s="528"/>
      <c r="AO150" s="528"/>
      <c r="AP150" s="528"/>
      <c r="AQ150" s="528"/>
      <c r="AR150" s="541"/>
      <c r="AS150" s="546"/>
      <c r="AT150" s="547"/>
      <c r="AU150" s="547"/>
      <c r="AV150" s="547"/>
      <c r="AW150" s="547"/>
      <c r="AX150" s="547"/>
      <c r="AY150" s="548"/>
      <c r="AZ150" s="493"/>
      <c r="BA150" s="494"/>
      <c r="BB150" s="105">
        <v>2</v>
      </c>
      <c r="BC150" s="483"/>
      <c r="BD150" s="484"/>
      <c r="BE150" s="484"/>
      <c r="BF150" s="485"/>
      <c r="BG150" s="486"/>
      <c r="BH150" s="487"/>
      <c r="BI150" s="224"/>
      <c r="BJ150" s="488"/>
      <c r="BK150" s="489"/>
      <c r="BL150" s="489"/>
      <c r="BM150" s="489"/>
      <c r="BN150" s="489"/>
      <c r="BO150" s="490"/>
      <c r="BP150" s="488"/>
      <c r="BQ150" s="489"/>
      <c r="BR150" s="489"/>
      <c r="BS150" s="489"/>
      <c r="BT150" s="489"/>
      <c r="BU150" s="490"/>
      <c r="BV150" s="488"/>
      <c r="BW150" s="489"/>
      <c r="BX150" s="489"/>
      <c r="BY150" s="489"/>
      <c r="BZ150" s="489"/>
      <c r="CA150" s="490"/>
      <c r="CB150" s="483"/>
      <c r="CC150" s="484"/>
      <c r="CD150" s="484"/>
      <c r="CE150" s="485"/>
      <c r="CF150" s="477"/>
      <c r="CG150" s="478"/>
      <c r="CH150" s="478"/>
      <c r="CI150" s="478"/>
      <c r="CJ150" s="479"/>
      <c r="CK150" s="477"/>
      <c r="CL150" s="478"/>
      <c r="CM150" s="478"/>
      <c r="CN150" s="478"/>
      <c r="CO150" s="479"/>
      <c r="CP150" s="477"/>
      <c r="CQ150" s="478"/>
      <c r="CR150" s="478"/>
      <c r="CS150" s="478"/>
      <c r="CT150" s="479"/>
      <c r="CU150" s="480"/>
      <c r="CV150" s="481"/>
      <c r="CW150" s="481"/>
      <c r="CX150" s="481"/>
      <c r="CY150" s="482"/>
    </row>
    <row r="151" spans="1:103" s="91" customFormat="1" ht="16.5" x14ac:dyDescent="0.15">
      <c r="A151" s="517"/>
      <c r="B151" s="102"/>
      <c r="C151" s="220" t="str">
        <f t="shared" ca="1" si="3"/>
        <v>@</v>
      </c>
      <c r="D151" s="521"/>
      <c r="E151" s="522"/>
      <c r="F151" s="522"/>
      <c r="G151" s="522"/>
      <c r="H151" s="522"/>
      <c r="I151" s="522"/>
      <c r="J151" s="522"/>
      <c r="K151" s="527"/>
      <c r="L151" s="528"/>
      <c r="M151" s="528"/>
      <c r="N151" s="528"/>
      <c r="O151" s="528"/>
      <c r="P151" s="528"/>
      <c r="Q151" s="528"/>
      <c r="R151" s="533"/>
      <c r="S151" s="534"/>
      <c r="T151" s="533"/>
      <c r="U151" s="534"/>
      <c r="V151" s="527"/>
      <c r="W151" s="528"/>
      <c r="X151" s="528"/>
      <c r="Y151" s="528"/>
      <c r="Z151" s="528"/>
      <c r="AA151" s="528"/>
      <c r="AB151" s="528"/>
      <c r="AC151" s="528"/>
      <c r="AD151" s="527"/>
      <c r="AE151" s="528"/>
      <c r="AF151" s="528"/>
      <c r="AG151" s="528"/>
      <c r="AH151" s="528"/>
      <c r="AI151" s="528"/>
      <c r="AJ151" s="528"/>
      <c r="AK151" s="541"/>
      <c r="AL151" s="527"/>
      <c r="AM151" s="528"/>
      <c r="AN151" s="528"/>
      <c r="AO151" s="528"/>
      <c r="AP151" s="528"/>
      <c r="AQ151" s="528"/>
      <c r="AR151" s="541"/>
      <c r="AS151" s="546"/>
      <c r="AT151" s="547"/>
      <c r="AU151" s="547"/>
      <c r="AV151" s="547"/>
      <c r="AW151" s="547"/>
      <c r="AX151" s="547"/>
      <c r="AY151" s="548"/>
      <c r="AZ151" s="493"/>
      <c r="BA151" s="494"/>
      <c r="BB151" s="105">
        <v>3</v>
      </c>
      <c r="BC151" s="483"/>
      <c r="BD151" s="484"/>
      <c r="BE151" s="484"/>
      <c r="BF151" s="485"/>
      <c r="BG151" s="486"/>
      <c r="BH151" s="487"/>
      <c r="BI151" s="224"/>
      <c r="BJ151" s="488"/>
      <c r="BK151" s="489"/>
      <c r="BL151" s="489"/>
      <c r="BM151" s="489"/>
      <c r="BN151" s="489"/>
      <c r="BO151" s="490"/>
      <c r="BP151" s="488"/>
      <c r="BQ151" s="489"/>
      <c r="BR151" s="489"/>
      <c r="BS151" s="489"/>
      <c r="BT151" s="489"/>
      <c r="BU151" s="490"/>
      <c r="BV151" s="488"/>
      <c r="BW151" s="489"/>
      <c r="BX151" s="489"/>
      <c r="BY151" s="489"/>
      <c r="BZ151" s="489"/>
      <c r="CA151" s="490"/>
      <c r="CB151" s="483"/>
      <c r="CC151" s="484"/>
      <c r="CD151" s="484"/>
      <c r="CE151" s="485"/>
      <c r="CF151" s="477"/>
      <c r="CG151" s="478"/>
      <c r="CH151" s="478"/>
      <c r="CI151" s="478"/>
      <c r="CJ151" s="479"/>
      <c r="CK151" s="477"/>
      <c r="CL151" s="478"/>
      <c r="CM151" s="478"/>
      <c r="CN151" s="478"/>
      <c r="CO151" s="479"/>
      <c r="CP151" s="477"/>
      <c r="CQ151" s="478"/>
      <c r="CR151" s="478"/>
      <c r="CS151" s="478"/>
      <c r="CT151" s="479"/>
      <c r="CU151" s="480"/>
      <c r="CV151" s="481"/>
      <c r="CW151" s="481"/>
      <c r="CX151" s="481"/>
      <c r="CY151" s="482"/>
    </row>
    <row r="152" spans="1:103" s="91" customFormat="1" ht="16.5" x14ac:dyDescent="0.15">
      <c r="A152" s="517"/>
      <c r="B152" s="102"/>
      <c r="C152" s="220" t="str">
        <f t="shared" ca="1" si="3"/>
        <v>@</v>
      </c>
      <c r="D152" s="521"/>
      <c r="E152" s="522"/>
      <c r="F152" s="522"/>
      <c r="G152" s="522"/>
      <c r="H152" s="522"/>
      <c r="I152" s="522"/>
      <c r="J152" s="522"/>
      <c r="K152" s="527"/>
      <c r="L152" s="528"/>
      <c r="M152" s="528"/>
      <c r="N152" s="528"/>
      <c r="O152" s="528"/>
      <c r="P152" s="528"/>
      <c r="Q152" s="528"/>
      <c r="R152" s="533"/>
      <c r="S152" s="534"/>
      <c r="T152" s="533"/>
      <c r="U152" s="534"/>
      <c r="V152" s="527"/>
      <c r="W152" s="528"/>
      <c r="X152" s="528"/>
      <c r="Y152" s="528"/>
      <c r="Z152" s="528"/>
      <c r="AA152" s="528"/>
      <c r="AB152" s="528"/>
      <c r="AC152" s="528"/>
      <c r="AD152" s="527"/>
      <c r="AE152" s="528"/>
      <c r="AF152" s="528"/>
      <c r="AG152" s="528"/>
      <c r="AH152" s="528"/>
      <c r="AI152" s="528"/>
      <c r="AJ152" s="528"/>
      <c r="AK152" s="541"/>
      <c r="AL152" s="527"/>
      <c r="AM152" s="528"/>
      <c r="AN152" s="528"/>
      <c r="AO152" s="528"/>
      <c r="AP152" s="528"/>
      <c r="AQ152" s="528"/>
      <c r="AR152" s="541"/>
      <c r="AS152" s="546"/>
      <c r="AT152" s="547"/>
      <c r="AU152" s="547"/>
      <c r="AV152" s="547"/>
      <c r="AW152" s="547"/>
      <c r="AX152" s="547"/>
      <c r="AY152" s="548"/>
      <c r="AZ152" s="493"/>
      <c r="BA152" s="494"/>
      <c r="BB152" s="105">
        <v>4</v>
      </c>
      <c r="BC152" s="483"/>
      <c r="BD152" s="484"/>
      <c r="BE152" s="484"/>
      <c r="BF152" s="485"/>
      <c r="BG152" s="486"/>
      <c r="BH152" s="487"/>
      <c r="BI152" s="224"/>
      <c r="BJ152" s="488"/>
      <c r="BK152" s="489"/>
      <c r="BL152" s="489"/>
      <c r="BM152" s="489"/>
      <c r="BN152" s="489"/>
      <c r="BO152" s="490"/>
      <c r="BP152" s="488"/>
      <c r="BQ152" s="489"/>
      <c r="BR152" s="489"/>
      <c r="BS152" s="489"/>
      <c r="BT152" s="489"/>
      <c r="BU152" s="490"/>
      <c r="BV152" s="488"/>
      <c r="BW152" s="489"/>
      <c r="BX152" s="489"/>
      <c r="BY152" s="489"/>
      <c r="BZ152" s="489"/>
      <c r="CA152" s="490"/>
      <c r="CB152" s="483"/>
      <c r="CC152" s="484"/>
      <c r="CD152" s="484"/>
      <c r="CE152" s="485"/>
      <c r="CF152" s="477"/>
      <c r="CG152" s="478"/>
      <c r="CH152" s="478"/>
      <c r="CI152" s="478"/>
      <c r="CJ152" s="479"/>
      <c r="CK152" s="477"/>
      <c r="CL152" s="478"/>
      <c r="CM152" s="478"/>
      <c r="CN152" s="478"/>
      <c r="CO152" s="479"/>
      <c r="CP152" s="477"/>
      <c r="CQ152" s="478"/>
      <c r="CR152" s="478"/>
      <c r="CS152" s="478"/>
      <c r="CT152" s="479"/>
      <c r="CU152" s="480"/>
      <c r="CV152" s="481"/>
      <c r="CW152" s="481"/>
      <c r="CX152" s="481"/>
      <c r="CY152" s="482"/>
    </row>
    <row r="153" spans="1:103" s="91" customFormat="1" ht="16.5" x14ac:dyDescent="0.15">
      <c r="A153" s="517"/>
      <c r="B153" s="102"/>
      <c r="C153" s="220" t="str">
        <f t="shared" ca="1" si="3"/>
        <v>@</v>
      </c>
      <c r="D153" s="521"/>
      <c r="E153" s="522"/>
      <c r="F153" s="522"/>
      <c r="G153" s="522"/>
      <c r="H153" s="522"/>
      <c r="I153" s="522"/>
      <c r="J153" s="522"/>
      <c r="K153" s="527"/>
      <c r="L153" s="528"/>
      <c r="M153" s="528"/>
      <c r="N153" s="528"/>
      <c r="O153" s="528"/>
      <c r="P153" s="528"/>
      <c r="Q153" s="528"/>
      <c r="R153" s="533"/>
      <c r="S153" s="534"/>
      <c r="T153" s="533"/>
      <c r="U153" s="534"/>
      <c r="V153" s="527"/>
      <c r="W153" s="528"/>
      <c r="X153" s="528"/>
      <c r="Y153" s="528"/>
      <c r="Z153" s="528"/>
      <c r="AA153" s="528"/>
      <c r="AB153" s="528"/>
      <c r="AC153" s="528"/>
      <c r="AD153" s="527"/>
      <c r="AE153" s="528"/>
      <c r="AF153" s="528"/>
      <c r="AG153" s="528"/>
      <c r="AH153" s="528"/>
      <c r="AI153" s="528"/>
      <c r="AJ153" s="528"/>
      <c r="AK153" s="541"/>
      <c r="AL153" s="527"/>
      <c r="AM153" s="528"/>
      <c r="AN153" s="528"/>
      <c r="AO153" s="528"/>
      <c r="AP153" s="528"/>
      <c r="AQ153" s="528"/>
      <c r="AR153" s="541"/>
      <c r="AS153" s="546"/>
      <c r="AT153" s="547"/>
      <c r="AU153" s="547"/>
      <c r="AV153" s="547"/>
      <c r="AW153" s="547"/>
      <c r="AX153" s="547"/>
      <c r="AY153" s="548"/>
      <c r="AZ153" s="493"/>
      <c r="BA153" s="494"/>
      <c r="BB153" s="105">
        <v>5</v>
      </c>
      <c r="BC153" s="483"/>
      <c r="BD153" s="484"/>
      <c r="BE153" s="484"/>
      <c r="BF153" s="485"/>
      <c r="BG153" s="486"/>
      <c r="BH153" s="487"/>
      <c r="BI153" s="224"/>
      <c r="BJ153" s="488"/>
      <c r="BK153" s="489"/>
      <c r="BL153" s="489"/>
      <c r="BM153" s="489"/>
      <c r="BN153" s="489"/>
      <c r="BO153" s="490"/>
      <c r="BP153" s="488"/>
      <c r="BQ153" s="489"/>
      <c r="BR153" s="489"/>
      <c r="BS153" s="489"/>
      <c r="BT153" s="489"/>
      <c r="BU153" s="490"/>
      <c r="BV153" s="488"/>
      <c r="BW153" s="489"/>
      <c r="BX153" s="489"/>
      <c r="BY153" s="489"/>
      <c r="BZ153" s="489"/>
      <c r="CA153" s="490"/>
      <c r="CB153" s="483"/>
      <c r="CC153" s="484"/>
      <c r="CD153" s="484"/>
      <c r="CE153" s="485"/>
      <c r="CF153" s="477"/>
      <c r="CG153" s="478"/>
      <c r="CH153" s="478"/>
      <c r="CI153" s="478"/>
      <c r="CJ153" s="479"/>
      <c r="CK153" s="477"/>
      <c r="CL153" s="478"/>
      <c r="CM153" s="478"/>
      <c r="CN153" s="478"/>
      <c r="CO153" s="479"/>
      <c r="CP153" s="477"/>
      <c r="CQ153" s="478"/>
      <c r="CR153" s="478"/>
      <c r="CS153" s="478"/>
      <c r="CT153" s="479"/>
      <c r="CU153" s="480"/>
      <c r="CV153" s="481"/>
      <c r="CW153" s="481"/>
      <c r="CX153" s="481"/>
      <c r="CY153" s="482"/>
    </row>
    <row r="154" spans="1:103" s="91" customFormat="1" ht="16.5" x14ac:dyDescent="0.15">
      <c r="A154" s="518"/>
      <c r="B154" s="107"/>
      <c r="C154" s="220" t="str">
        <f t="shared" ca="1" si="3"/>
        <v>@</v>
      </c>
      <c r="D154" s="523"/>
      <c r="E154" s="524"/>
      <c r="F154" s="524"/>
      <c r="G154" s="524"/>
      <c r="H154" s="524"/>
      <c r="I154" s="524"/>
      <c r="J154" s="524"/>
      <c r="K154" s="529"/>
      <c r="L154" s="530"/>
      <c r="M154" s="530"/>
      <c r="N154" s="530"/>
      <c r="O154" s="530"/>
      <c r="P154" s="530"/>
      <c r="Q154" s="530"/>
      <c r="R154" s="535"/>
      <c r="S154" s="536"/>
      <c r="T154" s="535"/>
      <c r="U154" s="537"/>
      <c r="V154" s="529"/>
      <c r="W154" s="539"/>
      <c r="X154" s="539"/>
      <c r="Y154" s="539"/>
      <c r="Z154" s="539"/>
      <c r="AA154" s="539"/>
      <c r="AB154" s="539"/>
      <c r="AC154" s="539"/>
      <c r="AD154" s="529"/>
      <c r="AE154" s="530"/>
      <c r="AF154" s="530"/>
      <c r="AG154" s="530"/>
      <c r="AH154" s="530"/>
      <c r="AI154" s="530"/>
      <c r="AJ154" s="530"/>
      <c r="AK154" s="555"/>
      <c r="AL154" s="529"/>
      <c r="AM154" s="539"/>
      <c r="AN154" s="539"/>
      <c r="AO154" s="539"/>
      <c r="AP154" s="539"/>
      <c r="AQ154" s="539"/>
      <c r="AR154" s="542"/>
      <c r="AS154" s="549"/>
      <c r="AT154" s="550"/>
      <c r="AU154" s="550"/>
      <c r="AV154" s="550"/>
      <c r="AW154" s="550"/>
      <c r="AX154" s="550"/>
      <c r="AY154" s="551"/>
      <c r="AZ154" s="495"/>
      <c r="BA154" s="496"/>
      <c r="BB154" s="108">
        <v>6</v>
      </c>
      <c r="BC154" s="505"/>
      <c r="BD154" s="506"/>
      <c r="BE154" s="506"/>
      <c r="BF154" s="507"/>
      <c r="BG154" s="508"/>
      <c r="BH154" s="509"/>
      <c r="BI154" s="227"/>
      <c r="BJ154" s="510"/>
      <c r="BK154" s="511"/>
      <c r="BL154" s="511"/>
      <c r="BM154" s="511"/>
      <c r="BN154" s="511"/>
      <c r="BO154" s="512"/>
      <c r="BP154" s="510"/>
      <c r="BQ154" s="511"/>
      <c r="BR154" s="511"/>
      <c r="BS154" s="511"/>
      <c r="BT154" s="511"/>
      <c r="BU154" s="512"/>
      <c r="BV154" s="510"/>
      <c r="BW154" s="511"/>
      <c r="BX154" s="511"/>
      <c r="BY154" s="511"/>
      <c r="BZ154" s="511"/>
      <c r="CA154" s="512"/>
      <c r="CB154" s="513"/>
      <c r="CC154" s="514"/>
      <c r="CD154" s="514"/>
      <c r="CE154" s="515"/>
      <c r="CF154" s="477"/>
      <c r="CG154" s="478"/>
      <c r="CH154" s="478"/>
      <c r="CI154" s="478"/>
      <c r="CJ154" s="479"/>
      <c r="CK154" s="477"/>
      <c r="CL154" s="478"/>
      <c r="CM154" s="478"/>
      <c r="CN154" s="478"/>
      <c r="CO154" s="479"/>
      <c r="CP154" s="477"/>
      <c r="CQ154" s="478"/>
      <c r="CR154" s="478"/>
      <c r="CS154" s="478"/>
      <c r="CT154" s="479"/>
      <c r="CU154" s="480"/>
      <c r="CV154" s="481"/>
      <c r="CW154" s="481"/>
      <c r="CX154" s="481"/>
      <c r="CY154" s="482"/>
    </row>
    <row r="155" spans="1:103" s="91" customFormat="1" ht="16.149999999999999" customHeight="1" x14ac:dyDescent="0.15">
      <c r="A155" s="516">
        <v>25</v>
      </c>
      <c r="B155" s="102"/>
      <c r="C155" s="220" t="str">
        <f t="shared" ca="1" si="3"/>
        <v>@</v>
      </c>
      <c r="D155" s="519" t="s">
        <v>579</v>
      </c>
      <c r="E155" s="520"/>
      <c r="F155" s="520"/>
      <c r="G155" s="520"/>
      <c r="H155" s="520"/>
      <c r="I155" s="520"/>
      <c r="J155" s="520"/>
      <c r="K155" s="525" t="s">
        <v>624</v>
      </c>
      <c r="L155" s="526"/>
      <c r="M155" s="526"/>
      <c r="N155" s="526"/>
      <c r="O155" s="526"/>
      <c r="P155" s="526"/>
      <c r="Q155" s="526"/>
      <c r="R155" s="531"/>
      <c r="S155" s="532"/>
      <c r="T155" s="531" t="s">
        <v>284</v>
      </c>
      <c r="U155" s="532"/>
      <c r="V155" s="525" t="s">
        <v>625</v>
      </c>
      <c r="W155" s="538"/>
      <c r="X155" s="538"/>
      <c r="Y155" s="538"/>
      <c r="Z155" s="538"/>
      <c r="AA155" s="538"/>
      <c r="AB155" s="538"/>
      <c r="AC155" s="538"/>
      <c r="AD155" s="525" t="s">
        <v>626</v>
      </c>
      <c r="AE155" s="526"/>
      <c r="AF155" s="526"/>
      <c r="AG155" s="526"/>
      <c r="AH155" s="526"/>
      <c r="AI155" s="526"/>
      <c r="AJ155" s="526"/>
      <c r="AK155" s="540"/>
      <c r="AL155" s="525"/>
      <c r="AM155" s="538"/>
      <c r="AN155" s="538"/>
      <c r="AO155" s="538"/>
      <c r="AP155" s="538"/>
      <c r="AQ155" s="538"/>
      <c r="AR155" s="540"/>
      <c r="AS155" s="543"/>
      <c r="AT155" s="544"/>
      <c r="AU155" s="544"/>
      <c r="AV155" s="544"/>
      <c r="AW155" s="544"/>
      <c r="AX155" s="544"/>
      <c r="AY155" s="545"/>
      <c r="AZ155" s="491"/>
      <c r="BA155" s="492"/>
      <c r="BB155" s="103">
        <v>1</v>
      </c>
      <c r="BC155" s="497"/>
      <c r="BD155" s="498"/>
      <c r="BE155" s="498"/>
      <c r="BF155" s="499"/>
      <c r="BG155" s="500" t="s">
        <v>568</v>
      </c>
      <c r="BH155" s="501"/>
      <c r="BI155" s="226"/>
      <c r="BJ155" s="502"/>
      <c r="BK155" s="503"/>
      <c r="BL155" s="503"/>
      <c r="BM155" s="503"/>
      <c r="BN155" s="503"/>
      <c r="BO155" s="504"/>
      <c r="BP155" s="502"/>
      <c r="BQ155" s="503"/>
      <c r="BR155" s="503"/>
      <c r="BS155" s="503"/>
      <c r="BT155" s="503"/>
      <c r="BU155" s="504"/>
      <c r="BV155" s="502"/>
      <c r="BW155" s="503"/>
      <c r="BX155" s="503"/>
      <c r="BY155" s="503"/>
      <c r="BZ155" s="503"/>
      <c r="CA155" s="504"/>
      <c r="CB155" s="552"/>
      <c r="CC155" s="553"/>
      <c r="CD155" s="553"/>
      <c r="CE155" s="554"/>
      <c r="CF155" s="477"/>
      <c r="CG155" s="478"/>
      <c r="CH155" s="478"/>
      <c r="CI155" s="478"/>
      <c r="CJ155" s="479"/>
      <c r="CK155" s="477"/>
      <c r="CL155" s="478"/>
      <c r="CM155" s="478"/>
      <c r="CN155" s="478"/>
      <c r="CO155" s="479"/>
      <c r="CP155" s="477"/>
      <c r="CQ155" s="478"/>
      <c r="CR155" s="478"/>
      <c r="CS155" s="478"/>
      <c r="CT155" s="479"/>
      <c r="CU155" s="477"/>
      <c r="CV155" s="481"/>
      <c r="CW155" s="481"/>
      <c r="CX155" s="481"/>
      <c r="CY155" s="482"/>
    </row>
    <row r="156" spans="1:103" s="91" customFormat="1" ht="16.5" x14ac:dyDescent="0.15">
      <c r="A156" s="517"/>
      <c r="B156" s="102"/>
      <c r="C156" s="220" t="str">
        <f t="shared" ca="1" si="3"/>
        <v>@</v>
      </c>
      <c r="D156" s="521"/>
      <c r="E156" s="522"/>
      <c r="F156" s="522"/>
      <c r="G156" s="522"/>
      <c r="H156" s="522"/>
      <c r="I156" s="522"/>
      <c r="J156" s="522"/>
      <c r="K156" s="527"/>
      <c r="L156" s="528"/>
      <c r="M156" s="528"/>
      <c r="N156" s="528"/>
      <c r="O156" s="528"/>
      <c r="P156" s="528"/>
      <c r="Q156" s="528"/>
      <c r="R156" s="533"/>
      <c r="S156" s="534"/>
      <c r="T156" s="533"/>
      <c r="U156" s="534"/>
      <c r="V156" s="527"/>
      <c r="W156" s="528"/>
      <c r="X156" s="528"/>
      <c r="Y156" s="528"/>
      <c r="Z156" s="528"/>
      <c r="AA156" s="528"/>
      <c r="AB156" s="528"/>
      <c r="AC156" s="528"/>
      <c r="AD156" s="527"/>
      <c r="AE156" s="528"/>
      <c r="AF156" s="528"/>
      <c r="AG156" s="528"/>
      <c r="AH156" s="528"/>
      <c r="AI156" s="528"/>
      <c r="AJ156" s="528"/>
      <c r="AK156" s="541"/>
      <c r="AL156" s="527"/>
      <c r="AM156" s="528"/>
      <c r="AN156" s="528"/>
      <c r="AO156" s="528"/>
      <c r="AP156" s="528"/>
      <c r="AQ156" s="528"/>
      <c r="AR156" s="541"/>
      <c r="AS156" s="546"/>
      <c r="AT156" s="547"/>
      <c r="AU156" s="547"/>
      <c r="AV156" s="547"/>
      <c r="AW156" s="547"/>
      <c r="AX156" s="547"/>
      <c r="AY156" s="548"/>
      <c r="AZ156" s="493"/>
      <c r="BA156" s="494"/>
      <c r="BB156" s="105">
        <v>2</v>
      </c>
      <c r="BC156" s="483"/>
      <c r="BD156" s="484"/>
      <c r="BE156" s="484"/>
      <c r="BF156" s="485"/>
      <c r="BG156" s="486"/>
      <c r="BH156" s="487"/>
      <c r="BI156" s="224"/>
      <c r="BJ156" s="488"/>
      <c r="BK156" s="489"/>
      <c r="BL156" s="489"/>
      <c r="BM156" s="489"/>
      <c r="BN156" s="489"/>
      <c r="BO156" s="490"/>
      <c r="BP156" s="488"/>
      <c r="BQ156" s="489"/>
      <c r="BR156" s="489"/>
      <c r="BS156" s="489"/>
      <c r="BT156" s="489"/>
      <c r="BU156" s="490"/>
      <c r="BV156" s="488"/>
      <c r="BW156" s="489"/>
      <c r="BX156" s="489"/>
      <c r="BY156" s="489"/>
      <c r="BZ156" s="489"/>
      <c r="CA156" s="490"/>
      <c r="CB156" s="483"/>
      <c r="CC156" s="484"/>
      <c r="CD156" s="484"/>
      <c r="CE156" s="485"/>
      <c r="CF156" s="477"/>
      <c r="CG156" s="478"/>
      <c r="CH156" s="478"/>
      <c r="CI156" s="478"/>
      <c r="CJ156" s="479"/>
      <c r="CK156" s="477"/>
      <c r="CL156" s="478"/>
      <c r="CM156" s="478"/>
      <c r="CN156" s="478"/>
      <c r="CO156" s="479"/>
      <c r="CP156" s="477"/>
      <c r="CQ156" s="478"/>
      <c r="CR156" s="478"/>
      <c r="CS156" s="478"/>
      <c r="CT156" s="479"/>
      <c r="CU156" s="480"/>
      <c r="CV156" s="481"/>
      <c r="CW156" s="481"/>
      <c r="CX156" s="481"/>
      <c r="CY156" s="482"/>
    </row>
    <row r="157" spans="1:103" s="91" customFormat="1" ht="16.5" x14ac:dyDescent="0.15">
      <c r="A157" s="517"/>
      <c r="B157" s="102"/>
      <c r="C157" s="220" t="str">
        <f t="shared" ca="1" si="3"/>
        <v>@</v>
      </c>
      <c r="D157" s="521"/>
      <c r="E157" s="522"/>
      <c r="F157" s="522"/>
      <c r="G157" s="522"/>
      <c r="H157" s="522"/>
      <c r="I157" s="522"/>
      <c r="J157" s="522"/>
      <c r="K157" s="527"/>
      <c r="L157" s="528"/>
      <c r="M157" s="528"/>
      <c r="N157" s="528"/>
      <c r="O157" s="528"/>
      <c r="P157" s="528"/>
      <c r="Q157" s="528"/>
      <c r="R157" s="533"/>
      <c r="S157" s="534"/>
      <c r="T157" s="533"/>
      <c r="U157" s="534"/>
      <c r="V157" s="527"/>
      <c r="W157" s="528"/>
      <c r="X157" s="528"/>
      <c r="Y157" s="528"/>
      <c r="Z157" s="528"/>
      <c r="AA157" s="528"/>
      <c r="AB157" s="528"/>
      <c r="AC157" s="528"/>
      <c r="AD157" s="527"/>
      <c r="AE157" s="528"/>
      <c r="AF157" s="528"/>
      <c r="AG157" s="528"/>
      <c r="AH157" s="528"/>
      <c r="AI157" s="528"/>
      <c r="AJ157" s="528"/>
      <c r="AK157" s="541"/>
      <c r="AL157" s="527"/>
      <c r="AM157" s="528"/>
      <c r="AN157" s="528"/>
      <c r="AO157" s="528"/>
      <c r="AP157" s="528"/>
      <c r="AQ157" s="528"/>
      <c r="AR157" s="541"/>
      <c r="AS157" s="546"/>
      <c r="AT157" s="547"/>
      <c r="AU157" s="547"/>
      <c r="AV157" s="547"/>
      <c r="AW157" s="547"/>
      <c r="AX157" s="547"/>
      <c r="AY157" s="548"/>
      <c r="AZ157" s="493"/>
      <c r="BA157" s="494"/>
      <c r="BB157" s="105">
        <v>3</v>
      </c>
      <c r="BC157" s="483"/>
      <c r="BD157" s="484"/>
      <c r="BE157" s="484"/>
      <c r="BF157" s="485"/>
      <c r="BG157" s="486"/>
      <c r="BH157" s="487"/>
      <c r="BI157" s="224"/>
      <c r="BJ157" s="488"/>
      <c r="BK157" s="489"/>
      <c r="BL157" s="489"/>
      <c r="BM157" s="489"/>
      <c r="BN157" s="489"/>
      <c r="BO157" s="490"/>
      <c r="BP157" s="488"/>
      <c r="BQ157" s="489"/>
      <c r="BR157" s="489"/>
      <c r="BS157" s="489"/>
      <c r="BT157" s="489"/>
      <c r="BU157" s="490"/>
      <c r="BV157" s="488"/>
      <c r="BW157" s="489"/>
      <c r="BX157" s="489"/>
      <c r="BY157" s="489"/>
      <c r="BZ157" s="489"/>
      <c r="CA157" s="490"/>
      <c r="CB157" s="483"/>
      <c r="CC157" s="484"/>
      <c r="CD157" s="484"/>
      <c r="CE157" s="485"/>
      <c r="CF157" s="477"/>
      <c r="CG157" s="478"/>
      <c r="CH157" s="478"/>
      <c r="CI157" s="478"/>
      <c r="CJ157" s="479"/>
      <c r="CK157" s="477"/>
      <c r="CL157" s="478"/>
      <c r="CM157" s="478"/>
      <c r="CN157" s="478"/>
      <c r="CO157" s="479"/>
      <c r="CP157" s="477"/>
      <c r="CQ157" s="478"/>
      <c r="CR157" s="478"/>
      <c r="CS157" s="478"/>
      <c r="CT157" s="479"/>
      <c r="CU157" s="480"/>
      <c r="CV157" s="481"/>
      <c r="CW157" s="481"/>
      <c r="CX157" s="481"/>
      <c r="CY157" s="482"/>
    </row>
    <row r="158" spans="1:103" s="91" customFormat="1" ht="16.5" x14ac:dyDescent="0.15">
      <c r="A158" s="517"/>
      <c r="B158" s="102"/>
      <c r="C158" s="220" t="str">
        <f t="shared" ca="1" si="3"/>
        <v>@</v>
      </c>
      <c r="D158" s="521"/>
      <c r="E158" s="522"/>
      <c r="F158" s="522"/>
      <c r="G158" s="522"/>
      <c r="H158" s="522"/>
      <c r="I158" s="522"/>
      <c r="J158" s="522"/>
      <c r="K158" s="527"/>
      <c r="L158" s="528"/>
      <c r="M158" s="528"/>
      <c r="N158" s="528"/>
      <c r="O158" s="528"/>
      <c r="P158" s="528"/>
      <c r="Q158" s="528"/>
      <c r="R158" s="533"/>
      <c r="S158" s="534"/>
      <c r="T158" s="533"/>
      <c r="U158" s="534"/>
      <c r="V158" s="527"/>
      <c r="W158" s="528"/>
      <c r="X158" s="528"/>
      <c r="Y158" s="528"/>
      <c r="Z158" s="528"/>
      <c r="AA158" s="528"/>
      <c r="AB158" s="528"/>
      <c r="AC158" s="528"/>
      <c r="AD158" s="527"/>
      <c r="AE158" s="528"/>
      <c r="AF158" s="528"/>
      <c r="AG158" s="528"/>
      <c r="AH158" s="528"/>
      <c r="AI158" s="528"/>
      <c r="AJ158" s="528"/>
      <c r="AK158" s="541"/>
      <c r="AL158" s="527"/>
      <c r="AM158" s="528"/>
      <c r="AN158" s="528"/>
      <c r="AO158" s="528"/>
      <c r="AP158" s="528"/>
      <c r="AQ158" s="528"/>
      <c r="AR158" s="541"/>
      <c r="AS158" s="546"/>
      <c r="AT158" s="547"/>
      <c r="AU158" s="547"/>
      <c r="AV158" s="547"/>
      <c r="AW158" s="547"/>
      <c r="AX158" s="547"/>
      <c r="AY158" s="548"/>
      <c r="AZ158" s="493"/>
      <c r="BA158" s="494"/>
      <c r="BB158" s="105">
        <v>4</v>
      </c>
      <c r="BC158" s="483"/>
      <c r="BD158" s="484"/>
      <c r="BE158" s="484"/>
      <c r="BF158" s="485"/>
      <c r="BG158" s="486"/>
      <c r="BH158" s="487"/>
      <c r="BI158" s="224"/>
      <c r="BJ158" s="488"/>
      <c r="BK158" s="489"/>
      <c r="BL158" s="489"/>
      <c r="BM158" s="489"/>
      <c r="BN158" s="489"/>
      <c r="BO158" s="490"/>
      <c r="BP158" s="488"/>
      <c r="BQ158" s="489"/>
      <c r="BR158" s="489"/>
      <c r="BS158" s="489"/>
      <c r="BT158" s="489"/>
      <c r="BU158" s="490"/>
      <c r="BV158" s="488"/>
      <c r="BW158" s="489"/>
      <c r="BX158" s="489"/>
      <c r="BY158" s="489"/>
      <c r="BZ158" s="489"/>
      <c r="CA158" s="490"/>
      <c r="CB158" s="483"/>
      <c r="CC158" s="484"/>
      <c r="CD158" s="484"/>
      <c r="CE158" s="485"/>
      <c r="CF158" s="477"/>
      <c r="CG158" s="478"/>
      <c r="CH158" s="478"/>
      <c r="CI158" s="478"/>
      <c r="CJ158" s="479"/>
      <c r="CK158" s="477"/>
      <c r="CL158" s="478"/>
      <c r="CM158" s="478"/>
      <c r="CN158" s="478"/>
      <c r="CO158" s="479"/>
      <c r="CP158" s="477"/>
      <c r="CQ158" s="478"/>
      <c r="CR158" s="478"/>
      <c r="CS158" s="478"/>
      <c r="CT158" s="479"/>
      <c r="CU158" s="480"/>
      <c r="CV158" s="481"/>
      <c r="CW158" s="481"/>
      <c r="CX158" s="481"/>
      <c r="CY158" s="482"/>
    </row>
    <row r="159" spans="1:103" s="91" customFormat="1" ht="16.5" x14ac:dyDescent="0.15">
      <c r="A159" s="517"/>
      <c r="B159" s="102"/>
      <c r="C159" s="220" t="str">
        <f t="shared" ca="1" si="3"/>
        <v>@</v>
      </c>
      <c r="D159" s="521"/>
      <c r="E159" s="522"/>
      <c r="F159" s="522"/>
      <c r="G159" s="522"/>
      <c r="H159" s="522"/>
      <c r="I159" s="522"/>
      <c r="J159" s="522"/>
      <c r="K159" s="527"/>
      <c r="L159" s="528"/>
      <c r="M159" s="528"/>
      <c r="N159" s="528"/>
      <c r="O159" s="528"/>
      <c r="P159" s="528"/>
      <c r="Q159" s="528"/>
      <c r="R159" s="533"/>
      <c r="S159" s="534"/>
      <c r="T159" s="533"/>
      <c r="U159" s="534"/>
      <c r="V159" s="527"/>
      <c r="W159" s="528"/>
      <c r="X159" s="528"/>
      <c r="Y159" s="528"/>
      <c r="Z159" s="528"/>
      <c r="AA159" s="528"/>
      <c r="AB159" s="528"/>
      <c r="AC159" s="528"/>
      <c r="AD159" s="527"/>
      <c r="AE159" s="528"/>
      <c r="AF159" s="528"/>
      <c r="AG159" s="528"/>
      <c r="AH159" s="528"/>
      <c r="AI159" s="528"/>
      <c r="AJ159" s="528"/>
      <c r="AK159" s="541"/>
      <c r="AL159" s="527"/>
      <c r="AM159" s="528"/>
      <c r="AN159" s="528"/>
      <c r="AO159" s="528"/>
      <c r="AP159" s="528"/>
      <c r="AQ159" s="528"/>
      <c r="AR159" s="541"/>
      <c r="AS159" s="546"/>
      <c r="AT159" s="547"/>
      <c r="AU159" s="547"/>
      <c r="AV159" s="547"/>
      <c r="AW159" s="547"/>
      <c r="AX159" s="547"/>
      <c r="AY159" s="548"/>
      <c r="AZ159" s="493"/>
      <c r="BA159" s="494"/>
      <c r="BB159" s="105">
        <v>5</v>
      </c>
      <c r="BC159" s="483"/>
      <c r="BD159" s="484"/>
      <c r="BE159" s="484"/>
      <c r="BF159" s="485"/>
      <c r="BG159" s="486"/>
      <c r="BH159" s="487"/>
      <c r="BI159" s="224"/>
      <c r="BJ159" s="488"/>
      <c r="BK159" s="489"/>
      <c r="BL159" s="489"/>
      <c r="BM159" s="489"/>
      <c r="BN159" s="489"/>
      <c r="BO159" s="490"/>
      <c r="BP159" s="488"/>
      <c r="BQ159" s="489"/>
      <c r="BR159" s="489"/>
      <c r="BS159" s="489"/>
      <c r="BT159" s="489"/>
      <c r="BU159" s="490"/>
      <c r="BV159" s="488"/>
      <c r="BW159" s="489"/>
      <c r="BX159" s="489"/>
      <c r="BY159" s="489"/>
      <c r="BZ159" s="489"/>
      <c r="CA159" s="490"/>
      <c r="CB159" s="483"/>
      <c r="CC159" s="484"/>
      <c r="CD159" s="484"/>
      <c r="CE159" s="485"/>
      <c r="CF159" s="477"/>
      <c r="CG159" s="478"/>
      <c r="CH159" s="478"/>
      <c r="CI159" s="478"/>
      <c r="CJ159" s="479"/>
      <c r="CK159" s="477"/>
      <c r="CL159" s="478"/>
      <c r="CM159" s="478"/>
      <c r="CN159" s="478"/>
      <c r="CO159" s="479"/>
      <c r="CP159" s="477"/>
      <c r="CQ159" s="478"/>
      <c r="CR159" s="478"/>
      <c r="CS159" s="478"/>
      <c r="CT159" s="479"/>
      <c r="CU159" s="480"/>
      <c r="CV159" s="481"/>
      <c r="CW159" s="481"/>
      <c r="CX159" s="481"/>
      <c r="CY159" s="482"/>
    </row>
    <row r="160" spans="1:103" s="91" customFormat="1" ht="16.5" x14ac:dyDescent="0.15">
      <c r="A160" s="518"/>
      <c r="B160" s="107"/>
      <c r="C160" s="220" t="str">
        <f t="shared" ca="1" si="3"/>
        <v>@</v>
      </c>
      <c r="D160" s="523"/>
      <c r="E160" s="524"/>
      <c r="F160" s="524"/>
      <c r="G160" s="524"/>
      <c r="H160" s="524"/>
      <c r="I160" s="524"/>
      <c r="J160" s="524"/>
      <c r="K160" s="529"/>
      <c r="L160" s="530"/>
      <c r="M160" s="530"/>
      <c r="N160" s="530"/>
      <c r="O160" s="530"/>
      <c r="P160" s="530"/>
      <c r="Q160" s="530"/>
      <c r="R160" s="535"/>
      <c r="S160" s="536"/>
      <c r="T160" s="535"/>
      <c r="U160" s="537"/>
      <c r="V160" s="529"/>
      <c r="W160" s="539"/>
      <c r="X160" s="539"/>
      <c r="Y160" s="539"/>
      <c r="Z160" s="539"/>
      <c r="AA160" s="539"/>
      <c r="AB160" s="539"/>
      <c r="AC160" s="539"/>
      <c r="AD160" s="529"/>
      <c r="AE160" s="530"/>
      <c r="AF160" s="530"/>
      <c r="AG160" s="530"/>
      <c r="AH160" s="530"/>
      <c r="AI160" s="530"/>
      <c r="AJ160" s="530"/>
      <c r="AK160" s="555"/>
      <c r="AL160" s="529"/>
      <c r="AM160" s="539"/>
      <c r="AN160" s="539"/>
      <c r="AO160" s="539"/>
      <c r="AP160" s="539"/>
      <c r="AQ160" s="539"/>
      <c r="AR160" s="542"/>
      <c r="AS160" s="549"/>
      <c r="AT160" s="550"/>
      <c r="AU160" s="550"/>
      <c r="AV160" s="550"/>
      <c r="AW160" s="550"/>
      <c r="AX160" s="550"/>
      <c r="AY160" s="551"/>
      <c r="AZ160" s="495"/>
      <c r="BA160" s="496"/>
      <c r="BB160" s="108">
        <v>6</v>
      </c>
      <c r="BC160" s="505"/>
      <c r="BD160" s="506"/>
      <c r="BE160" s="506"/>
      <c r="BF160" s="507"/>
      <c r="BG160" s="508"/>
      <c r="BH160" s="509"/>
      <c r="BI160" s="225"/>
      <c r="BJ160" s="510"/>
      <c r="BK160" s="511"/>
      <c r="BL160" s="511"/>
      <c r="BM160" s="511"/>
      <c r="BN160" s="511"/>
      <c r="BO160" s="512"/>
      <c r="BP160" s="510"/>
      <c r="BQ160" s="511"/>
      <c r="BR160" s="511"/>
      <c r="BS160" s="511"/>
      <c r="BT160" s="511"/>
      <c r="BU160" s="512"/>
      <c r="BV160" s="510"/>
      <c r="BW160" s="511"/>
      <c r="BX160" s="511"/>
      <c r="BY160" s="511"/>
      <c r="BZ160" s="511"/>
      <c r="CA160" s="512"/>
      <c r="CB160" s="505"/>
      <c r="CC160" s="506"/>
      <c r="CD160" s="506"/>
      <c r="CE160" s="507"/>
      <c r="CF160" s="477"/>
      <c r="CG160" s="478"/>
      <c r="CH160" s="478"/>
      <c r="CI160" s="478"/>
      <c r="CJ160" s="479"/>
      <c r="CK160" s="477"/>
      <c r="CL160" s="478"/>
      <c r="CM160" s="478"/>
      <c r="CN160" s="478"/>
      <c r="CO160" s="479"/>
      <c r="CP160" s="477"/>
      <c r="CQ160" s="478"/>
      <c r="CR160" s="478"/>
      <c r="CS160" s="478"/>
      <c r="CT160" s="479"/>
      <c r="CU160" s="480"/>
      <c r="CV160" s="481"/>
      <c r="CW160" s="481"/>
      <c r="CX160" s="481"/>
      <c r="CY160" s="482"/>
    </row>
    <row r="161" spans="1:103" s="91" customFormat="1" ht="16.149999999999999" customHeight="1" x14ac:dyDescent="0.15">
      <c r="A161" s="516">
        <v>26</v>
      </c>
      <c r="B161" s="102"/>
      <c r="C161" s="216" t="str">
        <f t="shared" ca="1" si="3"/>
        <v>@</v>
      </c>
      <c r="D161" s="519" t="s">
        <v>579</v>
      </c>
      <c r="E161" s="520"/>
      <c r="F161" s="520"/>
      <c r="G161" s="520"/>
      <c r="H161" s="520"/>
      <c r="I161" s="520"/>
      <c r="J161" s="520"/>
      <c r="K161" s="525" t="s">
        <v>627</v>
      </c>
      <c r="L161" s="526"/>
      <c r="M161" s="526"/>
      <c r="N161" s="526"/>
      <c r="O161" s="526"/>
      <c r="P161" s="526"/>
      <c r="Q161" s="526"/>
      <c r="R161" s="531"/>
      <c r="S161" s="532"/>
      <c r="T161" s="531" t="s">
        <v>284</v>
      </c>
      <c r="U161" s="532"/>
      <c r="V161" s="525" t="s">
        <v>628</v>
      </c>
      <c r="W161" s="538"/>
      <c r="X161" s="538"/>
      <c r="Y161" s="538"/>
      <c r="Z161" s="538"/>
      <c r="AA161" s="538"/>
      <c r="AB161" s="538"/>
      <c r="AC161" s="538"/>
      <c r="AD161" s="525" t="s">
        <v>629</v>
      </c>
      <c r="AE161" s="538"/>
      <c r="AF161" s="538"/>
      <c r="AG161" s="538"/>
      <c r="AH161" s="538"/>
      <c r="AI161" s="538"/>
      <c r="AJ161" s="538"/>
      <c r="AK161" s="540"/>
      <c r="AL161" s="525"/>
      <c r="AM161" s="538"/>
      <c r="AN161" s="538"/>
      <c r="AO161" s="538"/>
      <c r="AP161" s="538"/>
      <c r="AQ161" s="538"/>
      <c r="AR161" s="540"/>
      <c r="AS161" s="543"/>
      <c r="AT161" s="544"/>
      <c r="AU161" s="544"/>
      <c r="AV161" s="544"/>
      <c r="AW161" s="544"/>
      <c r="AX161" s="544"/>
      <c r="AY161" s="545"/>
      <c r="AZ161" s="491" t="s">
        <v>797</v>
      </c>
      <c r="BA161" s="492"/>
      <c r="BB161" s="103">
        <v>1</v>
      </c>
      <c r="BC161" s="497">
        <v>44166</v>
      </c>
      <c r="BD161" s="498"/>
      <c r="BE161" s="498"/>
      <c r="BF161" s="499"/>
      <c r="BG161" s="500" t="s">
        <v>568</v>
      </c>
      <c r="BH161" s="501"/>
      <c r="BI161" s="226"/>
      <c r="BJ161" s="502"/>
      <c r="BK161" s="503"/>
      <c r="BL161" s="503"/>
      <c r="BM161" s="503"/>
      <c r="BN161" s="503"/>
      <c r="BO161" s="504"/>
      <c r="BP161" s="502"/>
      <c r="BQ161" s="503"/>
      <c r="BR161" s="503"/>
      <c r="BS161" s="503"/>
      <c r="BT161" s="503"/>
      <c r="BU161" s="504"/>
      <c r="BV161" s="502"/>
      <c r="BW161" s="503"/>
      <c r="BX161" s="503"/>
      <c r="BY161" s="503"/>
      <c r="BZ161" s="503"/>
      <c r="CA161" s="504"/>
      <c r="CB161" s="497"/>
      <c r="CC161" s="498"/>
      <c r="CD161" s="498"/>
      <c r="CE161" s="499"/>
      <c r="CF161" s="477"/>
      <c r="CG161" s="478"/>
      <c r="CH161" s="478"/>
      <c r="CI161" s="478"/>
      <c r="CJ161" s="479"/>
      <c r="CK161" s="477"/>
      <c r="CL161" s="478"/>
      <c r="CM161" s="478"/>
      <c r="CN161" s="478"/>
      <c r="CO161" s="479"/>
      <c r="CP161" s="477"/>
      <c r="CQ161" s="478"/>
      <c r="CR161" s="478"/>
      <c r="CS161" s="478"/>
      <c r="CT161" s="479"/>
      <c r="CU161" s="480"/>
      <c r="CV161" s="481"/>
      <c r="CW161" s="481"/>
      <c r="CX161" s="481"/>
      <c r="CY161" s="482"/>
    </row>
    <row r="162" spans="1:103" s="91" customFormat="1" ht="16.5" x14ac:dyDescent="0.15">
      <c r="A162" s="517"/>
      <c r="B162" s="102"/>
      <c r="C162" s="220" t="str">
        <f t="shared" ca="1" si="3"/>
        <v>@</v>
      </c>
      <c r="D162" s="521"/>
      <c r="E162" s="522"/>
      <c r="F162" s="522"/>
      <c r="G162" s="522"/>
      <c r="H162" s="522"/>
      <c r="I162" s="522"/>
      <c r="J162" s="522"/>
      <c r="K162" s="527"/>
      <c r="L162" s="528"/>
      <c r="M162" s="528"/>
      <c r="N162" s="528"/>
      <c r="O162" s="528"/>
      <c r="P162" s="528"/>
      <c r="Q162" s="528"/>
      <c r="R162" s="533"/>
      <c r="S162" s="534"/>
      <c r="T162" s="533"/>
      <c r="U162" s="534"/>
      <c r="V162" s="527"/>
      <c r="W162" s="528"/>
      <c r="X162" s="528"/>
      <c r="Y162" s="528"/>
      <c r="Z162" s="528"/>
      <c r="AA162" s="528"/>
      <c r="AB162" s="528"/>
      <c r="AC162" s="528"/>
      <c r="AD162" s="527"/>
      <c r="AE162" s="528"/>
      <c r="AF162" s="528"/>
      <c r="AG162" s="528"/>
      <c r="AH162" s="528"/>
      <c r="AI162" s="528"/>
      <c r="AJ162" s="528"/>
      <c r="AK162" s="541"/>
      <c r="AL162" s="527"/>
      <c r="AM162" s="528"/>
      <c r="AN162" s="528"/>
      <c r="AO162" s="528"/>
      <c r="AP162" s="528"/>
      <c r="AQ162" s="528"/>
      <c r="AR162" s="541"/>
      <c r="AS162" s="546"/>
      <c r="AT162" s="547"/>
      <c r="AU162" s="547"/>
      <c r="AV162" s="547"/>
      <c r="AW162" s="547"/>
      <c r="AX162" s="547"/>
      <c r="AY162" s="548"/>
      <c r="AZ162" s="493"/>
      <c r="BA162" s="494"/>
      <c r="BB162" s="105">
        <v>2</v>
      </c>
      <c r="BC162" s="483"/>
      <c r="BD162" s="484"/>
      <c r="BE162" s="484"/>
      <c r="BF162" s="485"/>
      <c r="BG162" s="486"/>
      <c r="BH162" s="487"/>
      <c r="BI162" s="224"/>
      <c r="BJ162" s="488"/>
      <c r="BK162" s="489"/>
      <c r="BL162" s="489"/>
      <c r="BM162" s="489"/>
      <c r="BN162" s="489"/>
      <c r="BO162" s="490"/>
      <c r="BP162" s="488"/>
      <c r="BQ162" s="489"/>
      <c r="BR162" s="489"/>
      <c r="BS162" s="489"/>
      <c r="BT162" s="489"/>
      <c r="BU162" s="490"/>
      <c r="BV162" s="488"/>
      <c r="BW162" s="489"/>
      <c r="BX162" s="489"/>
      <c r="BY162" s="489"/>
      <c r="BZ162" s="489"/>
      <c r="CA162" s="490"/>
      <c r="CB162" s="483"/>
      <c r="CC162" s="484"/>
      <c r="CD162" s="484"/>
      <c r="CE162" s="485"/>
      <c r="CF162" s="477"/>
      <c r="CG162" s="478"/>
      <c r="CH162" s="478"/>
      <c r="CI162" s="478"/>
      <c r="CJ162" s="479"/>
      <c r="CK162" s="477"/>
      <c r="CL162" s="478"/>
      <c r="CM162" s="478"/>
      <c r="CN162" s="478"/>
      <c r="CO162" s="479"/>
      <c r="CP162" s="477"/>
      <c r="CQ162" s="478"/>
      <c r="CR162" s="478"/>
      <c r="CS162" s="478"/>
      <c r="CT162" s="479"/>
      <c r="CU162" s="480"/>
      <c r="CV162" s="481"/>
      <c r="CW162" s="481"/>
      <c r="CX162" s="481"/>
      <c r="CY162" s="482"/>
    </row>
    <row r="163" spans="1:103" s="91" customFormat="1" ht="16.5" x14ac:dyDescent="0.15">
      <c r="A163" s="517"/>
      <c r="B163" s="102"/>
      <c r="C163" s="220" t="str">
        <f t="shared" ca="1" si="3"/>
        <v>@</v>
      </c>
      <c r="D163" s="521"/>
      <c r="E163" s="522"/>
      <c r="F163" s="522"/>
      <c r="G163" s="522"/>
      <c r="H163" s="522"/>
      <c r="I163" s="522"/>
      <c r="J163" s="522"/>
      <c r="K163" s="527"/>
      <c r="L163" s="528"/>
      <c r="M163" s="528"/>
      <c r="N163" s="528"/>
      <c r="O163" s="528"/>
      <c r="P163" s="528"/>
      <c r="Q163" s="528"/>
      <c r="R163" s="533"/>
      <c r="S163" s="534"/>
      <c r="T163" s="533"/>
      <c r="U163" s="534"/>
      <c r="V163" s="527"/>
      <c r="W163" s="528"/>
      <c r="X163" s="528"/>
      <c r="Y163" s="528"/>
      <c r="Z163" s="528"/>
      <c r="AA163" s="528"/>
      <c r="AB163" s="528"/>
      <c r="AC163" s="528"/>
      <c r="AD163" s="527"/>
      <c r="AE163" s="528"/>
      <c r="AF163" s="528"/>
      <c r="AG163" s="528"/>
      <c r="AH163" s="528"/>
      <c r="AI163" s="528"/>
      <c r="AJ163" s="528"/>
      <c r="AK163" s="541"/>
      <c r="AL163" s="527"/>
      <c r="AM163" s="528"/>
      <c r="AN163" s="528"/>
      <c r="AO163" s="528"/>
      <c r="AP163" s="528"/>
      <c r="AQ163" s="528"/>
      <c r="AR163" s="541"/>
      <c r="AS163" s="546"/>
      <c r="AT163" s="547"/>
      <c r="AU163" s="547"/>
      <c r="AV163" s="547"/>
      <c r="AW163" s="547"/>
      <c r="AX163" s="547"/>
      <c r="AY163" s="548"/>
      <c r="AZ163" s="493"/>
      <c r="BA163" s="494"/>
      <c r="BB163" s="105">
        <v>3</v>
      </c>
      <c r="BC163" s="483"/>
      <c r="BD163" s="484"/>
      <c r="BE163" s="484"/>
      <c r="BF163" s="485"/>
      <c r="BG163" s="486"/>
      <c r="BH163" s="487"/>
      <c r="BI163" s="224"/>
      <c r="BJ163" s="488"/>
      <c r="BK163" s="489"/>
      <c r="BL163" s="489"/>
      <c r="BM163" s="489"/>
      <c r="BN163" s="489"/>
      <c r="BO163" s="490"/>
      <c r="BP163" s="488"/>
      <c r="BQ163" s="489"/>
      <c r="BR163" s="489"/>
      <c r="BS163" s="489"/>
      <c r="BT163" s="489"/>
      <c r="BU163" s="490"/>
      <c r="BV163" s="488"/>
      <c r="BW163" s="489"/>
      <c r="BX163" s="489"/>
      <c r="BY163" s="489"/>
      <c r="BZ163" s="489"/>
      <c r="CA163" s="490"/>
      <c r="CB163" s="483"/>
      <c r="CC163" s="484"/>
      <c r="CD163" s="484"/>
      <c r="CE163" s="485"/>
      <c r="CF163" s="477"/>
      <c r="CG163" s="478"/>
      <c r="CH163" s="478"/>
      <c r="CI163" s="478"/>
      <c r="CJ163" s="479"/>
      <c r="CK163" s="477"/>
      <c r="CL163" s="478"/>
      <c r="CM163" s="478"/>
      <c r="CN163" s="478"/>
      <c r="CO163" s="479"/>
      <c r="CP163" s="477"/>
      <c r="CQ163" s="478"/>
      <c r="CR163" s="478"/>
      <c r="CS163" s="478"/>
      <c r="CT163" s="479"/>
      <c r="CU163" s="480"/>
      <c r="CV163" s="481"/>
      <c r="CW163" s="481"/>
      <c r="CX163" s="481"/>
      <c r="CY163" s="482"/>
    </row>
    <row r="164" spans="1:103" s="91" customFormat="1" ht="16.5" x14ac:dyDescent="0.15">
      <c r="A164" s="517"/>
      <c r="B164" s="102"/>
      <c r="C164" s="220" t="str">
        <f t="shared" ca="1" si="3"/>
        <v>@</v>
      </c>
      <c r="D164" s="521"/>
      <c r="E164" s="522"/>
      <c r="F164" s="522"/>
      <c r="G164" s="522"/>
      <c r="H164" s="522"/>
      <c r="I164" s="522"/>
      <c r="J164" s="522"/>
      <c r="K164" s="527"/>
      <c r="L164" s="528"/>
      <c r="M164" s="528"/>
      <c r="N164" s="528"/>
      <c r="O164" s="528"/>
      <c r="P164" s="528"/>
      <c r="Q164" s="528"/>
      <c r="R164" s="533"/>
      <c r="S164" s="534"/>
      <c r="T164" s="533"/>
      <c r="U164" s="534"/>
      <c r="V164" s="527"/>
      <c r="W164" s="528"/>
      <c r="X164" s="528"/>
      <c r="Y164" s="528"/>
      <c r="Z164" s="528"/>
      <c r="AA164" s="528"/>
      <c r="AB164" s="528"/>
      <c r="AC164" s="528"/>
      <c r="AD164" s="527"/>
      <c r="AE164" s="528"/>
      <c r="AF164" s="528"/>
      <c r="AG164" s="528"/>
      <c r="AH164" s="528"/>
      <c r="AI164" s="528"/>
      <c r="AJ164" s="528"/>
      <c r="AK164" s="541"/>
      <c r="AL164" s="527"/>
      <c r="AM164" s="528"/>
      <c r="AN164" s="528"/>
      <c r="AO164" s="528"/>
      <c r="AP164" s="528"/>
      <c r="AQ164" s="528"/>
      <c r="AR164" s="541"/>
      <c r="AS164" s="546"/>
      <c r="AT164" s="547"/>
      <c r="AU164" s="547"/>
      <c r="AV164" s="547"/>
      <c r="AW164" s="547"/>
      <c r="AX164" s="547"/>
      <c r="AY164" s="548"/>
      <c r="AZ164" s="493"/>
      <c r="BA164" s="494"/>
      <c r="BB164" s="105">
        <v>4</v>
      </c>
      <c r="BC164" s="483"/>
      <c r="BD164" s="484"/>
      <c r="BE164" s="484"/>
      <c r="BF164" s="485"/>
      <c r="BG164" s="486"/>
      <c r="BH164" s="487"/>
      <c r="BI164" s="224"/>
      <c r="BJ164" s="488"/>
      <c r="BK164" s="489"/>
      <c r="BL164" s="489"/>
      <c r="BM164" s="489"/>
      <c r="BN164" s="489"/>
      <c r="BO164" s="490"/>
      <c r="BP164" s="488"/>
      <c r="BQ164" s="489"/>
      <c r="BR164" s="489"/>
      <c r="BS164" s="489"/>
      <c r="BT164" s="489"/>
      <c r="BU164" s="490"/>
      <c r="BV164" s="488"/>
      <c r="BW164" s="489"/>
      <c r="BX164" s="489"/>
      <c r="BY164" s="489"/>
      <c r="BZ164" s="489"/>
      <c r="CA164" s="490"/>
      <c r="CB164" s="483"/>
      <c r="CC164" s="484"/>
      <c r="CD164" s="484"/>
      <c r="CE164" s="485"/>
      <c r="CF164" s="477"/>
      <c r="CG164" s="478"/>
      <c r="CH164" s="478"/>
      <c r="CI164" s="478"/>
      <c r="CJ164" s="479"/>
      <c r="CK164" s="477"/>
      <c r="CL164" s="478"/>
      <c r="CM164" s="478"/>
      <c r="CN164" s="478"/>
      <c r="CO164" s="479"/>
      <c r="CP164" s="477"/>
      <c r="CQ164" s="478"/>
      <c r="CR164" s="478"/>
      <c r="CS164" s="478"/>
      <c r="CT164" s="479"/>
      <c r="CU164" s="480"/>
      <c r="CV164" s="481"/>
      <c r="CW164" s="481"/>
      <c r="CX164" s="481"/>
      <c r="CY164" s="482"/>
    </row>
    <row r="165" spans="1:103" s="91" customFormat="1" ht="16.5" x14ac:dyDescent="0.15">
      <c r="A165" s="517"/>
      <c r="B165" s="102"/>
      <c r="C165" s="220" t="str">
        <f t="shared" ca="1" si="3"/>
        <v>@</v>
      </c>
      <c r="D165" s="521"/>
      <c r="E165" s="522"/>
      <c r="F165" s="522"/>
      <c r="G165" s="522"/>
      <c r="H165" s="522"/>
      <c r="I165" s="522"/>
      <c r="J165" s="522"/>
      <c r="K165" s="527"/>
      <c r="L165" s="528"/>
      <c r="M165" s="528"/>
      <c r="N165" s="528"/>
      <c r="O165" s="528"/>
      <c r="P165" s="528"/>
      <c r="Q165" s="528"/>
      <c r="R165" s="533"/>
      <c r="S165" s="534"/>
      <c r="T165" s="533"/>
      <c r="U165" s="534"/>
      <c r="V165" s="527"/>
      <c r="W165" s="528"/>
      <c r="X165" s="528"/>
      <c r="Y165" s="528"/>
      <c r="Z165" s="528"/>
      <c r="AA165" s="528"/>
      <c r="AB165" s="528"/>
      <c r="AC165" s="528"/>
      <c r="AD165" s="527"/>
      <c r="AE165" s="528"/>
      <c r="AF165" s="528"/>
      <c r="AG165" s="528"/>
      <c r="AH165" s="528"/>
      <c r="AI165" s="528"/>
      <c r="AJ165" s="528"/>
      <c r="AK165" s="541"/>
      <c r="AL165" s="527"/>
      <c r="AM165" s="528"/>
      <c r="AN165" s="528"/>
      <c r="AO165" s="528"/>
      <c r="AP165" s="528"/>
      <c r="AQ165" s="528"/>
      <c r="AR165" s="541"/>
      <c r="AS165" s="546"/>
      <c r="AT165" s="547"/>
      <c r="AU165" s="547"/>
      <c r="AV165" s="547"/>
      <c r="AW165" s="547"/>
      <c r="AX165" s="547"/>
      <c r="AY165" s="548"/>
      <c r="AZ165" s="493"/>
      <c r="BA165" s="494"/>
      <c r="BB165" s="105">
        <v>5</v>
      </c>
      <c r="BC165" s="483"/>
      <c r="BD165" s="484"/>
      <c r="BE165" s="484"/>
      <c r="BF165" s="485"/>
      <c r="BG165" s="486"/>
      <c r="BH165" s="487"/>
      <c r="BI165" s="224"/>
      <c r="BJ165" s="488"/>
      <c r="BK165" s="489"/>
      <c r="BL165" s="489"/>
      <c r="BM165" s="489"/>
      <c r="BN165" s="489"/>
      <c r="BO165" s="490"/>
      <c r="BP165" s="488"/>
      <c r="BQ165" s="489"/>
      <c r="BR165" s="489"/>
      <c r="BS165" s="489"/>
      <c r="BT165" s="489"/>
      <c r="BU165" s="490"/>
      <c r="BV165" s="488"/>
      <c r="BW165" s="489"/>
      <c r="BX165" s="489"/>
      <c r="BY165" s="489"/>
      <c r="BZ165" s="489"/>
      <c r="CA165" s="490"/>
      <c r="CB165" s="483"/>
      <c r="CC165" s="484"/>
      <c r="CD165" s="484"/>
      <c r="CE165" s="485"/>
      <c r="CF165" s="477"/>
      <c r="CG165" s="478"/>
      <c r="CH165" s="478"/>
      <c r="CI165" s="478"/>
      <c r="CJ165" s="479"/>
      <c r="CK165" s="477"/>
      <c r="CL165" s="478"/>
      <c r="CM165" s="478"/>
      <c r="CN165" s="478"/>
      <c r="CO165" s="479"/>
      <c r="CP165" s="477"/>
      <c r="CQ165" s="478"/>
      <c r="CR165" s="478"/>
      <c r="CS165" s="478"/>
      <c r="CT165" s="479"/>
      <c r="CU165" s="480"/>
      <c r="CV165" s="481"/>
      <c r="CW165" s="481"/>
      <c r="CX165" s="481"/>
      <c r="CY165" s="482"/>
    </row>
    <row r="166" spans="1:103" s="91" customFormat="1" ht="16.5" x14ac:dyDescent="0.15">
      <c r="A166" s="518"/>
      <c r="B166" s="107"/>
      <c r="C166" s="219" t="str">
        <f t="shared" ca="1" si="3"/>
        <v>@</v>
      </c>
      <c r="D166" s="523"/>
      <c r="E166" s="524"/>
      <c r="F166" s="524"/>
      <c r="G166" s="524"/>
      <c r="H166" s="524"/>
      <c r="I166" s="524"/>
      <c r="J166" s="524"/>
      <c r="K166" s="529"/>
      <c r="L166" s="530"/>
      <c r="M166" s="530"/>
      <c r="N166" s="530"/>
      <c r="O166" s="530"/>
      <c r="P166" s="530"/>
      <c r="Q166" s="530"/>
      <c r="R166" s="535"/>
      <c r="S166" s="536"/>
      <c r="T166" s="535"/>
      <c r="U166" s="537"/>
      <c r="V166" s="529"/>
      <c r="W166" s="539"/>
      <c r="X166" s="539"/>
      <c r="Y166" s="539"/>
      <c r="Z166" s="539"/>
      <c r="AA166" s="539"/>
      <c r="AB166" s="539"/>
      <c r="AC166" s="539"/>
      <c r="AD166" s="529"/>
      <c r="AE166" s="539"/>
      <c r="AF166" s="539"/>
      <c r="AG166" s="539"/>
      <c r="AH166" s="539"/>
      <c r="AI166" s="539"/>
      <c r="AJ166" s="539"/>
      <c r="AK166" s="542"/>
      <c r="AL166" s="529"/>
      <c r="AM166" s="539"/>
      <c r="AN166" s="539"/>
      <c r="AO166" s="539"/>
      <c r="AP166" s="539"/>
      <c r="AQ166" s="539"/>
      <c r="AR166" s="542"/>
      <c r="AS166" s="549"/>
      <c r="AT166" s="550"/>
      <c r="AU166" s="550"/>
      <c r="AV166" s="550"/>
      <c r="AW166" s="550"/>
      <c r="AX166" s="550"/>
      <c r="AY166" s="551"/>
      <c r="AZ166" s="495"/>
      <c r="BA166" s="496"/>
      <c r="BB166" s="108">
        <v>6</v>
      </c>
      <c r="BC166" s="505"/>
      <c r="BD166" s="506"/>
      <c r="BE166" s="506"/>
      <c r="BF166" s="507"/>
      <c r="BG166" s="508"/>
      <c r="BH166" s="509"/>
      <c r="BI166" s="227"/>
      <c r="BJ166" s="510"/>
      <c r="BK166" s="511"/>
      <c r="BL166" s="511"/>
      <c r="BM166" s="511"/>
      <c r="BN166" s="511"/>
      <c r="BO166" s="512"/>
      <c r="BP166" s="510"/>
      <c r="BQ166" s="511"/>
      <c r="BR166" s="511"/>
      <c r="BS166" s="511"/>
      <c r="BT166" s="511"/>
      <c r="BU166" s="512"/>
      <c r="BV166" s="510"/>
      <c r="BW166" s="511"/>
      <c r="BX166" s="511"/>
      <c r="BY166" s="511"/>
      <c r="BZ166" s="511"/>
      <c r="CA166" s="512"/>
      <c r="CB166" s="513"/>
      <c r="CC166" s="514"/>
      <c r="CD166" s="514"/>
      <c r="CE166" s="515"/>
      <c r="CF166" s="477"/>
      <c r="CG166" s="478"/>
      <c r="CH166" s="478"/>
      <c r="CI166" s="478"/>
      <c r="CJ166" s="479"/>
      <c r="CK166" s="477"/>
      <c r="CL166" s="478"/>
      <c r="CM166" s="478"/>
      <c r="CN166" s="478"/>
      <c r="CO166" s="479"/>
      <c r="CP166" s="477"/>
      <c r="CQ166" s="478"/>
      <c r="CR166" s="478"/>
      <c r="CS166" s="478"/>
      <c r="CT166" s="479"/>
      <c r="CU166" s="480"/>
      <c r="CV166" s="481"/>
      <c r="CW166" s="481"/>
      <c r="CX166" s="481"/>
      <c r="CY166" s="482"/>
    </row>
    <row r="167" spans="1:103" ht="15" x14ac:dyDescent="0.15">
      <c r="A167" s="244" t="s">
        <v>194</v>
      </c>
      <c r="B167" s="245"/>
      <c r="C167" s="245"/>
      <c r="D167" s="246"/>
      <c r="E167" s="246"/>
      <c r="F167" s="246"/>
      <c r="G167" s="246"/>
      <c r="H167" s="246"/>
      <c r="I167" s="246"/>
      <c r="J167" s="246"/>
      <c r="K167" s="246"/>
      <c r="L167" s="246"/>
      <c r="M167" s="246"/>
      <c r="N167" s="246"/>
      <c r="O167" s="246"/>
      <c r="P167" s="246"/>
      <c r="Q167" s="246"/>
      <c r="R167" s="246"/>
      <c r="S167" s="246"/>
      <c r="T167" s="246"/>
      <c r="U167" s="246"/>
      <c r="V167" s="246"/>
      <c r="W167" s="246"/>
      <c r="X167" s="246"/>
      <c r="Y167" s="246"/>
      <c r="Z167" s="246"/>
      <c r="AA167" s="246"/>
      <c r="AB167" s="246"/>
      <c r="AC167" s="246"/>
      <c r="AD167" s="246"/>
      <c r="AE167" s="246"/>
      <c r="AF167" s="246"/>
      <c r="AG167" s="246"/>
      <c r="AH167" s="246"/>
      <c r="AI167" s="246"/>
      <c r="AJ167" s="246"/>
      <c r="AK167" s="246"/>
      <c r="AL167" s="246"/>
      <c r="AM167" s="246"/>
      <c r="AN167" s="246"/>
      <c r="AO167" s="246"/>
      <c r="AP167" s="246"/>
      <c r="AQ167" s="246"/>
      <c r="AR167" s="246"/>
      <c r="AS167" s="246"/>
      <c r="AT167" s="246"/>
      <c r="AU167" s="246"/>
      <c r="AV167" s="246"/>
      <c r="AW167" s="246"/>
      <c r="AX167" s="246"/>
      <c r="AY167" s="246"/>
      <c r="AZ167" s="246"/>
      <c r="BA167" s="246"/>
      <c r="BB167" s="246"/>
      <c r="BC167" s="246"/>
      <c r="BD167" s="246"/>
      <c r="BE167" s="246"/>
      <c r="BF167" s="246"/>
      <c r="BG167" s="246"/>
      <c r="BH167" s="246"/>
      <c r="BI167" s="246"/>
      <c r="BJ167" s="246"/>
      <c r="BK167" s="246"/>
      <c r="BL167" s="246"/>
      <c r="BM167" s="246"/>
      <c r="BN167" s="246"/>
      <c r="BO167" s="246"/>
      <c r="BP167" s="246"/>
      <c r="BQ167" s="246"/>
      <c r="BR167" s="246"/>
      <c r="BS167" s="246"/>
      <c r="BT167" s="246"/>
      <c r="BU167" s="246"/>
      <c r="BV167" s="246"/>
      <c r="BW167" s="246"/>
      <c r="BX167" s="246"/>
      <c r="BY167" s="246"/>
      <c r="BZ167" s="246"/>
      <c r="CA167" s="246"/>
      <c r="CB167" s="246"/>
      <c r="CC167" s="246"/>
      <c r="CD167" s="246"/>
      <c r="CE167" s="246"/>
      <c r="CF167" s="246"/>
      <c r="CG167" s="246"/>
      <c r="CH167" s="246"/>
      <c r="CI167" s="246"/>
      <c r="CJ167" s="246"/>
      <c r="CK167" s="246"/>
      <c r="CL167" s="246"/>
      <c r="CM167" s="246"/>
      <c r="CN167" s="246"/>
      <c r="CO167" s="246"/>
      <c r="CP167" s="246"/>
      <c r="CQ167" s="246"/>
      <c r="CR167" s="246"/>
      <c r="CS167" s="246"/>
      <c r="CT167" s="246"/>
      <c r="CU167" s="246"/>
      <c r="CV167" s="246"/>
      <c r="CW167" s="246"/>
      <c r="CX167" s="246"/>
      <c r="CY167" s="246"/>
    </row>
    <row r="168" spans="1:103" x14ac:dyDescent="0.15">
      <c r="A168" s="113"/>
    </row>
  </sheetData>
  <mergeCells count="1349">
    <mergeCell ref="CP161:CT166"/>
    <mergeCell ref="CU161:CY166"/>
    <mergeCell ref="BC162:BF162"/>
    <mergeCell ref="BG162:BH162"/>
    <mergeCell ref="BJ162:BO162"/>
    <mergeCell ref="BP162:BU162"/>
    <mergeCell ref="BV162:CA162"/>
    <mergeCell ref="CB162:CE162"/>
    <mergeCell ref="BC163:BF163"/>
    <mergeCell ref="BG163:BH163"/>
    <mergeCell ref="BJ161:BO161"/>
    <mergeCell ref="BP161:BU161"/>
    <mergeCell ref="BV161:CA161"/>
    <mergeCell ref="CB161:CE161"/>
    <mergeCell ref="CF161:CJ166"/>
    <mergeCell ref="CK161:CO166"/>
    <mergeCell ref="BJ163:BO163"/>
    <mergeCell ref="BP163:BU163"/>
    <mergeCell ref="BV163:CA163"/>
    <mergeCell ref="CB163:CE163"/>
    <mergeCell ref="BC161:BF161"/>
    <mergeCell ref="BG161:BH161"/>
    <mergeCell ref="BC164:BF164"/>
    <mergeCell ref="BG164:BH164"/>
    <mergeCell ref="A161:A166"/>
    <mergeCell ref="D161:J166"/>
    <mergeCell ref="K161:Q166"/>
    <mergeCell ref="R161:S166"/>
    <mergeCell ref="T161:U166"/>
    <mergeCell ref="V161:AC166"/>
    <mergeCell ref="BJ164:BO164"/>
    <mergeCell ref="BP164:BU164"/>
    <mergeCell ref="BV164:CA164"/>
    <mergeCell ref="CB164:CE164"/>
    <mergeCell ref="BC165:BF165"/>
    <mergeCell ref="BG165:BH165"/>
    <mergeCell ref="BJ165:BO165"/>
    <mergeCell ref="BP165:BU165"/>
    <mergeCell ref="BV165:CA165"/>
    <mergeCell ref="CB165:CE165"/>
    <mergeCell ref="AD161:AK166"/>
    <mergeCell ref="AL161:AR166"/>
    <mergeCell ref="AS161:AY166"/>
    <mergeCell ref="AZ161:BA166"/>
    <mergeCell ref="BC166:BF166"/>
    <mergeCell ref="BG166:BH166"/>
    <mergeCell ref="BJ166:BO166"/>
    <mergeCell ref="BP166:BU166"/>
    <mergeCell ref="BV166:CA166"/>
    <mergeCell ref="CB166:CE166"/>
    <mergeCell ref="CP155:CT160"/>
    <mergeCell ref="CU155:CY160"/>
    <mergeCell ref="BC156:BF156"/>
    <mergeCell ref="BG156:BH156"/>
    <mergeCell ref="BJ156:BO156"/>
    <mergeCell ref="BP156:BU156"/>
    <mergeCell ref="BV156:CA156"/>
    <mergeCell ref="CB156:CE156"/>
    <mergeCell ref="BC157:BF157"/>
    <mergeCell ref="BG157:BH157"/>
    <mergeCell ref="BJ155:BO155"/>
    <mergeCell ref="BP155:BU155"/>
    <mergeCell ref="BV155:CA155"/>
    <mergeCell ref="CB155:CE155"/>
    <mergeCell ref="CF155:CJ160"/>
    <mergeCell ref="CK155:CO160"/>
    <mergeCell ref="BJ157:BO157"/>
    <mergeCell ref="BP157:BU157"/>
    <mergeCell ref="BV157:CA157"/>
    <mergeCell ref="CB157:CE157"/>
    <mergeCell ref="BC155:BF155"/>
    <mergeCell ref="BG155:BH155"/>
    <mergeCell ref="BC158:BF158"/>
    <mergeCell ref="BG158:BH158"/>
    <mergeCell ref="A155:A160"/>
    <mergeCell ref="D155:J160"/>
    <mergeCell ref="K155:Q160"/>
    <mergeCell ref="R155:S160"/>
    <mergeCell ref="T155:U160"/>
    <mergeCell ref="V155:AC160"/>
    <mergeCell ref="BJ158:BO158"/>
    <mergeCell ref="BP158:BU158"/>
    <mergeCell ref="BV158:CA158"/>
    <mergeCell ref="CB158:CE158"/>
    <mergeCell ref="BC159:BF159"/>
    <mergeCell ref="BG159:BH159"/>
    <mergeCell ref="BJ159:BO159"/>
    <mergeCell ref="BP159:BU159"/>
    <mergeCell ref="BV159:CA159"/>
    <mergeCell ref="CB159:CE159"/>
    <mergeCell ref="AD155:AK160"/>
    <mergeCell ref="AL155:AR160"/>
    <mergeCell ref="AS155:AY160"/>
    <mergeCell ref="AZ155:BA160"/>
    <mergeCell ref="BC160:BF160"/>
    <mergeCell ref="BG160:BH160"/>
    <mergeCell ref="BJ160:BO160"/>
    <mergeCell ref="BP160:BU160"/>
    <mergeCell ref="BV160:CA160"/>
    <mergeCell ref="CB160:CE160"/>
    <mergeCell ref="CP149:CT154"/>
    <mergeCell ref="CU149:CY154"/>
    <mergeCell ref="BC150:BF150"/>
    <mergeCell ref="BG150:BH150"/>
    <mergeCell ref="BJ150:BO150"/>
    <mergeCell ref="BP150:BU150"/>
    <mergeCell ref="BV150:CA150"/>
    <mergeCell ref="CB150:CE150"/>
    <mergeCell ref="BC151:BF151"/>
    <mergeCell ref="BG151:BH151"/>
    <mergeCell ref="BJ149:BO149"/>
    <mergeCell ref="BP149:BU149"/>
    <mergeCell ref="BV149:CA149"/>
    <mergeCell ref="CB149:CE149"/>
    <mergeCell ref="CF149:CJ154"/>
    <mergeCell ref="CK149:CO154"/>
    <mergeCell ref="BJ151:BO151"/>
    <mergeCell ref="BP151:BU151"/>
    <mergeCell ref="BV151:CA151"/>
    <mergeCell ref="CB151:CE151"/>
    <mergeCell ref="BC149:BF149"/>
    <mergeCell ref="BG149:BH149"/>
    <mergeCell ref="BC152:BF152"/>
    <mergeCell ref="BG152:BH152"/>
    <mergeCell ref="A149:A154"/>
    <mergeCell ref="D149:J154"/>
    <mergeCell ref="K149:Q154"/>
    <mergeCell ref="R149:S154"/>
    <mergeCell ref="T149:U154"/>
    <mergeCell ref="V149:AC154"/>
    <mergeCell ref="BJ152:BO152"/>
    <mergeCell ref="BP152:BU152"/>
    <mergeCell ref="BV152:CA152"/>
    <mergeCell ref="CB152:CE152"/>
    <mergeCell ref="BC153:BF153"/>
    <mergeCell ref="BG153:BH153"/>
    <mergeCell ref="BJ153:BO153"/>
    <mergeCell ref="BP153:BU153"/>
    <mergeCell ref="BV153:CA153"/>
    <mergeCell ref="CB153:CE153"/>
    <mergeCell ref="AD149:AK154"/>
    <mergeCell ref="AL149:AR154"/>
    <mergeCell ref="AS149:AY154"/>
    <mergeCell ref="AZ149:BA154"/>
    <mergeCell ref="BC154:BF154"/>
    <mergeCell ref="BG154:BH154"/>
    <mergeCell ref="BJ154:BO154"/>
    <mergeCell ref="BP154:BU154"/>
    <mergeCell ref="BV154:CA154"/>
    <mergeCell ref="CB154:CE154"/>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A35:A40"/>
    <mergeCell ref="D35:J40"/>
    <mergeCell ref="K35:Q40"/>
    <mergeCell ref="R35:S40"/>
    <mergeCell ref="T35:U40"/>
    <mergeCell ref="V35:AC40"/>
    <mergeCell ref="BJ38:BO38"/>
    <mergeCell ref="BP38:BU38"/>
    <mergeCell ref="BV38:CA38"/>
    <mergeCell ref="CB38:CE38"/>
    <mergeCell ref="BC39:BF39"/>
    <mergeCell ref="BG39:BH39"/>
    <mergeCell ref="BJ39:BO39"/>
    <mergeCell ref="BP39:BU39"/>
    <mergeCell ref="BV39:CA39"/>
    <mergeCell ref="CB39:CE39"/>
    <mergeCell ref="AD35:AK40"/>
    <mergeCell ref="AL35:AR40"/>
    <mergeCell ref="AS35:AY40"/>
    <mergeCell ref="AZ35:BA40"/>
    <mergeCell ref="BC40:BF40"/>
    <mergeCell ref="BG40:BH40"/>
    <mergeCell ref="BJ40:BO40"/>
    <mergeCell ref="BP40:BU40"/>
    <mergeCell ref="BV40:CA40"/>
    <mergeCell ref="CB40:CE40"/>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BC34:BF34"/>
    <mergeCell ref="BG34:BH34"/>
    <mergeCell ref="BJ34:BO34"/>
    <mergeCell ref="BP34:BU34"/>
    <mergeCell ref="BV34:CA34"/>
    <mergeCell ref="CB34:CE34"/>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AD23:AK28"/>
    <mergeCell ref="AL23:AR28"/>
    <mergeCell ref="AS23:AY28"/>
    <mergeCell ref="AZ23:BA28"/>
    <mergeCell ref="BC28:BF28"/>
    <mergeCell ref="BG28:BH28"/>
    <mergeCell ref="BJ28:BO28"/>
    <mergeCell ref="BP28:BU28"/>
    <mergeCell ref="BV28:CA28"/>
    <mergeCell ref="CB28:CE28"/>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A17:A22"/>
    <mergeCell ref="D17:J22"/>
    <mergeCell ref="K17:Q22"/>
    <mergeCell ref="R17:S22"/>
    <mergeCell ref="T17:U22"/>
    <mergeCell ref="V17:AC22"/>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BC22:BF22"/>
    <mergeCell ref="BG22:BH22"/>
    <mergeCell ref="BJ22:BO22"/>
    <mergeCell ref="BP22:BU22"/>
    <mergeCell ref="BV22:CA22"/>
    <mergeCell ref="CB22:CE22"/>
    <mergeCell ref="BV14:CA14"/>
    <mergeCell ref="CB14:CE14"/>
    <mergeCell ref="BC15:BF15"/>
    <mergeCell ref="BG15:BH15"/>
    <mergeCell ref="BJ15:BO15"/>
    <mergeCell ref="BP15:BU15"/>
    <mergeCell ref="BV15:CA15"/>
    <mergeCell ref="CB15:CE15"/>
    <mergeCell ref="AD11:AK16"/>
    <mergeCell ref="AL11:AR16"/>
    <mergeCell ref="AS11:AY16"/>
    <mergeCell ref="AZ11:BA16"/>
    <mergeCell ref="A11:A16"/>
    <mergeCell ref="D11:J16"/>
    <mergeCell ref="K11:Q16"/>
    <mergeCell ref="R11:S16"/>
    <mergeCell ref="T11:U16"/>
    <mergeCell ref="V11:AC16"/>
    <mergeCell ref="CP11:CT16"/>
    <mergeCell ref="CU11:CY16"/>
    <mergeCell ref="BC12:BF12"/>
    <mergeCell ref="BG12:BH12"/>
    <mergeCell ref="BJ12:BO12"/>
    <mergeCell ref="BP12:BU12"/>
    <mergeCell ref="BV12:CA12"/>
    <mergeCell ref="CB12:CE12"/>
    <mergeCell ref="BC13:BF13"/>
    <mergeCell ref="BG13:BH13"/>
    <mergeCell ref="BJ11:BO11"/>
    <mergeCell ref="BP11:BU11"/>
    <mergeCell ref="BV11:CA11"/>
    <mergeCell ref="CB11:CE11"/>
    <mergeCell ref="CF11:CJ16"/>
    <mergeCell ref="CK11:CO16"/>
    <mergeCell ref="BJ13:BO13"/>
    <mergeCell ref="BP13:BU13"/>
    <mergeCell ref="BV13:CA13"/>
    <mergeCell ref="CB13:CE13"/>
    <mergeCell ref="BC11:BF11"/>
    <mergeCell ref="BG11:BH11"/>
    <mergeCell ref="BC14:BF14"/>
    <mergeCell ref="BG14:BH14"/>
    <mergeCell ref="BC16:BF16"/>
    <mergeCell ref="BG16:BH16"/>
    <mergeCell ref="BJ16:BO16"/>
    <mergeCell ref="BP16:BU16"/>
    <mergeCell ref="BV16:CA16"/>
    <mergeCell ref="CB16:CE16"/>
    <mergeCell ref="BJ14:BO14"/>
    <mergeCell ref="BP14:BU14"/>
    <mergeCell ref="BB8:BB10"/>
    <mergeCell ref="CN2:CQ2"/>
    <mergeCell ref="CR2:CS2"/>
    <mergeCell ref="CT2:CW2"/>
    <mergeCell ref="CX2:CY2"/>
    <mergeCell ref="B5:C5"/>
    <mergeCell ref="AZ5:BC5"/>
    <mergeCell ref="BG5:BP5"/>
    <mergeCell ref="A1:M4"/>
    <mergeCell ref="N1:AO4"/>
    <mergeCell ref="AP1:AY1"/>
    <mergeCell ref="AZ1:BH1"/>
    <mergeCell ref="AP2:AY4"/>
    <mergeCell ref="AZ2:BH4"/>
    <mergeCell ref="BC8:BF10"/>
    <mergeCell ref="BG8:BH10"/>
    <mergeCell ref="BI8:BI10"/>
    <mergeCell ref="BJ8:BO10"/>
    <mergeCell ref="BP8:BU10"/>
    <mergeCell ref="T8:U10"/>
    <mergeCell ref="V8:AC10"/>
    <mergeCell ref="AD8:AK10"/>
    <mergeCell ref="AL8:AR10"/>
    <mergeCell ref="AS8:AY10"/>
    <mergeCell ref="AZ8:BA10"/>
    <mergeCell ref="I6:S6"/>
    <mergeCell ref="A41:A46"/>
    <mergeCell ref="D41:J46"/>
    <mergeCell ref="K41:Q46"/>
    <mergeCell ref="R41:S46"/>
    <mergeCell ref="T41:U46"/>
    <mergeCell ref="V41:AC46"/>
    <mergeCell ref="AD41:AK46"/>
    <mergeCell ref="AL41:AR46"/>
    <mergeCell ref="AS41:AY46"/>
    <mergeCell ref="DD8:EQ8"/>
    <mergeCell ref="ET8:FC8"/>
    <mergeCell ref="BG6:BM6"/>
    <mergeCell ref="BN6:BX6"/>
    <mergeCell ref="CT6:CW6"/>
    <mergeCell ref="CX6:CY6"/>
    <mergeCell ref="A8:A10"/>
    <mergeCell ref="B8:B10"/>
    <mergeCell ref="C8:C10"/>
    <mergeCell ref="D8:J10"/>
    <mergeCell ref="K8:Q10"/>
    <mergeCell ref="R8:S10"/>
    <mergeCell ref="A6:H6"/>
    <mergeCell ref="T6:Y6"/>
    <mergeCell ref="Z6:AK6"/>
    <mergeCell ref="AL6:AR6"/>
    <mergeCell ref="AS6:BF6"/>
    <mergeCell ref="BV8:CA10"/>
    <mergeCell ref="CB8:CE10"/>
    <mergeCell ref="CF8:CJ10"/>
    <mergeCell ref="CK8:CO10"/>
    <mergeCell ref="CP8:CT10"/>
    <mergeCell ref="CU8:CY10"/>
    <mergeCell ref="BP45:BU45"/>
    <mergeCell ref="AZ41:BA46"/>
    <mergeCell ref="BC41:BF41"/>
    <mergeCell ref="BG41:BH41"/>
    <mergeCell ref="BJ41:BO41"/>
    <mergeCell ref="BP41:BU41"/>
    <mergeCell ref="BV41:CA41"/>
    <mergeCell ref="CB41:CE41"/>
    <mergeCell ref="CF41:CJ46"/>
    <mergeCell ref="CK41:CO46"/>
    <mergeCell ref="BV45:CA45"/>
    <mergeCell ref="CB45:CE45"/>
    <mergeCell ref="BC46:BF46"/>
    <mergeCell ref="BG46:BH46"/>
    <mergeCell ref="BJ46:BO46"/>
    <mergeCell ref="BP46:BU46"/>
    <mergeCell ref="BV46:CA46"/>
    <mergeCell ref="CB46:CE46"/>
    <mergeCell ref="A47:A52"/>
    <mergeCell ref="D47:J52"/>
    <mergeCell ref="K47:Q52"/>
    <mergeCell ref="R47:S52"/>
    <mergeCell ref="T47:U52"/>
    <mergeCell ref="V47:AC52"/>
    <mergeCell ref="AD47:AK52"/>
    <mergeCell ref="AL47:AR52"/>
    <mergeCell ref="AS47:AY52"/>
    <mergeCell ref="CP41:CT46"/>
    <mergeCell ref="CU41:CY46"/>
    <mergeCell ref="BC42:BF42"/>
    <mergeCell ref="BG42:BH42"/>
    <mergeCell ref="BJ42:BO42"/>
    <mergeCell ref="BP42:BU42"/>
    <mergeCell ref="BV42:CA42"/>
    <mergeCell ref="CB42:CE42"/>
    <mergeCell ref="BC43:BF43"/>
    <mergeCell ref="BG43:BH43"/>
    <mergeCell ref="BJ43:BO43"/>
    <mergeCell ref="BP43:BU43"/>
    <mergeCell ref="BV43:CA43"/>
    <mergeCell ref="CB43:CE43"/>
    <mergeCell ref="BC44:BF44"/>
    <mergeCell ref="BG44:BH44"/>
    <mergeCell ref="BJ44:BO44"/>
    <mergeCell ref="BP44:BU44"/>
    <mergeCell ref="BV44:CA44"/>
    <mergeCell ref="CB44:CE44"/>
    <mergeCell ref="BC45:BF45"/>
    <mergeCell ref="BG45:BH45"/>
    <mergeCell ref="BJ45:BO45"/>
    <mergeCell ref="BP51:BU51"/>
    <mergeCell ref="AZ47:BA52"/>
    <mergeCell ref="BC47:BF47"/>
    <mergeCell ref="BG47:BH47"/>
    <mergeCell ref="BJ47:BO47"/>
    <mergeCell ref="BP47:BU47"/>
    <mergeCell ref="BV47:CA47"/>
    <mergeCell ref="CB47:CE47"/>
    <mergeCell ref="CF47:CJ52"/>
    <mergeCell ref="CK47:CO52"/>
    <mergeCell ref="BV51:CA51"/>
    <mergeCell ref="CB51:CE51"/>
    <mergeCell ref="BC52:BF52"/>
    <mergeCell ref="BG52:BH52"/>
    <mergeCell ref="BJ52:BO52"/>
    <mergeCell ref="BP52:BU52"/>
    <mergeCell ref="BV52:CA52"/>
    <mergeCell ref="CB52:CE52"/>
    <mergeCell ref="A53:A58"/>
    <mergeCell ref="D53:J58"/>
    <mergeCell ref="K53:Q58"/>
    <mergeCell ref="R53:S58"/>
    <mergeCell ref="T53:U58"/>
    <mergeCell ref="V53:AC58"/>
    <mergeCell ref="AD53:AK58"/>
    <mergeCell ref="AL53:AR58"/>
    <mergeCell ref="AS53:AY58"/>
    <mergeCell ref="CP47:CT52"/>
    <mergeCell ref="CU47:CY52"/>
    <mergeCell ref="BC48:BF48"/>
    <mergeCell ref="BG48:BH48"/>
    <mergeCell ref="BJ48:BO48"/>
    <mergeCell ref="BP48:BU48"/>
    <mergeCell ref="BV48:CA48"/>
    <mergeCell ref="CB48:CE48"/>
    <mergeCell ref="BC49:BF49"/>
    <mergeCell ref="BG49:BH49"/>
    <mergeCell ref="BJ49:BO49"/>
    <mergeCell ref="BP49:BU49"/>
    <mergeCell ref="BV49:CA49"/>
    <mergeCell ref="CB49:CE49"/>
    <mergeCell ref="BC50:BF50"/>
    <mergeCell ref="BG50:BH50"/>
    <mergeCell ref="BJ50:BO50"/>
    <mergeCell ref="BP50:BU50"/>
    <mergeCell ref="BV50:CA50"/>
    <mergeCell ref="CB50:CE50"/>
    <mergeCell ref="BC51:BF51"/>
    <mergeCell ref="BG51:BH51"/>
    <mergeCell ref="BJ51:BO51"/>
    <mergeCell ref="BP57:BU57"/>
    <mergeCell ref="AZ53:BA58"/>
    <mergeCell ref="BC53:BF53"/>
    <mergeCell ref="BG53:BH53"/>
    <mergeCell ref="BJ53:BO53"/>
    <mergeCell ref="BP53:BU53"/>
    <mergeCell ref="BV53:CA53"/>
    <mergeCell ref="CB53:CE53"/>
    <mergeCell ref="CF53:CJ58"/>
    <mergeCell ref="CK53:CO58"/>
    <mergeCell ref="BV57:CA57"/>
    <mergeCell ref="CB57:CE57"/>
    <mergeCell ref="BC58:BF58"/>
    <mergeCell ref="BG58:BH58"/>
    <mergeCell ref="BJ58:BO58"/>
    <mergeCell ref="BP58:BU58"/>
    <mergeCell ref="BV58:CA58"/>
    <mergeCell ref="CB58:CE58"/>
    <mergeCell ref="A131:A136"/>
    <mergeCell ref="D131:J136"/>
    <mergeCell ref="K131:Q136"/>
    <mergeCell ref="R131:S136"/>
    <mergeCell ref="T131:U136"/>
    <mergeCell ref="V131:AC136"/>
    <mergeCell ref="AD131:AK136"/>
    <mergeCell ref="AL131:AR136"/>
    <mergeCell ref="AS131:AY136"/>
    <mergeCell ref="CP53:CT58"/>
    <mergeCell ref="CU53:CY58"/>
    <mergeCell ref="BC54:BF54"/>
    <mergeCell ref="BG54:BH54"/>
    <mergeCell ref="BJ54:BO54"/>
    <mergeCell ref="BP54:BU54"/>
    <mergeCell ref="BV54:CA54"/>
    <mergeCell ref="CB54:CE54"/>
    <mergeCell ref="BC55:BF55"/>
    <mergeCell ref="BG55:BH55"/>
    <mergeCell ref="BJ55:BO55"/>
    <mergeCell ref="BP55:BU55"/>
    <mergeCell ref="BV55:CA55"/>
    <mergeCell ref="CB55:CE55"/>
    <mergeCell ref="BC56:BF56"/>
    <mergeCell ref="BG56:BH56"/>
    <mergeCell ref="BJ56:BO56"/>
    <mergeCell ref="BP56:BU56"/>
    <mergeCell ref="BV56:CA56"/>
    <mergeCell ref="CB56:CE56"/>
    <mergeCell ref="BC57:BF57"/>
    <mergeCell ref="BG57:BH57"/>
    <mergeCell ref="BJ57:BO57"/>
    <mergeCell ref="BP135:BU135"/>
    <mergeCell ref="AZ131:BA136"/>
    <mergeCell ref="BC131:BF131"/>
    <mergeCell ref="BG131:BH131"/>
    <mergeCell ref="BJ131:BO131"/>
    <mergeCell ref="BP131:BU131"/>
    <mergeCell ref="BV131:CA131"/>
    <mergeCell ref="CB131:CE131"/>
    <mergeCell ref="CF131:CJ136"/>
    <mergeCell ref="CK131:CO136"/>
    <mergeCell ref="BV135:CA135"/>
    <mergeCell ref="CB135:CE135"/>
    <mergeCell ref="BC136:BF136"/>
    <mergeCell ref="BG136:BH136"/>
    <mergeCell ref="BJ136:BO136"/>
    <mergeCell ref="BP136:BU136"/>
    <mergeCell ref="BV136:CA136"/>
    <mergeCell ref="CB136:CE136"/>
    <mergeCell ref="A137:A142"/>
    <mergeCell ref="D137:J142"/>
    <mergeCell ref="K137:Q142"/>
    <mergeCell ref="R137:S142"/>
    <mergeCell ref="T137:U142"/>
    <mergeCell ref="V137:AC142"/>
    <mergeCell ref="AD137:AK142"/>
    <mergeCell ref="AL137:AR142"/>
    <mergeCell ref="AS137:AY142"/>
    <mergeCell ref="CP131:CT136"/>
    <mergeCell ref="CU131:CY136"/>
    <mergeCell ref="BC132:BF132"/>
    <mergeCell ref="BG132:BH132"/>
    <mergeCell ref="BJ132:BO132"/>
    <mergeCell ref="BP132:BU132"/>
    <mergeCell ref="BV132:CA132"/>
    <mergeCell ref="CB132:CE132"/>
    <mergeCell ref="BC133:BF133"/>
    <mergeCell ref="BG133:BH133"/>
    <mergeCell ref="BJ133:BO133"/>
    <mergeCell ref="BP133:BU133"/>
    <mergeCell ref="BV133:CA133"/>
    <mergeCell ref="CB133:CE133"/>
    <mergeCell ref="BC134:BF134"/>
    <mergeCell ref="BG134:BH134"/>
    <mergeCell ref="BJ134:BO134"/>
    <mergeCell ref="BP134:BU134"/>
    <mergeCell ref="BV134:CA134"/>
    <mergeCell ref="CB134:CE134"/>
    <mergeCell ref="BC135:BF135"/>
    <mergeCell ref="BG135:BH135"/>
    <mergeCell ref="BJ135:BO135"/>
    <mergeCell ref="BP141:BU141"/>
    <mergeCell ref="AZ137:BA142"/>
    <mergeCell ref="BC137:BF137"/>
    <mergeCell ref="BG137:BH137"/>
    <mergeCell ref="BJ137:BO137"/>
    <mergeCell ref="BP137:BU137"/>
    <mergeCell ref="BV137:CA137"/>
    <mergeCell ref="CB137:CE137"/>
    <mergeCell ref="CF137:CJ142"/>
    <mergeCell ref="CK137:CO142"/>
    <mergeCell ref="BV141:CA141"/>
    <mergeCell ref="CB141:CE141"/>
    <mergeCell ref="BC142:BF142"/>
    <mergeCell ref="BG142:BH142"/>
    <mergeCell ref="BJ142:BO142"/>
    <mergeCell ref="BP142:BU142"/>
    <mergeCell ref="BV142:CA142"/>
    <mergeCell ref="CB142:CE142"/>
    <mergeCell ref="A143:A148"/>
    <mergeCell ref="D143:J148"/>
    <mergeCell ref="K143:Q148"/>
    <mergeCell ref="R143:S148"/>
    <mergeCell ref="T143:U148"/>
    <mergeCell ref="V143:AC148"/>
    <mergeCell ref="AD143:AK148"/>
    <mergeCell ref="AL143:AR148"/>
    <mergeCell ref="AS143:AY148"/>
    <mergeCell ref="CP137:CT142"/>
    <mergeCell ref="CU137:CY142"/>
    <mergeCell ref="BC138:BF138"/>
    <mergeCell ref="BG138:BH138"/>
    <mergeCell ref="BJ138:BO138"/>
    <mergeCell ref="BP138:BU138"/>
    <mergeCell ref="BV138:CA138"/>
    <mergeCell ref="CB138:CE138"/>
    <mergeCell ref="BC139:BF139"/>
    <mergeCell ref="BG139:BH139"/>
    <mergeCell ref="BJ139:BO139"/>
    <mergeCell ref="BP139:BU139"/>
    <mergeCell ref="BV139:CA139"/>
    <mergeCell ref="CB139:CE139"/>
    <mergeCell ref="BC140:BF140"/>
    <mergeCell ref="BG140:BH140"/>
    <mergeCell ref="BJ140:BO140"/>
    <mergeCell ref="BP140:BU140"/>
    <mergeCell ref="BV140:CA140"/>
    <mergeCell ref="CB140:CE140"/>
    <mergeCell ref="BC141:BF141"/>
    <mergeCell ref="BG141:BH141"/>
    <mergeCell ref="BJ141:BO141"/>
    <mergeCell ref="BP147:BU147"/>
    <mergeCell ref="AZ143:BA148"/>
    <mergeCell ref="BC143:BF143"/>
    <mergeCell ref="BG143:BH143"/>
    <mergeCell ref="BJ143:BO143"/>
    <mergeCell ref="BP143:BU143"/>
    <mergeCell ref="BV143:CA143"/>
    <mergeCell ref="CB143:CE143"/>
    <mergeCell ref="CF143:CJ148"/>
    <mergeCell ref="CK143:CO148"/>
    <mergeCell ref="BV147:CA147"/>
    <mergeCell ref="CB147:CE147"/>
    <mergeCell ref="BC148:BF148"/>
    <mergeCell ref="BG148:BH148"/>
    <mergeCell ref="BJ148:BO148"/>
    <mergeCell ref="BP148:BU148"/>
    <mergeCell ref="BV148:CA148"/>
    <mergeCell ref="CB148:CE148"/>
    <mergeCell ref="A59:A64"/>
    <mergeCell ref="D59:J64"/>
    <mergeCell ref="K59:Q64"/>
    <mergeCell ref="R59:S64"/>
    <mergeCell ref="T59:U64"/>
    <mergeCell ref="V59:AC64"/>
    <mergeCell ref="AD59:AK64"/>
    <mergeCell ref="AL59:AR64"/>
    <mergeCell ref="AS59:AY64"/>
    <mergeCell ref="CP143:CT148"/>
    <mergeCell ref="CU143:CY148"/>
    <mergeCell ref="BC144:BF144"/>
    <mergeCell ref="BG144:BH144"/>
    <mergeCell ref="BJ144:BO144"/>
    <mergeCell ref="BP144:BU144"/>
    <mergeCell ref="BV144:CA144"/>
    <mergeCell ref="CB144:CE144"/>
    <mergeCell ref="BC145:BF145"/>
    <mergeCell ref="BG145:BH145"/>
    <mergeCell ref="BJ145:BO145"/>
    <mergeCell ref="BP145:BU145"/>
    <mergeCell ref="BV145:CA145"/>
    <mergeCell ref="CB145:CE145"/>
    <mergeCell ref="BC146:BF146"/>
    <mergeCell ref="BG146:BH146"/>
    <mergeCell ref="BJ146:BO146"/>
    <mergeCell ref="BP146:BU146"/>
    <mergeCell ref="BV146:CA146"/>
    <mergeCell ref="CB146:CE146"/>
    <mergeCell ref="BC147:BF147"/>
    <mergeCell ref="BG147:BH147"/>
    <mergeCell ref="BJ147:BO147"/>
    <mergeCell ref="BP63:BU63"/>
    <mergeCell ref="AZ59:BA64"/>
    <mergeCell ref="BC59:BF59"/>
    <mergeCell ref="BG59:BH59"/>
    <mergeCell ref="BJ59:BO59"/>
    <mergeCell ref="BP59:BU59"/>
    <mergeCell ref="BV59:CA59"/>
    <mergeCell ref="CB59:CE59"/>
    <mergeCell ref="CF59:CJ64"/>
    <mergeCell ref="CK59:CO64"/>
    <mergeCell ref="BV63:CA63"/>
    <mergeCell ref="CB63:CE63"/>
    <mergeCell ref="BC64:BF64"/>
    <mergeCell ref="BG64:BH64"/>
    <mergeCell ref="BJ64:BO64"/>
    <mergeCell ref="BP64:BU64"/>
    <mergeCell ref="BV64:CA64"/>
    <mergeCell ref="CB64:CE64"/>
    <mergeCell ref="A65:A70"/>
    <mergeCell ref="D65:J70"/>
    <mergeCell ref="K65:Q70"/>
    <mergeCell ref="R65:S70"/>
    <mergeCell ref="T65:U70"/>
    <mergeCell ref="V65:AC70"/>
    <mergeCell ref="AD65:AK70"/>
    <mergeCell ref="AL65:AR70"/>
    <mergeCell ref="AS65:AY70"/>
    <mergeCell ref="CP59:CT64"/>
    <mergeCell ref="CU59:CY64"/>
    <mergeCell ref="BC60:BF60"/>
    <mergeCell ref="BG60:BH60"/>
    <mergeCell ref="BJ60:BO60"/>
    <mergeCell ref="BP60:BU60"/>
    <mergeCell ref="BV60:CA60"/>
    <mergeCell ref="CB60:CE60"/>
    <mergeCell ref="BC61:BF61"/>
    <mergeCell ref="BG61:BH61"/>
    <mergeCell ref="BJ61:BO61"/>
    <mergeCell ref="BP61:BU61"/>
    <mergeCell ref="BV61:CA61"/>
    <mergeCell ref="CB61:CE61"/>
    <mergeCell ref="BC62:BF62"/>
    <mergeCell ref="BG62:BH62"/>
    <mergeCell ref="BJ62:BO62"/>
    <mergeCell ref="BP62:BU62"/>
    <mergeCell ref="BV62:CA62"/>
    <mergeCell ref="CB62:CE62"/>
    <mergeCell ref="BC63:BF63"/>
    <mergeCell ref="BG63:BH63"/>
    <mergeCell ref="BJ63:BO63"/>
    <mergeCell ref="BP69:BU69"/>
    <mergeCell ref="AZ65:BA70"/>
    <mergeCell ref="BC65:BF65"/>
    <mergeCell ref="BG65:BH65"/>
    <mergeCell ref="BJ65:BO65"/>
    <mergeCell ref="BP65:BU65"/>
    <mergeCell ref="BV65:CA65"/>
    <mergeCell ref="CB65:CE65"/>
    <mergeCell ref="CF65:CJ70"/>
    <mergeCell ref="CK65:CO70"/>
    <mergeCell ref="BV69:CA69"/>
    <mergeCell ref="CB69:CE69"/>
    <mergeCell ref="BC70:BF70"/>
    <mergeCell ref="BG70:BH70"/>
    <mergeCell ref="BJ70:BO70"/>
    <mergeCell ref="BP70:BU70"/>
    <mergeCell ref="BV70:CA70"/>
    <mergeCell ref="CB70:CE70"/>
    <mergeCell ref="A71:A76"/>
    <mergeCell ref="D71:J76"/>
    <mergeCell ref="K71:Q76"/>
    <mergeCell ref="R71:S76"/>
    <mergeCell ref="T71:U76"/>
    <mergeCell ref="V71:AC76"/>
    <mergeCell ref="AD71:AK76"/>
    <mergeCell ref="AL71:AR76"/>
    <mergeCell ref="AS71:AY76"/>
    <mergeCell ref="CP65:CT70"/>
    <mergeCell ref="CU65:CY70"/>
    <mergeCell ref="BC66:BF66"/>
    <mergeCell ref="BG66:BH66"/>
    <mergeCell ref="BJ66:BO66"/>
    <mergeCell ref="BP66:BU66"/>
    <mergeCell ref="BV66:CA66"/>
    <mergeCell ref="CB66:CE66"/>
    <mergeCell ref="BC67:BF67"/>
    <mergeCell ref="BG67:BH67"/>
    <mergeCell ref="BJ67:BO67"/>
    <mergeCell ref="BP67:BU67"/>
    <mergeCell ref="BV67:CA67"/>
    <mergeCell ref="CB67:CE67"/>
    <mergeCell ref="BC68:BF68"/>
    <mergeCell ref="BG68:BH68"/>
    <mergeCell ref="BJ68:BO68"/>
    <mergeCell ref="BP68:BU68"/>
    <mergeCell ref="BV68:CA68"/>
    <mergeCell ref="CB68:CE68"/>
    <mergeCell ref="BC69:BF69"/>
    <mergeCell ref="BG69:BH69"/>
    <mergeCell ref="BJ69:BO69"/>
    <mergeCell ref="BP75:BU75"/>
    <mergeCell ref="AZ71:BA76"/>
    <mergeCell ref="BC71:BF71"/>
    <mergeCell ref="BG71:BH71"/>
    <mergeCell ref="BJ71:BO71"/>
    <mergeCell ref="BP71:BU71"/>
    <mergeCell ref="BV71:CA71"/>
    <mergeCell ref="CB71:CE71"/>
    <mergeCell ref="CF71:CJ76"/>
    <mergeCell ref="CK71:CO76"/>
    <mergeCell ref="BV75:CA75"/>
    <mergeCell ref="CB75:CE75"/>
    <mergeCell ref="BC76:BF76"/>
    <mergeCell ref="BG76:BH76"/>
    <mergeCell ref="BJ76:BO76"/>
    <mergeCell ref="BP76:BU76"/>
    <mergeCell ref="BV76:CA76"/>
    <mergeCell ref="CB76:CE76"/>
    <mergeCell ref="A77:A82"/>
    <mergeCell ref="D77:J82"/>
    <mergeCell ref="K77:Q82"/>
    <mergeCell ref="R77:S82"/>
    <mergeCell ref="T77:U82"/>
    <mergeCell ref="V77:AC82"/>
    <mergeCell ref="AD77:AK82"/>
    <mergeCell ref="AL77:AR82"/>
    <mergeCell ref="AS77:AY82"/>
    <mergeCell ref="CP71:CT76"/>
    <mergeCell ref="CU71:CY76"/>
    <mergeCell ref="BC72:BF72"/>
    <mergeCell ref="BG72:BH72"/>
    <mergeCell ref="BJ72:BO72"/>
    <mergeCell ref="BP72:BU72"/>
    <mergeCell ref="BV72:CA72"/>
    <mergeCell ref="CB72:CE72"/>
    <mergeCell ref="BC73:BF73"/>
    <mergeCell ref="BG73:BH73"/>
    <mergeCell ref="BJ73:BO73"/>
    <mergeCell ref="BP73:BU73"/>
    <mergeCell ref="BV73:CA73"/>
    <mergeCell ref="CB73:CE73"/>
    <mergeCell ref="BC74:BF74"/>
    <mergeCell ref="BG74:BH74"/>
    <mergeCell ref="BJ74:BO74"/>
    <mergeCell ref="BP74:BU74"/>
    <mergeCell ref="BV74:CA74"/>
    <mergeCell ref="CB74:CE74"/>
    <mergeCell ref="BC75:BF75"/>
    <mergeCell ref="BG75:BH75"/>
    <mergeCell ref="BJ75:BO75"/>
    <mergeCell ref="BP81:BU81"/>
    <mergeCell ref="AZ77:BA82"/>
    <mergeCell ref="BC77:BF77"/>
    <mergeCell ref="BG77:BH77"/>
    <mergeCell ref="BJ77:BO77"/>
    <mergeCell ref="BP77:BU77"/>
    <mergeCell ref="BV77:CA77"/>
    <mergeCell ref="CB77:CE77"/>
    <mergeCell ref="CF77:CJ82"/>
    <mergeCell ref="CK77:CO82"/>
    <mergeCell ref="BV81:CA81"/>
    <mergeCell ref="CB81:CE81"/>
    <mergeCell ref="BC82:BF82"/>
    <mergeCell ref="BG82:BH82"/>
    <mergeCell ref="BJ82:BO82"/>
    <mergeCell ref="BP82:BU82"/>
    <mergeCell ref="BV82:CA82"/>
    <mergeCell ref="CB82:CE82"/>
    <mergeCell ref="A83:A88"/>
    <mergeCell ref="D83:J88"/>
    <mergeCell ref="K83:Q88"/>
    <mergeCell ref="R83:S88"/>
    <mergeCell ref="T83:U88"/>
    <mergeCell ref="V83:AC88"/>
    <mergeCell ref="AD83:AK88"/>
    <mergeCell ref="AL83:AR88"/>
    <mergeCell ref="AS83:AY88"/>
    <mergeCell ref="CP77:CT82"/>
    <mergeCell ref="CU77:CY82"/>
    <mergeCell ref="BC78:BF78"/>
    <mergeCell ref="BG78:BH78"/>
    <mergeCell ref="BJ78:BO78"/>
    <mergeCell ref="BP78:BU78"/>
    <mergeCell ref="BV78:CA78"/>
    <mergeCell ref="CB78:CE78"/>
    <mergeCell ref="BC79:BF79"/>
    <mergeCell ref="BG79:BH79"/>
    <mergeCell ref="BJ79:BO79"/>
    <mergeCell ref="BP79:BU79"/>
    <mergeCell ref="BV79:CA79"/>
    <mergeCell ref="CB79:CE79"/>
    <mergeCell ref="BC80:BF80"/>
    <mergeCell ref="BG80:BH80"/>
    <mergeCell ref="BJ80:BO80"/>
    <mergeCell ref="BP80:BU80"/>
    <mergeCell ref="BV80:CA80"/>
    <mergeCell ref="CB80:CE80"/>
    <mergeCell ref="BC81:BF81"/>
    <mergeCell ref="BG81:BH81"/>
    <mergeCell ref="BJ81:BO81"/>
    <mergeCell ref="BP87:BU87"/>
    <mergeCell ref="AZ83:BA88"/>
    <mergeCell ref="BC83:BF83"/>
    <mergeCell ref="BG83:BH83"/>
    <mergeCell ref="BJ83:BO83"/>
    <mergeCell ref="BP83:BU83"/>
    <mergeCell ref="BV83:CA83"/>
    <mergeCell ref="CB83:CE83"/>
    <mergeCell ref="CF83:CJ88"/>
    <mergeCell ref="CK83:CO88"/>
    <mergeCell ref="BV87:CA87"/>
    <mergeCell ref="CB87:CE87"/>
    <mergeCell ref="BC88:BF88"/>
    <mergeCell ref="BG88:BH88"/>
    <mergeCell ref="BJ88:BO88"/>
    <mergeCell ref="BP88:BU88"/>
    <mergeCell ref="BV88:CA88"/>
    <mergeCell ref="CB88:CE88"/>
    <mergeCell ref="A89:A94"/>
    <mergeCell ref="D89:J94"/>
    <mergeCell ref="K89:Q94"/>
    <mergeCell ref="R89:S94"/>
    <mergeCell ref="T89:U94"/>
    <mergeCell ref="V89:AC94"/>
    <mergeCell ref="AD89:AK94"/>
    <mergeCell ref="AL89:AR94"/>
    <mergeCell ref="AS89:AY94"/>
    <mergeCell ref="CP83:CT88"/>
    <mergeCell ref="CU83:CY88"/>
    <mergeCell ref="BC84:BF84"/>
    <mergeCell ref="BG84:BH84"/>
    <mergeCell ref="BJ84:BO84"/>
    <mergeCell ref="BP84:BU84"/>
    <mergeCell ref="BV84:CA84"/>
    <mergeCell ref="CB84:CE84"/>
    <mergeCell ref="BC85:BF85"/>
    <mergeCell ref="BG85:BH85"/>
    <mergeCell ref="BJ85:BO85"/>
    <mergeCell ref="BP85:BU85"/>
    <mergeCell ref="BV85:CA85"/>
    <mergeCell ref="CB85:CE85"/>
    <mergeCell ref="BC86:BF86"/>
    <mergeCell ref="BG86:BH86"/>
    <mergeCell ref="BJ86:BO86"/>
    <mergeCell ref="BP86:BU86"/>
    <mergeCell ref="BV86:CA86"/>
    <mergeCell ref="CB86:CE86"/>
    <mergeCell ref="BC87:BF87"/>
    <mergeCell ref="BG87:BH87"/>
    <mergeCell ref="BJ87:BO87"/>
    <mergeCell ref="BP93:BU93"/>
    <mergeCell ref="AZ89:BA94"/>
    <mergeCell ref="BC89:BF89"/>
    <mergeCell ref="BG89:BH89"/>
    <mergeCell ref="BJ89:BO89"/>
    <mergeCell ref="BP89:BU89"/>
    <mergeCell ref="BV89:CA89"/>
    <mergeCell ref="CB89:CE89"/>
    <mergeCell ref="CF89:CJ94"/>
    <mergeCell ref="CK89:CO94"/>
    <mergeCell ref="BV93:CA93"/>
    <mergeCell ref="CB93:CE93"/>
    <mergeCell ref="BC94:BF94"/>
    <mergeCell ref="BG94:BH94"/>
    <mergeCell ref="BJ94:BO94"/>
    <mergeCell ref="BP94:BU94"/>
    <mergeCell ref="BV94:CA94"/>
    <mergeCell ref="CB94:CE94"/>
    <mergeCell ref="A95:A100"/>
    <mergeCell ref="D95:J100"/>
    <mergeCell ref="K95:Q100"/>
    <mergeCell ref="R95:S100"/>
    <mergeCell ref="T95:U100"/>
    <mergeCell ref="V95:AC100"/>
    <mergeCell ref="AD95:AK100"/>
    <mergeCell ref="AL95:AR100"/>
    <mergeCell ref="AS95:AY100"/>
    <mergeCell ref="CP89:CT94"/>
    <mergeCell ref="CU89:CY94"/>
    <mergeCell ref="BC90:BF90"/>
    <mergeCell ref="BG90:BH90"/>
    <mergeCell ref="BJ90:BO90"/>
    <mergeCell ref="BP90:BU90"/>
    <mergeCell ref="BV90:CA90"/>
    <mergeCell ref="CB90:CE90"/>
    <mergeCell ref="BC91:BF91"/>
    <mergeCell ref="BG91:BH91"/>
    <mergeCell ref="BJ91:BO91"/>
    <mergeCell ref="BP91:BU91"/>
    <mergeCell ref="BV91:CA91"/>
    <mergeCell ref="CB91:CE91"/>
    <mergeCell ref="BC92:BF92"/>
    <mergeCell ref="BG92:BH92"/>
    <mergeCell ref="BJ92:BO92"/>
    <mergeCell ref="BP92:BU92"/>
    <mergeCell ref="BV92:CA92"/>
    <mergeCell ref="CB92:CE92"/>
    <mergeCell ref="BC93:BF93"/>
    <mergeCell ref="BG93:BH93"/>
    <mergeCell ref="BJ93:BO93"/>
    <mergeCell ref="BP99:BU99"/>
    <mergeCell ref="AZ95:BA100"/>
    <mergeCell ref="BC95:BF95"/>
    <mergeCell ref="BG95:BH95"/>
    <mergeCell ref="BJ95:BO95"/>
    <mergeCell ref="BP95:BU95"/>
    <mergeCell ref="BV95:CA95"/>
    <mergeCell ref="CB95:CE95"/>
    <mergeCell ref="CF95:CJ100"/>
    <mergeCell ref="CK95:CO100"/>
    <mergeCell ref="BV99:CA99"/>
    <mergeCell ref="CB99:CE99"/>
    <mergeCell ref="BC100:BF100"/>
    <mergeCell ref="BG100:BH100"/>
    <mergeCell ref="BJ100:BO100"/>
    <mergeCell ref="BP100:BU100"/>
    <mergeCell ref="BV100:CA100"/>
    <mergeCell ref="CB100:CE100"/>
    <mergeCell ref="A101:A106"/>
    <mergeCell ref="D101:J106"/>
    <mergeCell ref="K101:Q106"/>
    <mergeCell ref="R101:S106"/>
    <mergeCell ref="T101:U106"/>
    <mergeCell ref="V101:AC106"/>
    <mergeCell ref="AD101:AK106"/>
    <mergeCell ref="AL101:AR106"/>
    <mergeCell ref="AS101:AY106"/>
    <mergeCell ref="CP95:CT100"/>
    <mergeCell ref="CU95:CY100"/>
    <mergeCell ref="BC96:BF96"/>
    <mergeCell ref="BG96:BH96"/>
    <mergeCell ref="BJ96:BO96"/>
    <mergeCell ref="BP96:BU96"/>
    <mergeCell ref="BV96:CA96"/>
    <mergeCell ref="CB96:CE96"/>
    <mergeCell ref="BC97:BF97"/>
    <mergeCell ref="BG97:BH97"/>
    <mergeCell ref="BJ97:BO97"/>
    <mergeCell ref="BP97:BU97"/>
    <mergeCell ref="BV97:CA97"/>
    <mergeCell ref="CB97:CE97"/>
    <mergeCell ref="BC98:BF98"/>
    <mergeCell ref="BG98:BH98"/>
    <mergeCell ref="BJ98:BO98"/>
    <mergeCell ref="BP98:BU98"/>
    <mergeCell ref="BV98:CA98"/>
    <mergeCell ref="CB98:CE98"/>
    <mergeCell ref="BC99:BF99"/>
    <mergeCell ref="BG99:BH99"/>
    <mergeCell ref="BJ99:BO99"/>
    <mergeCell ref="BP105:BU105"/>
    <mergeCell ref="AZ101:BA106"/>
    <mergeCell ref="BC101:BF101"/>
    <mergeCell ref="BG101:BH101"/>
    <mergeCell ref="BJ101:BO101"/>
    <mergeCell ref="BP101:BU101"/>
    <mergeCell ref="BV101:CA101"/>
    <mergeCell ref="CB101:CE101"/>
    <mergeCell ref="CF101:CJ106"/>
    <mergeCell ref="CK101:CO106"/>
    <mergeCell ref="BV105:CA105"/>
    <mergeCell ref="CB105:CE105"/>
    <mergeCell ref="BC106:BF106"/>
    <mergeCell ref="BG106:BH106"/>
    <mergeCell ref="BJ106:BO106"/>
    <mergeCell ref="BP106:BU106"/>
    <mergeCell ref="BV106:CA106"/>
    <mergeCell ref="CB106:CE106"/>
    <mergeCell ref="A107:A112"/>
    <mergeCell ref="D107:J112"/>
    <mergeCell ref="K107:Q112"/>
    <mergeCell ref="R107:S112"/>
    <mergeCell ref="T107:U112"/>
    <mergeCell ref="V107:AC112"/>
    <mergeCell ref="AD107:AK112"/>
    <mergeCell ref="AL107:AR112"/>
    <mergeCell ref="AS107:AY112"/>
    <mergeCell ref="CP101:CT106"/>
    <mergeCell ref="CU101:CY106"/>
    <mergeCell ref="BC102:BF102"/>
    <mergeCell ref="BG102:BH102"/>
    <mergeCell ref="BJ102:BO102"/>
    <mergeCell ref="BP102:BU102"/>
    <mergeCell ref="BV102:CA102"/>
    <mergeCell ref="CB102:CE102"/>
    <mergeCell ref="BC103:BF103"/>
    <mergeCell ref="BG103:BH103"/>
    <mergeCell ref="BJ103:BO103"/>
    <mergeCell ref="BP103:BU103"/>
    <mergeCell ref="BV103:CA103"/>
    <mergeCell ref="CB103:CE103"/>
    <mergeCell ref="BC104:BF104"/>
    <mergeCell ref="BG104:BH104"/>
    <mergeCell ref="BJ104:BO104"/>
    <mergeCell ref="BP104:BU104"/>
    <mergeCell ref="BV104:CA104"/>
    <mergeCell ref="CB104:CE104"/>
    <mergeCell ref="BC105:BF105"/>
    <mergeCell ref="BG105:BH105"/>
    <mergeCell ref="BJ105:BO105"/>
    <mergeCell ref="BP111:BU111"/>
    <mergeCell ref="AZ107:BA112"/>
    <mergeCell ref="BC107:BF107"/>
    <mergeCell ref="BG107:BH107"/>
    <mergeCell ref="BJ107:BO107"/>
    <mergeCell ref="BP107:BU107"/>
    <mergeCell ref="BV107:CA107"/>
    <mergeCell ref="CB107:CE107"/>
    <mergeCell ref="CF107:CJ112"/>
    <mergeCell ref="CK107:CO112"/>
    <mergeCell ref="BV111:CA111"/>
    <mergeCell ref="CB111:CE111"/>
    <mergeCell ref="BC112:BF112"/>
    <mergeCell ref="BG112:BH112"/>
    <mergeCell ref="BJ112:BO112"/>
    <mergeCell ref="BP112:BU112"/>
    <mergeCell ref="BV112:CA112"/>
    <mergeCell ref="CB112:CE112"/>
    <mergeCell ref="A113:A118"/>
    <mergeCell ref="D113:J118"/>
    <mergeCell ref="K113:Q118"/>
    <mergeCell ref="R113:S118"/>
    <mergeCell ref="T113:U118"/>
    <mergeCell ref="V113:AC118"/>
    <mergeCell ref="AD113:AK118"/>
    <mergeCell ref="AL113:AR118"/>
    <mergeCell ref="AS113:AY118"/>
    <mergeCell ref="CP107:CT112"/>
    <mergeCell ref="CU107:CY112"/>
    <mergeCell ref="BC108:BF108"/>
    <mergeCell ref="BG108:BH108"/>
    <mergeCell ref="BJ108:BO108"/>
    <mergeCell ref="BP108:BU108"/>
    <mergeCell ref="BV108:CA108"/>
    <mergeCell ref="CB108:CE108"/>
    <mergeCell ref="BC109:BF109"/>
    <mergeCell ref="BG109:BH109"/>
    <mergeCell ref="BJ109:BO109"/>
    <mergeCell ref="BP109:BU109"/>
    <mergeCell ref="BV109:CA109"/>
    <mergeCell ref="CB109:CE109"/>
    <mergeCell ref="BC110:BF110"/>
    <mergeCell ref="BG110:BH110"/>
    <mergeCell ref="BJ110:BO110"/>
    <mergeCell ref="BP110:BU110"/>
    <mergeCell ref="BV110:CA110"/>
    <mergeCell ref="CB110:CE110"/>
    <mergeCell ref="BC111:BF111"/>
    <mergeCell ref="BG111:BH111"/>
    <mergeCell ref="BJ111:BO111"/>
    <mergeCell ref="BP117:BU117"/>
    <mergeCell ref="AZ113:BA118"/>
    <mergeCell ref="BC113:BF113"/>
    <mergeCell ref="BG113:BH113"/>
    <mergeCell ref="BJ113:BO113"/>
    <mergeCell ref="BP113:BU113"/>
    <mergeCell ref="BV113:CA113"/>
    <mergeCell ref="CB113:CE113"/>
    <mergeCell ref="CF113:CJ118"/>
    <mergeCell ref="CK113:CO118"/>
    <mergeCell ref="BV117:CA117"/>
    <mergeCell ref="CB117:CE117"/>
    <mergeCell ref="BC118:BF118"/>
    <mergeCell ref="BG118:BH118"/>
    <mergeCell ref="BJ118:BO118"/>
    <mergeCell ref="BP118:BU118"/>
    <mergeCell ref="BV118:CA118"/>
    <mergeCell ref="CB118:CE118"/>
    <mergeCell ref="A119:A124"/>
    <mergeCell ref="D119:J124"/>
    <mergeCell ref="K119:Q124"/>
    <mergeCell ref="R119:S124"/>
    <mergeCell ref="T119:U124"/>
    <mergeCell ref="V119:AC124"/>
    <mergeCell ref="AD119:AK124"/>
    <mergeCell ref="AL119:AR124"/>
    <mergeCell ref="AS119:AY124"/>
    <mergeCell ref="CP113:CT118"/>
    <mergeCell ref="CU113:CY118"/>
    <mergeCell ref="BC114:BF114"/>
    <mergeCell ref="BG114:BH114"/>
    <mergeCell ref="BJ114:BO114"/>
    <mergeCell ref="BP114:BU114"/>
    <mergeCell ref="BV114:CA114"/>
    <mergeCell ref="CB114:CE114"/>
    <mergeCell ref="BC115:BF115"/>
    <mergeCell ref="BG115:BH115"/>
    <mergeCell ref="BJ115:BO115"/>
    <mergeCell ref="BP115:BU115"/>
    <mergeCell ref="BV115:CA115"/>
    <mergeCell ref="CB115:CE115"/>
    <mergeCell ref="BC116:BF116"/>
    <mergeCell ref="BG116:BH116"/>
    <mergeCell ref="BJ116:BO116"/>
    <mergeCell ref="BP116:BU116"/>
    <mergeCell ref="BV116:CA116"/>
    <mergeCell ref="CB116:CE116"/>
    <mergeCell ref="BC117:BF117"/>
    <mergeCell ref="BG117:BH117"/>
    <mergeCell ref="BJ117:BO117"/>
    <mergeCell ref="BP123:BU123"/>
    <mergeCell ref="AZ119:BA124"/>
    <mergeCell ref="BC119:BF119"/>
    <mergeCell ref="BG119:BH119"/>
    <mergeCell ref="BJ119:BO119"/>
    <mergeCell ref="BP119:BU119"/>
    <mergeCell ref="BV119:CA119"/>
    <mergeCell ref="CB119:CE119"/>
    <mergeCell ref="CF119:CJ124"/>
    <mergeCell ref="CK119:CO124"/>
    <mergeCell ref="BV123:CA123"/>
    <mergeCell ref="CB123:CE123"/>
    <mergeCell ref="BC124:BF124"/>
    <mergeCell ref="BG124:BH124"/>
    <mergeCell ref="BJ124:BO124"/>
    <mergeCell ref="BP124:BU124"/>
    <mergeCell ref="BV124:CA124"/>
    <mergeCell ref="CB124:CE124"/>
    <mergeCell ref="A125:A130"/>
    <mergeCell ref="D125:J130"/>
    <mergeCell ref="K125:Q130"/>
    <mergeCell ref="R125:S130"/>
    <mergeCell ref="T125:U130"/>
    <mergeCell ref="V125:AC130"/>
    <mergeCell ref="AD125:AK130"/>
    <mergeCell ref="AL125:AR130"/>
    <mergeCell ref="AS125:AY130"/>
    <mergeCell ref="CP119:CT124"/>
    <mergeCell ref="CU119:CY124"/>
    <mergeCell ref="BC120:BF120"/>
    <mergeCell ref="BG120:BH120"/>
    <mergeCell ref="BJ120:BO120"/>
    <mergeCell ref="BP120:BU120"/>
    <mergeCell ref="BV120:CA120"/>
    <mergeCell ref="CB120:CE120"/>
    <mergeCell ref="BC121:BF121"/>
    <mergeCell ref="BG121:BH121"/>
    <mergeCell ref="BJ121:BO121"/>
    <mergeCell ref="BP121:BU121"/>
    <mergeCell ref="BV121:CA121"/>
    <mergeCell ref="CB121:CE121"/>
    <mergeCell ref="BC122:BF122"/>
    <mergeCell ref="BG122:BH122"/>
    <mergeCell ref="BJ122:BO122"/>
    <mergeCell ref="BP122:BU122"/>
    <mergeCell ref="BV122:CA122"/>
    <mergeCell ref="CB122:CE122"/>
    <mergeCell ref="BC123:BF123"/>
    <mergeCell ref="BG123:BH123"/>
    <mergeCell ref="BJ123:BO123"/>
    <mergeCell ref="AZ125:BA130"/>
    <mergeCell ref="BC125:BF125"/>
    <mergeCell ref="BG125:BH125"/>
    <mergeCell ref="BJ125:BO125"/>
    <mergeCell ref="BP125:BU125"/>
    <mergeCell ref="BV125:CA125"/>
    <mergeCell ref="CB125:CE125"/>
    <mergeCell ref="CF125:CJ130"/>
    <mergeCell ref="CK125:CO130"/>
    <mergeCell ref="BV129:CA129"/>
    <mergeCell ref="CB129:CE129"/>
    <mergeCell ref="BC130:BF130"/>
    <mergeCell ref="BG130:BH130"/>
    <mergeCell ref="BJ130:BO130"/>
    <mergeCell ref="BP130:BU130"/>
    <mergeCell ref="BV130:CA130"/>
    <mergeCell ref="CB130:CE130"/>
    <mergeCell ref="CP125:CT130"/>
    <mergeCell ref="CU125:CY130"/>
    <mergeCell ref="BC126:BF126"/>
    <mergeCell ref="BG126:BH126"/>
    <mergeCell ref="BJ126:BO126"/>
    <mergeCell ref="BP126:BU126"/>
    <mergeCell ref="BV126:CA126"/>
    <mergeCell ref="CB126:CE126"/>
    <mergeCell ref="BC127:BF127"/>
    <mergeCell ref="BG127:BH127"/>
    <mergeCell ref="BJ127:BO127"/>
    <mergeCell ref="BP127:BU127"/>
    <mergeCell ref="BV127:CA127"/>
    <mergeCell ref="CB127:CE127"/>
    <mergeCell ref="BC128:BF128"/>
    <mergeCell ref="BG128:BH128"/>
    <mergeCell ref="BJ128:BO128"/>
    <mergeCell ref="BP128:BU128"/>
    <mergeCell ref="BV128:CA128"/>
    <mergeCell ref="CB128:CE128"/>
    <mergeCell ref="BC129:BF129"/>
    <mergeCell ref="BG129:BH129"/>
    <mergeCell ref="BJ129:BO129"/>
    <mergeCell ref="BP129:BU129"/>
  </mergeCells>
  <phoneticPr fontId="3"/>
  <conditionalFormatting sqref="BP11:BU166">
    <cfRule type="expression" dxfId="20" priority="5">
      <formula>AND($BP11="",OR($BJ11&lt;&gt;"",$BV11&lt;&gt;""))</formula>
    </cfRule>
  </conditionalFormatting>
  <conditionalFormatting sqref="BJ11:BO166">
    <cfRule type="expression" dxfId="19" priority="4">
      <formula>AND($BJ11="",OR($BP11&lt;&gt;"",$BV11&lt;&gt;""))</formula>
    </cfRule>
  </conditionalFormatting>
  <conditionalFormatting sqref="BG11:BH166">
    <cfRule type="expression" dxfId="18" priority="3">
      <formula>AND($BG11="○", OR($BI11&lt;&gt;"", $BJ11&lt;&gt;"", $BP11&lt;&gt;"", $BV11&lt;&gt;""))</formula>
    </cfRule>
  </conditionalFormatting>
  <conditionalFormatting sqref="B11:C166 BB11:CE166">
    <cfRule type="expression" dxfId="17" priority="2" stopIfTrue="1">
      <formula>OFFSET($R11,-($BB11-1),0)="x"</formula>
    </cfRule>
  </conditionalFormatting>
  <conditionalFormatting sqref="A11:CY166">
    <cfRule type="expression" dxfId="16" priority="1" stopIfTrue="1">
      <formula>$R11="x"</formula>
    </cfRule>
  </conditionalFormatting>
  <dataValidations xWindow="886" yWindow="732" count="7">
    <dataValidation type="list" allowBlank="1" showInputMessage="1" showErrorMessage="1" sqref="R11:S166">
      <formula1>"x"</formula1>
    </dataValidation>
    <dataValidation type="list" allowBlank="1" showInputMessage="1" showErrorMessage="1" sqref="T11:U166">
      <formula1>"Normal,Irregular"</formula1>
    </dataValidation>
    <dataValidation type="textLength" operator="lessThanOrEqual" allowBlank="1" showInputMessage="1" showErrorMessage="1" promptTitle="Please double-click it. " prompt="The  cause category and cause type ,and cause detailed select at one time." sqref="BJ11:CA166">
      <formula1>40</formula1>
    </dataValidation>
    <dataValidation type="list" allowBlank="1" showInputMessage="1" showErrorMessage="1" sqref="BG11:BH166">
      <formula1>"Passed,Failed"</formula1>
    </dataValidation>
    <dataValidation type="date" allowBlank="1" showInputMessage="1" showErrorMessage="1" sqref="CB11:CE166 BC11:BF166">
      <formula1>36526</formula1>
      <formula2>2958465</formula2>
    </dataValidation>
    <dataValidation type="whole" operator="greaterThanOrEqual" allowBlank="1" showInputMessage="1" showErrorMessage="1" sqref="BB11:BB166 A11:A166">
      <formula1>0</formula1>
    </dataValidation>
    <dataValidation type="list" allowBlank="1" showInputMessage="1" showErrorMessage="1" sqref="BI11:BI166">
      <formula1>INDIRECT(Phase_List_Range)</formula1>
    </dataValidation>
  </dataValidations>
  <pageMargins left="0.43307086614173229" right="0.35433070866141736" top="0.39370078740157483" bottom="0.55118110236220474" header="0.43307086614173229" footer="0.39370078740157483"/>
  <pageSetup paperSize="9" scale="31" fitToHeight="0" orientation="landscape" r:id="rId1"/>
  <headerFooter alignWithMargins="0">
    <oddFooter>&amp;L&amp;"Arial,標準"FUJITSU CONFIDENTIAL&amp;R&amp;"Arial,標準"All Rights Reserved, Copyright (C) FUJITSU LIMITED 2017</oddFooter>
  </headerFooter>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40"/>
  </sheetPr>
  <dimension ref="A1"/>
  <sheetViews>
    <sheetView zoomScale="85" zoomScaleNormal="85" workbookViewId="0">
      <selection activeCell="H29" sqref="H29"/>
    </sheetView>
  </sheetViews>
  <sheetFormatPr defaultColWidth="9" defaultRowHeight="14.25" x14ac:dyDescent="0.2"/>
  <cols>
    <col min="1" max="16384" width="9" style="86"/>
  </cols>
  <sheetData>
    <row r="1" spans="1:1" x14ac:dyDescent="0.2">
      <c r="A1" s="86" t="s">
        <v>189</v>
      </c>
    </row>
  </sheetData>
  <phoneticPr fontId="3"/>
  <pageMargins left="0.74803149606299213" right="0.74803149606299213" top="0.98425196850393704" bottom="0.98425196850393704" header="0.51181102362204722" footer="0.51181102362204722"/>
  <pageSetup paperSize="9" orientation="portrait" r:id="rId1"/>
  <headerFooter alignWithMargins="0">
    <oddFooter>&amp;L&amp;"Arial,標準"&amp;9FUJITSU CONFIDENTIAL&amp;R&amp;"Arial,標準"&amp;9All Rights Reserved, Copyright (C) FUJITSU LIMITED 2017</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40"/>
  </sheetPr>
  <dimension ref="A1"/>
  <sheetViews>
    <sheetView zoomScale="85" zoomScaleNormal="85" workbookViewId="0">
      <selection sqref="A1:M4"/>
    </sheetView>
  </sheetViews>
  <sheetFormatPr defaultColWidth="9" defaultRowHeight="14.25" x14ac:dyDescent="0.2"/>
  <cols>
    <col min="1" max="16384" width="9" style="86"/>
  </cols>
  <sheetData>
    <row r="1" spans="1:1" x14ac:dyDescent="0.2">
      <c r="A1" s="86" t="s">
        <v>189</v>
      </c>
    </row>
  </sheetData>
  <phoneticPr fontId="3"/>
  <pageMargins left="0.74803149606299213" right="0.74803149606299213" top="0.98425196850393704" bottom="0.98425196850393704" header="0.51181102362204722" footer="0.51181102362204722"/>
  <pageSetup paperSize="9" orientation="portrait" r:id="rId1"/>
  <headerFooter alignWithMargins="0">
    <oddFooter>&amp;L&amp;"Arial,標準"&amp;9FUJITSU CONFIDENTIAL&amp;R&amp;"Arial,標準"&amp;9All Rights Reserved, Copyright (C) FUJITSU LIMITED 2017</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FA354"/>
  <sheetViews>
    <sheetView showGridLines="0" topLeftCell="V1" zoomScale="70" zoomScaleNormal="70" zoomScaleSheetLayoutView="70" zoomScalePageLayoutView="70" workbookViewId="0">
      <pane ySplit="10" topLeftCell="A20" activePane="bottomLeft" state="frozen"/>
      <selection sqref="A1:M4"/>
      <selection pane="bottomLeft" activeCell="BG28" sqref="BG28"/>
    </sheetView>
  </sheetViews>
  <sheetFormatPr defaultColWidth="3.625" defaultRowHeight="12.75" x14ac:dyDescent="0.15"/>
  <cols>
    <col min="1" max="1" width="5.625" style="90" customWidth="1"/>
    <col min="2" max="2" width="15.375" style="90" hidden="1" customWidth="1"/>
    <col min="3" max="3" width="3.625" style="90" hidden="1" customWidth="1"/>
    <col min="4" max="17" width="3.625" style="88"/>
    <col min="18" max="21" width="9.25" style="88" customWidth="1"/>
    <col min="22" max="22" width="3.5" style="88" customWidth="1"/>
    <col min="23" max="50" width="3.625" style="88"/>
    <col min="51" max="51" width="9.375" style="88" customWidth="1"/>
    <col min="52" max="52" width="7.5" style="88" customWidth="1"/>
    <col min="53" max="56" width="3.625" style="88"/>
    <col min="57" max="58" width="7.375" style="88" customWidth="1"/>
    <col min="59" max="59" width="14.5" style="88" customWidth="1"/>
    <col min="60" max="60" width="3.5" style="88" customWidth="1"/>
    <col min="61" max="77" width="3.625" style="88"/>
    <col min="78" max="81" width="8" style="88" customWidth="1"/>
    <col min="82" max="82" width="3.625" style="88" customWidth="1"/>
    <col min="83" max="86" width="3.625" style="88"/>
    <col min="87" max="87" width="3.625" style="88" customWidth="1"/>
    <col min="88" max="91" width="3.625" style="88"/>
    <col min="92" max="92" width="3.625" style="88" customWidth="1"/>
    <col min="93" max="96" width="3.625" style="88"/>
    <col min="97" max="97" width="3.625" style="88" customWidth="1"/>
    <col min="98" max="105" width="3.625" style="88"/>
    <col min="106" max="145" width="15.625" style="88" hidden="1" customWidth="1"/>
    <col min="146" max="147" width="3.625" style="88"/>
    <col min="148" max="157" width="12.625" style="88" hidden="1" customWidth="1"/>
    <col min="158" max="16384" width="3.625" style="88"/>
  </cols>
  <sheetData>
    <row r="1" spans="1:157" s="93" customFormat="1" ht="18" x14ac:dyDescent="0.15">
      <c r="A1" s="625" t="s">
        <v>68</v>
      </c>
      <c r="B1" s="625"/>
      <c r="C1" s="625"/>
      <c r="D1" s="625"/>
      <c r="E1" s="625"/>
      <c r="F1" s="625"/>
      <c r="G1" s="625"/>
      <c r="H1" s="625"/>
      <c r="I1" s="625"/>
      <c r="J1" s="625"/>
      <c r="K1" s="625"/>
      <c r="L1" s="625"/>
      <c r="M1" s="625"/>
      <c r="N1" s="626" t="s">
        <v>165</v>
      </c>
      <c r="O1" s="627"/>
      <c r="P1" s="627"/>
      <c r="Q1" s="627"/>
      <c r="R1" s="627"/>
      <c r="S1" s="627"/>
      <c r="T1" s="627"/>
      <c r="U1" s="627"/>
      <c r="V1" s="627"/>
      <c r="W1" s="627"/>
      <c r="X1" s="627"/>
      <c r="Y1" s="627"/>
      <c r="Z1" s="627"/>
      <c r="AA1" s="627"/>
      <c r="AB1" s="627"/>
      <c r="AC1" s="627"/>
      <c r="AD1" s="627"/>
      <c r="AE1" s="627"/>
      <c r="AF1" s="627"/>
      <c r="AG1" s="627"/>
      <c r="AH1" s="627"/>
      <c r="AI1" s="627"/>
      <c r="AJ1" s="627"/>
      <c r="AK1" s="627"/>
      <c r="AL1" s="627"/>
      <c r="AM1" s="627"/>
      <c r="AN1" s="628" t="str">
        <f>'Title Page'!B6</f>
        <v>Subsystem</v>
      </c>
      <c r="AO1" s="629"/>
      <c r="AP1" s="629"/>
      <c r="AQ1" s="629"/>
      <c r="AR1" s="630"/>
      <c r="AS1" s="629"/>
      <c r="AT1" s="629"/>
      <c r="AU1" s="629"/>
      <c r="AV1" s="629"/>
      <c r="AW1" s="629"/>
      <c r="AX1" s="628" t="str">
        <f>'Title Page'!B7</f>
        <v>Business Process</v>
      </c>
      <c r="AY1" s="629"/>
      <c r="AZ1" s="629"/>
      <c r="BA1" s="629"/>
      <c r="BB1" s="629"/>
      <c r="BC1" s="629"/>
      <c r="BD1" s="629"/>
      <c r="BE1" s="629"/>
      <c r="BF1" s="629"/>
      <c r="BG1" s="87"/>
    </row>
    <row r="2" spans="1:157" s="93" customFormat="1" ht="18" x14ac:dyDescent="0.15">
      <c r="A2" s="625"/>
      <c r="B2" s="625"/>
      <c r="C2" s="625"/>
      <c r="D2" s="625"/>
      <c r="E2" s="625"/>
      <c r="F2" s="625"/>
      <c r="G2" s="625"/>
      <c r="H2" s="625"/>
      <c r="I2" s="625"/>
      <c r="J2" s="625"/>
      <c r="K2" s="625"/>
      <c r="L2" s="625"/>
      <c r="M2" s="625"/>
      <c r="N2" s="627"/>
      <c r="O2" s="627"/>
      <c r="P2" s="627"/>
      <c r="Q2" s="627"/>
      <c r="R2" s="627"/>
      <c r="S2" s="627"/>
      <c r="T2" s="627"/>
      <c r="U2" s="627"/>
      <c r="V2" s="627"/>
      <c r="W2" s="627"/>
      <c r="X2" s="627"/>
      <c r="Y2" s="627"/>
      <c r="Z2" s="627"/>
      <c r="AA2" s="627"/>
      <c r="AB2" s="627"/>
      <c r="AC2" s="627"/>
      <c r="AD2" s="627"/>
      <c r="AE2" s="627"/>
      <c r="AF2" s="627"/>
      <c r="AG2" s="627"/>
      <c r="AH2" s="627"/>
      <c r="AI2" s="627"/>
      <c r="AJ2" s="627"/>
      <c r="AK2" s="627"/>
      <c r="AL2" s="627"/>
      <c r="AM2" s="627"/>
      <c r="AN2" s="631" t="str">
        <f>IF('Title Page'!I6="","",'Title Page'!I6)</f>
        <v>LOMOS</v>
      </c>
      <c r="AO2" s="631"/>
      <c r="AP2" s="631"/>
      <c r="AQ2" s="631"/>
      <c r="AR2" s="631"/>
      <c r="AS2" s="631"/>
      <c r="AT2" s="631"/>
      <c r="AU2" s="631"/>
      <c r="AV2" s="631"/>
      <c r="AW2" s="631"/>
      <c r="AX2" s="631" t="str">
        <f>IF('Title Page'!I7="","",'Title Page'!I7)</f>
        <v>KR002</v>
      </c>
      <c r="AY2" s="631"/>
      <c r="AZ2" s="631"/>
      <c r="BA2" s="631"/>
      <c r="BB2" s="631"/>
      <c r="BC2" s="631"/>
      <c r="BD2" s="631"/>
      <c r="BE2" s="631"/>
      <c r="BF2" s="631"/>
      <c r="BG2" s="89"/>
      <c r="CL2" s="568" t="s">
        <v>183</v>
      </c>
      <c r="CM2" s="569"/>
      <c r="CN2" s="569"/>
      <c r="CO2" s="570"/>
      <c r="CP2" s="618">
        <f ca="1">COUNTIFS(INDIRECT("$K11:$K"&amp;ROW(Test_Item_Report_End_Line)),"&lt;&gt;",INDIRECT("$R11:$R"&amp;ROW(Test_Item_Report_End_Line)),"&lt;&gt;x")</f>
        <v>9</v>
      </c>
      <c r="CQ2" s="618"/>
      <c r="CR2" s="619" t="s">
        <v>184</v>
      </c>
      <c r="CS2" s="620"/>
      <c r="CT2" s="620"/>
      <c r="CU2" s="621"/>
      <c r="CV2" s="618">
        <f ca="1">COUNTIFS(INDIRECT("$C11:$C"&amp;ROW(Test_Item_Report_End_Line)),"=●",INDIRECT("$BG11:$BG"&amp;ROW(Test_Item_Report_End_Line)),"=○")</f>
        <v>0</v>
      </c>
      <c r="CW2" s="618"/>
    </row>
    <row r="3" spans="1:157" s="93" customFormat="1" ht="19.5" hidden="1" customHeight="1" x14ac:dyDescent="0.15">
      <c r="A3" s="625"/>
      <c r="B3" s="625"/>
      <c r="C3" s="625"/>
      <c r="D3" s="625"/>
      <c r="E3" s="625"/>
      <c r="F3" s="625"/>
      <c r="G3" s="625"/>
      <c r="H3" s="625"/>
      <c r="I3" s="625"/>
      <c r="J3" s="625"/>
      <c r="K3" s="625"/>
      <c r="L3" s="625"/>
      <c r="M3" s="625"/>
      <c r="N3" s="627"/>
      <c r="O3" s="627"/>
      <c r="P3" s="627"/>
      <c r="Q3" s="627"/>
      <c r="R3" s="627"/>
      <c r="S3" s="627"/>
      <c r="T3" s="627"/>
      <c r="U3" s="627"/>
      <c r="V3" s="627"/>
      <c r="W3" s="627"/>
      <c r="X3" s="627"/>
      <c r="Y3" s="627"/>
      <c r="Z3" s="627"/>
      <c r="AA3" s="627"/>
      <c r="AB3" s="627"/>
      <c r="AC3" s="627"/>
      <c r="AD3" s="627"/>
      <c r="AE3" s="627"/>
      <c r="AF3" s="627"/>
      <c r="AG3" s="627"/>
      <c r="AH3" s="627"/>
      <c r="AI3" s="627"/>
      <c r="AJ3" s="627"/>
      <c r="AK3" s="627"/>
      <c r="AL3" s="627"/>
      <c r="AM3" s="627"/>
      <c r="AN3" s="631"/>
      <c r="AO3" s="631"/>
      <c r="AP3" s="631"/>
      <c r="AQ3" s="631"/>
      <c r="AR3" s="631"/>
      <c r="AS3" s="631"/>
      <c r="AT3" s="631"/>
      <c r="AU3" s="631"/>
      <c r="AV3" s="631"/>
      <c r="AW3" s="631"/>
      <c r="AX3" s="631"/>
      <c r="AY3" s="631"/>
      <c r="AZ3" s="631"/>
      <c r="BA3" s="631"/>
      <c r="BB3" s="631"/>
      <c r="BC3" s="631"/>
      <c r="BD3" s="631"/>
      <c r="BE3" s="631"/>
      <c r="BF3" s="631"/>
      <c r="BG3" s="89"/>
    </row>
    <row r="4" spans="1:157" s="93" customFormat="1" ht="9.75" customHeight="1" x14ac:dyDescent="0.15">
      <c r="A4" s="625"/>
      <c r="B4" s="625"/>
      <c r="C4" s="625"/>
      <c r="D4" s="625"/>
      <c r="E4" s="625"/>
      <c r="F4" s="625"/>
      <c r="G4" s="625"/>
      <c r="H4" s="625"/>
      <c r="I4" s="625"/>
      <c r="J4" s="625"/>
      <c r="K4" s="625"/>
      <c r="L4" s="625"/>
      <c r="M4" s="625"/>
      <c r="N4" s="627"/>
      <c r="O4" s="627"/>
      <c r="P4" s="627"/>
      <c r="Q4" s="627"/>
      <c r="R4" s="627"/>
      <c r="S4" s="627"/>
      <c r="T4" s="627"/>
      <c r="U4" s="627"/>
      <c r="V4" s="627"/>
      <c r="W4" s="627"/>
      <c r="X4" s="627"/>
      <c r="Y4" s="627"/>
      <c r="Z4" s="627"/>
      <c r="AA4" s="627"/>
      <c r="AB4" s="627"/>
      <c r="AC4" s="627"/>
      <c r="AD4" s="627"/>
      <c r="AE4" s="627"/>
      <c r="AF4" s="627"/>
      <c r="AG4" s="627"/>
      <c r="AH4" s="627"/>
      <c r="AI4" s="627"/>
      <c r="AJ4" s="627"/>
      <c r="AK4" s="627"/>
      <c r="AL4" s="627"/>
      <c r="AM4" s="627"/>
      <c r="AN4" s="631"/>
      <c r="AO4" s="631"/>
      <c r="AP4" s="631"/>
      <c r="AQ4" s="631"/>
      <c r="AR4" s="631"/>
      <c r="AS4" s="631"/>
      <c r="AT4" s="631"/>
      <c r="AU4" s="631"/>
      <c r="AV4" s="631"/>
      <c r="AW4" s="631"/>
      <c r="AX4" s="631"/>
      <c r="AY4" s="631"/>
      <c r="AZ4" s="631"/>
      <c r="BA4" s="631"/>
      <c r="BB4" s="631"/>
      <c r="BC4" s="631"/>
      <c r="BD4" s="631"/>
      <c r="BE4" s="631"/>
      <c r="BF4" s="631"/>
      <c r="BG4" s="89"/>
    </row>
    <row r="5" spans="1:157" s="92" customFormat="1" ht="7.5" customHeight="1" x14ac:dyDescent="0.15">
      <c r="B5" s="622"/>
      <c r="C5" s="622"/>
      <c r="D5" s="94"/>
      <c r="E5" s="94"/>
      <c r="F5" s="94"/>
      <c r="G5" s="94"/>
      <c r="H5" s="94"/>
      <c r="I5" s="94"/>
      <c r="J5" s="94"/>
      <c r="K5" s="94"/>
      <c r="L5" s="94"/>
      <c r="M5" s="94"/>
      <c r="N5" s="94"/>
      <c r="O5" s="94"/>
      <c r="P5" s="94"/>
      <c r="Q5" s="94"/>
      <c r="R5" s="160"/>
      <c r="S5" s="160"/>
      <c r="T5" s="94"/>
      <c r="U5" s="94"/>
      <c r="V5" s="94"/>
      <c r="W5" s="94"/>
      <c r="X5" s="94"/>
      <c r="Y5" s="94"/>
      <c r="Z5" s="94"/>
      <c r="AA5" s="94"/>
      <c r="AB5" s="94"/>
      <c r="AC5" s="94"/>
      <c r="AD5" s="94"/>
      <c r="AE5" s="94"/>
      <c r="AF5" s="94"/>
      <c r="AG5" s="94"/>
      <c r="AH5" s="94"/>
      <c r="AI5" s="94"/>
      <c r="AJ5" s="14"/>
      <c r="AK5" s="14"/>
      <c r="AL5" s="14"/>
      <c r="AM5" s="14"/>
      <c r="AN5" s="14"/>
      <c r="AO5" s="14"/>
      <c r="AP5" s="14"/>
      <c r="AQ5" s="14"/>
      <c r="AR5" s="14"/>
      <c r="AS5" s="14"/>
      <c r="AT5" s="14"/>
      <c r="AU5" s="14"/>
      <c r="AV5" s="14"/>
      <c r="AW5" s="14"/>
      <c r="AX5" s="623"/>
      <c r="AY5" s="623"/>
      <c r="AZ5" s="623"/>
      <c r="BA5" s="623"/>
      <c r="BB5" s="14"/>
      <c r="BC5" s="14"/>
      <c r="BD5" s="14"/>
      <c r="BE5" s="624"/>
      <c r="BF5" s="624"/>
      <c r="BG5" s="624"/>
      <c r="BH5" s="624"/>
      <c r="BI5" s="624"/>
      <c r="BJ5" s="624"/>
      <c r="BK5" s="624"/>
      <c r="BL5" s="624"/>
      <c r="BM5" s="624"/>
      <c r="BN5" s="624"/>
      <c r="BO5" s="95"/>
      <c r="BP5" s="95"/>
      <c r="BQ5" s="95"/>
    </row>
    <row r="6" spans="1:157" s="91" customFormat="1" ht="24" customHeight="1" x14ac:dyDescent="0.15">
      <c r="A6" s="588" t="str">
        <f>'Title Page'!B8</f>
        <v>Process Name</v>
      </c>
      <c r="B6" s="563"/>
      <c r="C6" s="563"/>
      <c r="D6" s="563"/>
      <c r="E6" s="563"/>
      <c r="F6" s="563"/>
      <c r="G6" s="563"/>
      <c r="H6" s="564"/>
      <c r="I6" s="589" t="str">
        <f>IF('Title Page'!I8="","",'Title Page'!I8)</f>
        <v>Host_IF_Status_Reference</v>
      </c>
      <c r="J6" s="590"/>
      <c r="K6" s="590"/>
      <c r="L6" s="590"/>
      <c r="M6" s="590"/>
      <c r="N6" s="590"/>
      <c r="O6" s="590"/>
      <c r="P6" s="590"/>
      <c r="Q6" s="590"/>
      <c r="R6" s="590"/>
      <c r="S6" s="591"/>
      <c r="T6" s="588" t="str">
        <f>'Title Page'!B9</f>
        <v>Free Area</v>
      </c>
      <c r="U6" s="563"/>
      <c r="V6" s="563"/>
      <c r="W6" s="563"/>
      <c r="X6" s="563"/>
      <c r="Y6" s="564"/>
      <c r="Z6" s="589" t="str">
        <f>IF('Title Page'!I9="","",'Title Page'!I9)</f>
        <v/>
      </c>
      <c r="AA6" s="590"/>
      <c r="AB6" s="590"/>
      <c r="AC6" s="590"/>
      <c r="AD6" s="590"/>
      <c r="AE6" s="590"/>
      <c r="AF6" s="590"/>
      <c r="AG6" s="590"/>
      <c r="AH6" s="590"/>
      <c r="AI6" s="590"/>
      <c r="AJ6" s="562" t="s">
        <v>91</v>
      </c>
      <c r="AK6" s="563"/>
      <c r="AL6" s="563"/>
      <c r="AM6" s="563"/>
      <c r="AN6" s="563"/>
      <c r="AO6" s="563"/>
      <c r="AP6" s="563"/>
      <c r="AQ6" s="592"/>
      <c r="AR6" s="593"/>
      <c r="AS6" s="593"/>
      <c r="AT6" s="593"/>
      <c r="AU6" s="593"/>
      <c r="AV6" s="593"/>
      <c r="AW6" s="593"/>
      <c r="AX6" s="593"/>
      <c r="AY6" s="593"/>
      <c r="AZ6" s="593"/>
      <c r="BA6" s="593"/>
      <c r="BB6" s="593"/>
      <c r="BC6" s="593"/>
      <c r="BD6" s="594"/>
      <c r="BE6" s="562" t="s">
        <v>167</v>
      </c>
      <c r="BF6" s="563"/>
      <c r="BG6" s="563"/>
      <c r="BH6" s="563"/>
      <c r="BI6" s="563"/>
      <c r="BJ6" s="563"/>
      <c r="BK6" s="564"/>
      <c r="BL6" s="565"/>
      <c r="BM6" s="566"/>
      <c r="BN6" s="566"/>
      <c r="BO6" s="566"/>
      <c r="BP6" s="566"/>
      <c r="BQ6" s="566"/>
      <c r="BR6" s="566"/>
      <c r="BS6" s="566"/>
      <c r="BT6" s="566"/>
      <c r="BU6" s="566"/>
      <c r="BV6" s="567"/>
      <c r="CR6" s="568" t="s">
        <v>185</v>
      </c>
      <c r="CS6" s="569"/>
      <c r="CT6" s="569"/>
      <c r="CU6" s="570"/>
      <c r="CV6" s="571">
        <f ca="1">COUNTIFS(INDIRECT("$C11:$C"&amp;ROW(Test_Item_Report_End_Line)),"=@",INDIRECT("$BG11:$BG"&amp;ROW(Test_Item_Report_End_Line)),"=Failed")</f>
        <v>0</v>
      </c>
      <c r="CW6" s="571"/>
    </row>
    <row r="7" spans="1:157" s="92" customFormat="1" ht="22.5" customHeight="1" x14ac:dyDescent="0.15">
      <c r="A7" s="96"/>
      <c r="B7" s="97"/>
      <c r="C7" s="97"/>
      <c r="D7" s="97"/>
      <c r="E7" s="97"/>
      <c r="F7" s="97"/>
      <c r="G7" s="97"/>
      <c r="H7" s="97"/>
      <c r="I7" s="98"/>
      <c r="J7" s="98"/>
      <c r="K7" s="230" t="s">
        <v>192</v>
      </c>
      <c r="L7" s="98"/>
      <c r="M7" s="98"/>
      <c r="N7" s="98"/>
      <c r="O7" s="98"/>
      <c r="P7" s="98"/>
      <c r="Q7" s="98"/>
      <c r="R7" s="98"/>
      <c r="S7" s="98"/>
      <c r="T7" s="98"/>
      <c r="U7" s="98"/>
      <c r="V7" s="98"/>
      <c r="W7" s="98"/>
      <c r="X7" s="98"/>
      <c r="Y7" s="98"/>
      <c r="Z7" s="98"/>
      <c r="AA7" s="98"/>
      <c r="AB7" s="98"/>
      <c r="AC7" s="97"/>
      <c r="AD7" s="97"/>
      <c r="AE7" s="97"/>
      <c r="AF7" s="97"/>
      <c r="AG7" s="97"/>
      <c r="AH7" s="97"/>
      <c r="AI7" s="98"/>
      <c r="AJ7" s="98"/>
      <c r="AK7" s="98"/>
      <c r="AL7" s="98"/>
      <c r="AM7" s="98"/>
      <c r="AN7" s="98"/>
      <c r="AO7" s="98"/>
      <c r="AP7" s="98"/>
      <c r="AQ7" s="98"/>
      <c r="AR7" s="98"/>
      <c r="AS7" s="98"/>
      <c r="AT7" s="98"/>
      <c r="AU7" s="98"/>
      <c r="AV7" s="98"/>
      <c r="AW7" s="98"/>
      <c r="AX7" s="98"/>
      <c r="AY7" s="98"/>
      <c r="AZ7" s="14"/>
      <c r="BA7" s="14"/>
      <c r="BB7" s="14"/>
      <c r="BC7" s="14"/>
      <c r="BD7" s="14"/>
      <c r="BE7" s="95"/>
      <c r="BF7" s="95"/>
      <c r="BG7" s="95"/>
      <c r="BH7" s="95"/>
      <c r="BI7" s="95"/>
      <c r="BJ7" s="95"/>
      <c r="BK7" s="95"/>
      <c r="BL7" s="95"/>
      <c r="BM7" s="95"/>
      <c r="BN7" s="95"/>
      <c r="BO7" s="95"/>
      <c r="BP7" s="95"/>
      <c r="BQ7" s="95"/>
    </row>
    <row r="8" spans="1:157" ht="12.75" customHeight="1" x14ac:dyDescent="0.15">
      <c r="A8" s="572" t="s">
        <v>1</v>
      </c>
      <c r="B8" s="572" t="s">
        <v>168</v>
      </c>
      <c r="C8" s="575" t="s">
        <v>169</v>
      </c>
      <c r="D8" s="578" t="s">
        <v>61</v>
      </c>
      <c r="E8" s="579"/>
      <c r="F8" s="579"/>
      <c r="G8" s="579"/>
      <c r="H8" s="579"/>
      <c r="I8" s="579"/>
      <c r="J8" s="579"/>
      <c r="K8" s="584" t="s">
        <v>283</v>
      </c>
      <c r="L8" s="579"/>
      <c r="M8" s="579"/>
      <c r="N8" s="579"/>
      <c r="O8" s="579"/>
      <c r="P8" s="579"/>
      <c r="Q8" s="579"/>
      <c r="R8" s="578" t="s">
        <v>186</v>
      </c>
      <c r="S8" s="585"/>
      <c r="T8" s="578" t="s">
        <v>170</v>
      </c>
      <c r="U8" s="585"/>
      <c r="V8" s="578" t="s">
        <v>171</v>
      </c>
      <c r="W8" s="579"/>
      <c r="X8" s="579"/>
      <c r="Y8" s="579"/>
      <c r="Z8" s="579"/>
      <c r="AA8" s="579"/>
      <c r="AB8" s="579"/>
      <c r="AC8" s="578" t="s">
        <v>172</v>
      </c>
      <c r="AD8" s="579"/>
      <c r="AE8" s="579"/>
      <c r="AF8" s="579"/>
      <c r="AG8" s="579"/>
      <c r="AH8" s="579"/>
      <c r="AI8" s="579"/>
      <c r="AJ8" s="578" t="s">
        <v>173</v>
      </c>
      <c r="AK8" s="579"/>
      <c r="AL8" s="579"/>
      <c r="AM8" s="579"/>
      <c r="AN8" s="579"/>
      <c r="AO8" s="579"/>
      <c r="AP8" s="585"/>
      <c r="AQ8" s="578" t="s">
        <v>174</v>
      </c>
      <c r="AR8" s="579"/>
      <c r="AS8" s="579"/>
      <c r="AT8" s="579"/>
      <c r="AU8" s="579"/>
      <c r="AV8" s="579"/>
      <c r="AW8" s="585"/>
      <c r="AX8" s="578" t="s">
        <v>175</v>
      </c>
      <c r="AY8" s="585"/>
      <c r="AZ8" s="615" t="s">
        <v>176</v>
      </c>
      <c r="BA8" s="632" t="s">
        <v>177</v>
      </c>
      <c r="BB8" s="633"/>
      <c r="BC8" s="633"/>
      <c r="BD8" s="634"/>
      <c r="BE8" s="595" t="s">
        <v>178</v>
      </c>
      <c r="BF8" s="597"/>
      <c r="BG8" s="641" t="s">
        <v>64</v>
      </c>
      <c r="BH8" s="595" t="s">
        <v>65</v>
      </c>
      <c r="BI8" s="596"/>
      <c r="BJ8" s="596"/>
      <c r="BK8" s="596"/>
      <c r="BL8" s="596"/>
      <c r="BM8" s="597"/>
      <c r="BN8" s="595" t="s">
        <v>66</v>
      </c>
      <c r="BO8" s="596"/>
      <c r="BP8" s="596"/>
      <c r="BQ8" s="596"/>
      <c r="BR8" s="596"/>
      <c r="BS8" s="597"/>
      <c r="BT8" s="595" t="s">
        <v>67</v>
      </c>
      <c r="BU8" s="596"/>
      <c r="BV8" s="596"/>
      <c r="BW8" s="596"/>
      <c r="BX8" s="596"/>
      <c r="BY8" s="597"/>
      <c r="BZ8" s="604" t="s">
        <v>179</v>
      </c>
      <c r="CA8" s="605"/>
      <c r="CB8" s="605"/>
      <c r="CC8" s="606"/>
      <c r="CD8" s="588" t="s">
        <v>94</v>
      </c>
      <c r="CE8" s="613"/>
      <c r="CF8" s="613"/>
      <c r="CG8" s="613"/>
      <c r="CH8" s="614"/>
      <c r="CI8" s="588" t="s">
        <v>95</v>
      </c>
      <c r="CJ8" s="613"/>
      <c r="CK8" s="613"/>
      <c r="CL8" s="613"/>
      <c r="CM8" s="614"/>
      <c r="CN8" s="588" t="s">
        <v>96</v>
      </c>
      <c r="CO8" s="613"/>
      <c r="CP8" s="613"/>
      <c r="CQ8" s="613"/>
      <c r="CR8" s="614"/>
      <c r="CS8" s="588" t="s">
        <v>180</v>
      </c>
      <c r="CT8" s="613"/>
      <c r="CU8" s="613"/>
      <c r="CV8" s="613"/>
      <c r="CW8" s="614"/>
      <c r="CX8" s="99"/>
      <c r="CY8" s="100"/>
      <c r="CZ8" s="92"/>
      <c r="DA8" s="92"/>
      <c r="DB8" s="556" t="s">
        <v>140</v>
      </c>
      <c r="DC8" s="557"/>
      <c r="DD8" s="557"/>
      <c r="DE8" s="557"/>
      <c r="DF8" s="557"/>
      <c r="DG8" s="557"/>
      <c r="DH8" s="557"/>
      <c r="DI8" s="557"/>
      <c r="DJ8" s="557"/>
      <c r="DK8" s="557"/>
      <c r="DL8" s="557"/>
      <c r="DM8" s="557"/>
      <c r="DN8" s="557"/>
      <c r="DO8" s="557"/>
      <c r="DP8" s="557"/>
      <c r="DQ8" s="557"/>
      <c r="DR8" s="557"/>
      <c r="DS8" s="557"/>
      <c r="DT8" s="557"/>
      <c r="DU8" s="557"/>
      <c r="DV8" s="557"/>
      <c r="DW8" s="557"/>
      <c r="DX8" s="557"/>
      <c r="DY8" s="557"/>
      <c r="DZ8" s="557"/>
      <c r="EA8" s="557"/>
      <c r="EB8" s="557"/>
      <c r="EC8" s="557"/>
      <c r="ED8" s="557"/>
      <c r="EE8" s="557"/>
      <c r="EF8" s="557"/>
      <c r="EG8" s="557"/>
      <c r="EH8" s="557"/>
      <c r="EI8" s="557"/>
      <c r="EJ8" s="557"/>
      <c r="EK8" s="557"/>
      <c r="EL8" s="557"/>
      <c r="EM8" s="557"/>
      <c r="EN8" s="557"/>
      <c r="EO8" s="558"/>
      <c r="ER8" s="559" t="s">
        <v>141</v>
      </c>
      <c r="ES8" s="560"/>
      <c r="ET8" s="560"/>
      <c r="EU8" s="560"/>
      <c r="EV8" s="560"/>
      <c r="EW8" s="560"/>
      <c r="EX8" s="560"/>
      <c r="EY8" s="560"/>
      <c r="EZ8" s="560"/>
      <c r="FA8" s="561"/>
    </row>
    <row r="9" spans="1:157" ht="60" customHeight="1" x14ac:dyDescent="0.15">
      <c r="A9" s="573"/>
      <c r="B9" s="573"/>
      <c r="C9" s="576"/>
      <c r="D9" s="580"/>
      <c r="E9" s="581"/>
      <c r="F9" s="581"/>
      <c r="G9" s="581"/>
      <c r="H9" s="581"/>
      <c r="I9" s="581"/>
      <c r="J9" s="581"/>
      <c r="K9" s="580"/>
      <c r="L9" s="581"/>
      <c r="M9" s="581"/>
      <c r="N9" s="581"/>
      <c r="O9" s="581"/>
      <c r="P9" s="581"/>
      <c r="Q9" s="581"/>
      <c r="R9" s="580"/>
      <c r="S9" s="586"/>
      <c r="T9" s="580"/>
      <c r="U9" s="586"/>
      <c r="V9" s="580"/>
      <c r="W9" s="581"/>
      <c r="X9" s="581"/>
      <c r="Y9" s="581"/>
      <c r="Z9" s="581"/>
      <c r="AA9" s="581"/>
      <c r="AB9" s="581"/>
      <c r="AC9" s="580"/>
      <c r="AD9" s="581"/>
      <c r="AE9" s="581"/>
      <c r="AF9" s="581"/>
      <c r="AG9" s="581"/>
      <c r="AH9" s="581"/>
      <c r="AI9" s="581"/>
      <c r="AJ9" s="580"/>
      <c r="AK9" s="581"/>
      <c r="AL9" s="581"/>
      <c r="AM9" s="581"/>
      <c r="AN9" s="581"/>
      <c r="AO9" s="581"/>
      <c r="AP9" s="586"/>
      <c r="AQ9" s="580"/>
      <c r="AR9" s="581"/>
      <c r="AS9" s="581"/>
      <c r="AT9" s="581"/>
      <c r="AU9" s="581"/>
      <c r="AV9" s="581"/>
      <c r="AW9" s="586"/>
      <c r="AX9" s="580"/>
      <c r="AY9" s="586"/>
      <c r="AZ9" s="616"/>
      <c r="BA9" s="635"/>
      <c r="BB9" s="636"/>
      <c r="BC9" s="636"/>
      <c r="BD9" s="637"/>
      <c r="BE9" s="598"/>
      <c r="BF9" s="600"/>
      <c r="BG9" s="642"/>
      <c r="BH9" s="598"/>
      <c r="BI9" s="599"/>
      <c r="BJ9" s="599"/>
      <c r="BK9" s="599"/>
      <c r="BL9" s="599"/>
      <c r="BM9" s="600"/>
      <c r="BN9" s="598"/>
      <c r="BO9" s="599"/>
      <c r="BP9" s="599"/>
      <c r="BQ9" s="599"/>
      <c r="BR9" s="599"/>
      <c r="BS9" s="600"/>
      <c r="BT9" s="598"/>
      <c r="BU9" s="599"/>
      <c r="BV9" s="599"/>
      <c r="BW9" s="599"/>
      <c r="BX9" s="599"/>
      <c r="BY9" s="600"/>
      <c r="BZ9" s="607"/>
      <c r="CA9" s="608"/>
      <c r="CB9" s="608"/>
      <c r="CC9" s="609"/>
      <c r="CD9" s="588"/>
      <c r="CE9" s="613"/>
      <c r="CF9" s="613"/>
      <c r="CG9" s="613"/>
      <c r="CH9" s="614"/>
      <c r="CI9" s="588"/>
      <c r="CJ9" s="613"/>
      <c r="CK9" s="613"/>
      <c r="CL9" s="613"/>
      <c r="CM9" s="614"/>
      <c r="CN9" s="588"/>
      <c r="CO9" s="613"/>
      <c r="CP9" s="613"/>
      <c r="CQ9" s="613"/>
      <c r="CR9" s="614"/>
      <c r="CS9" s="588"/>
      <c r="CT9" s="613"/>
      <c r="CU9" s="613"/>
      <c r="CV9" s="613"/>
      <c r="CW9" s="614"/>
      <c r="CX9" s="99"/>
      <c r="CY9" s="100"/>
      <c r="CZ9" s="92"/>
      <c r="DA9" s="92"/>
      <c r="DB9" s="205" t="str">
        <f>IF(ISBLANK(Cause_Type_Name_1),"",Cause_Type_Name_1)</f>
        <v>10:System Design Mistake</v>
      </c>
      <c r="DC9" s="206" t="str">
        <f>IF(ISBLANK(Cause_Type_Name_2),"",Cause_Type_Name_2)</f>
        <v>11:Interface Design Mistake</v>
      </c>
      <c r="DD9" s="206" t="str">
        <f>IF(ISBLANK(Cause_Type_Name_3),"",Cause_Type_Name_3)</f>
        <v>12:File/DB Design Mistake</v>
      </c>
      <c r="DE9" s="206" t="str">
        <f>IF(ISBLANK(Cause_Type_Name_4),"",Cause_Type_Name_4)</f>
        <v>13:System Function Design Mistake</v>
      </c>
      <c r="DF9" s="206" t="str">
        <f>IF(ISBLANK(Cause_Type_Name_5),"",Cause_Type_Name_5)</f>
        <v>14:Common Components Design Mistake</v>
      </c>
      <c r="DG9" s="206" t="str">
        <f>IF(ISBLANK(Cause_Type_Name_6),"",Cause_Type_Name_6)</f>
        <v>20:Logical Mistake</v>
      </c>
      <c r="DH9" s="206" t="str">
        <f>IF(ISBLANK(Cause_Type_Name_7),"",Cause_Type_Name_7)</f>
        <v>21:PG Mistake (Coding Mistake)</v>
      </c>
      <c r="DI9" s="206" t="str">
        <f>IF(ISBLANK(Cause_Type_Name_8),"",Cause_Type_Name_8)</f>
        <v>22:PG Mistake (SQL Mistake)</v>
      </c>
      <c r="DJ9" s="206" t="str">
        <f>IF(ISBLANK(Cause_Type_Name_9),"",Cause_Type_Name_9)</f>
        <v>23:PG Mistake (Against Common Rules)</v>
      </c>
      <c r="DK9" s="206" t="str">
        <f>IF(ISBLANK(Cause_Type_Name_10),"",Cause_Type_Name_10)</f>
        <v>24:Regression (Modification Failure)</v>
      </c>
      <c r="DL9" s="206" t="str">
        <f>IF(ISBLANK(Cause_Type_Name_11),"",Cause_Type_Name_11)</f>
        <v>30:Test Specification Mistake</v>
      </c>
      <c r="DM9" s="206" t="str">
        <f>IF(ISBLANK(Cause_Type_Name_12),"",Cause_Type_Name_12)</f>
        <v>31:Test Data Mistake</v>
      </c>
      <c r="DN9" s="206" t="str">
        <f>IF(ISBLANK(Cause_Type_Name_13),"",Cause_Type_Name_13)</f>
        <v>40:Operation Mistake</v>
      </c>
      <c r="DO9" s="206" t="str">
        <f>IF(ISBLANK(Cause_Type_Name_14),"",Cause_Type_Name_14)</f>
        <v>41:Environment Setting Mistake</v>
      </c>
      <c r="DP9" s="206" t="str">
        <f>IF(ISBLANK(Cause_Type_Name_15),"",Cause_Type_Name_15)</f>
        <v>42:ConfManage/Release Mistake</v>
      </c>
      <c r="DQ9" s="206" t="str">
        <f>IF(ISBLANK(Cause_Type_Name_16),"",Cause_Type_Name_16)</f>
        <v>50:Product Defect(Equip/OS/Mid/PKG/Net)</v>
      </c>
      <c r="DR9" s="206" t="str">
        <f>IF(ISBLANK(Cause_Type_Name_17),"",Cause_Type_Name_17)</f>
        <v>52:Linking Destination Defect</v>
      </c>
      <c r="DS9" s="206" t="str">
        <f>IF(ISBLANK(Cause_Type_Name_18),"",Cause_Type_Name_18)</f>
        <v>53:Fujitsu PKG Software Defect</v>
      </c>
      <c r="DT9" s="206" t="str">
        <f>IF(ISBLANK(Cause_Type_Name_19),"",Cause_Type_Name_19)</f>
        <v>54:3rd-party PKG Software Defect</v>
      </c>
      <c r="DU9" s="206" t="str">
        <f>IF(ISBLANK(Cause_Type_Name_20),"",Cause_Type_Name_20)</f>
        <v>55:Other Application Software Defect</v>
      </c>
      <c r="DV9" s="206" t="str">
        <f>IF(ISBLANK(Cause_Type_Name_21),"",Cause_Type_Name_21)</f>
        <v>60:Other</v>
      </c>
      <c r="DW9" s="206" t="str">
        <f>IF(ISBLANK(Cause_Type_Name_22),"",Cause_Type_Name_22)</f>
        <v>80:Unknown Cause (Wait for Reappear)</v>
      </c>
      <c r="DX9" s="206" t="str">
        <f>IF(ISBLANK(Cause_Type_Name_23),"",Cause_Type_Name_23)</f>
        <v>90:Following Requirement</v>
      </c>
      <c r="DY9" s="206" t="str">
        <f>IF(ISBLANK(Cause_Type_Name_24),"",Cause_Type_Name_24)</f>
        <v>91:Same Defect (Already Detected)</v>
      </c>
      <c r="DZ9" s="206" t="str">
        <f>IF(ISBLANK(Cause_Type_Name_25),"",Cause_Type_Name_25)</f>
        <v/>
      </c>
      <c r="EA9" s="206" t="str">
        <f>IF(ISBLANK(Cause_Type_Name_26),"",Cause_Type_Name_26)</f>
        <v/>
      </c>
      <c r="EB9" s="206" t="str">
        <f>IF(ISBLANK(Cause_Type_Name_27),"",Cause_Type_Name_27)</f>
        <v/>
      </c>
      <c r="EC9" s="206" t="str">
        <f>IF(ISBLANK(Cause_Type_Name_28),"",Cause_Type_Name_28)</f>
        <v/>
      </c>
      <c r="ED9" s="206" t="str">
        <f>IF(ISBLANK(Cause_Type_Name_29),"",Cause_Type_Name_29)</f>
        <v/>
      </c>
      <c r="EE9" s="206" t="str">
        <f>IF(ISBLANK(Cause_Type_Name_30),"",Cause_Type_Name_30)</f>
        <v/>
      </c>
      <c r="EF9" s="206" t="str">
        <f>IF(ISBLANK(Cause_Type_Name_31),"",Cause_Type_Name_31)</f>
        <v/>
      </c>
      <c r="EG9" s="206" t="str">
        <f>IF(ISBLANK(Cause_Type_Name_32),"",Cause_Type_Name_32)</f>
        <v/>
      </c>
      <c r="EH9" s="206" t="str">
        <f>IF(ISBLANK(Cause_Type_Name_33),"",Cause_Type_Name_33)</f>
        <v/>
      </c>
      <c r="EI9" s="206" t="str">
        <f>IF(ISBLANK(Cause_Type_Name_34),"",Cause_Type_Name_34)</f>
        <v/>
      </c>
      <c r="EJ9" s="206" t="str">
        <f>IF(ISBLANK(Cause_Type_Name_35),"",Cause_Type_Name_35)</f>
        <v/>
      </c>
      <c r="EK9" s="206" t="str">
        <f>IF(ISBLANK(Cause_Type_Name_36),"",Cause_Type_Name_36)</f>
        <v/>
      </c>
      <c r="EL9" s="206" t="str">
        <f>IF(ISBLANK(Cause_Type_Name_37),"",Cause_Type_Name_37)</f>
        <v/>
      </c>
      <c r="EM9" s="206" t="str">
        <f>IF(ISBLANK(Cause_Type_Name_38),"",Cause_Type_Name_38)</f>
        <v/>
      </c>
      <c r="EN9" s="206" t="str">
        <f>IF(ISBLANK(Cause_Type_Name_39),"",Cause_Type_Name_39)</f>
        <v/>
      </c>
      <c r="EO9" s="206" t="str">
        <f>IF(ISBLANK(Cause_Type_Name_40),"",Cause_Type_Name_40)</f>
        <v/>
      </c>
      <c r="ER9" s="208" t="str">
        <f ca="1">IF(ISBLANK(Cause_Phase_1),"",Cause_Phase_1)</f>
        <v>RD</v>
      </c>
      <c r="ES9" s="208" t="str">
        <f ca="1">IF(ISBLANK(Cause_Phase_2),"",Cause_Phase_2)</f>
        <v>UI</v>
      </c>
      <c r="ET9" s="208" t="str">
        <f ca="1">IF(ISBLANK(Cause_Phase_3),"",Cause_Phase_3)</f>
        <v>SS</v>
      </c>
      <c r="EU9" s="208" t="str">
        <f ca="1">IF(ISBLANK(Cause_Phase_4),"",Cause_Phase_4)</f>
        <v>PS</v>
      </c>
      <c r="EV9" s="208" t="str">
        <f ca="1">IF(ISBLANK(Cause_Phase_5),"",Cause_Phase_5)</f>
        <v>PG</v>
      </c>
      <c r="EW9" s="208" t="str">
        <f ca="1">IF(ISBLANK(Cause_Phase_6),"",Cause_Phase_6)</f>
        <v>PT</v>
      </c>
      <c r="EX9" s="208" t="str">
        <f ca="1">IF(ISBLANK(Cause_Phase_7),"",Cause_Phase_7)</f>
        <v>PTU</v>
      </c>
      <c r="EY9" s="208" t="str">
        <f ca="1">IF(ISBLANK(Cause_Phase_8),"",Cause_Phase_8)</f>
        <v>IT</v>
      </c>
      <c r="EZ9" s="208" t="str">
        <f ca="1">IF(ISBLANK(Cause_Phase_9),"",Cause_Phase_9)</f>
        <v>IT2</v>
      </c>
      <c r="FA9" s="203" t="str">
        <f ca="1">IF(ISBLANK(Cause_Phase_10),"",Cause_Phase_10)</f>
        <v>IT3</v>
      </c>
    </row>
    <row r="10" spans="1:157" s="101" customFormat="1" ht="12.75" customHeight="1" x14ac:dyDescent="0.15">
      <c r="A10" s="574"/>
      <c r="B10" s="574"/>
      <c r="C10" s="577"/>
      <c r="D10" s="582"/>
      <c r="E10" s="583"/>
      <c r="F10" s="583"/>
      <c r="G10" s="583"/>
      <c r="H10" s="583"/>
      <c r="I10" s="583"/>
      <c r="J10" s="583"/>
      <c r="K10" s="582"/>
      <c r="L10" s="583"/>
      <c r="M10" s="583"/>
      <c r="N10" s="583"/>
      <c r="O10" s="583"/>
      <c r="P10" s="583"/>
      <c r="Q10" s="583"/>
      <c r="R10" s="582"/>
      <c r="S10" s="587"/>
      <c r="T10" s="582"/>
      <c r="U10" s="587"/>
      <c r="V10" s="582"/>
      <c r="W10" s="583"/>
      <c r="X10" s="583"/>
      <c r="Y10" s="583"/>
      <c r="Z10" s="583"/>
      <c r="AA10" s="583"/>
      <c r="AB10" s="583"/>
      <c r="AC10" s="582"/>
      <c r="AD10" s="583"/>
      <c r="AE10" s="583"/>
      <c r="AF10" s="583"/>
      <c r="AG10" s="583"/>
      <c r="AH10" s="583"/>
      <c r="AI10" s="583"/>
      <c r="AJ10" s="582"/>
      <c r="AK10" s="583"/>
      <c r="AL10" s="583"/>
      <c r="AM10" s="583"/>
      <c r="AN10" s="583"/>
      <c r="AO10" s="583"/>
      <c r="AP10" s="587"/>
      <c r="AQ10" s="582"/>
      <c r="AR10" s="583"/>
      <c r="AS10" s="583"/>
      <c r="AT10" s="583"/>
      <c r="AU10" s="583"/>
      <c r="AV10" s="583"/>
      <c r="AW10" s="587"/>
      <c r="AX10" s="582"/>
      <c r="AY10" s="587"/>
      <c r="AZ10" s="617"/>
      <c r="BA10" s="638"/>
      <c r="BB10" s="639"/>
      <c r="BC10" s="639"/>
      <c r="BD10" s="640"/>
      <c r="BE10" s="601"/>
      <c r="BF10" s="603"/>
      <c r="BG10" s="643"/>
      <c r="BH10" s="601"/>
      <c r="BI10" s="602"/>
      <c r="BJ10" s="602"/>
      <c r="BK10" s="602"/>
      <c r="BL10" s="602"/>
      <c r="BM10" s="603"/>
      <c r="BN10" s="601"/>
      <c r="BO10" s="602"/>
      <c r="BP10" s="602"/>
      <c r="BQ10" s="602"/>
      <c r="BR10" s="602"/>
      <c r="BS10" s="603"/>
      <c r="BT10" s="601"/>
      <c r="BU10" s="602"/>
      <c r="BV10" s="602"/>
      <c r="BW10" s="602"/>
      <c r="BX10" s="602"/>
      <c r="BY10" s="603"/>
      <c r="BZ10" s="610"/>
      <c r="CA10" s="611"/>
      <c r="CB10" s="611"/>
      <c r="CC10" s="612"/>
      <c r="CD10" s="588"/>
      <c r="CE10" s="613"/>
      <c r="CF10" s="613"/>
      <c r="CG10" s="613"/>
      <c r="CH10" s="614"/>
      <c r="CI10" s="588"/>
      <c r="CJ10" s="613"/>
      <c r="CK10" s="613"/>
      <c r="CL10" s="613"/>
      <c r="CM10" s="614"/>
      <c r="CN10" s="588"/>
      <c r="CO10" s="613"/>
      <c r="CP10" s="613"/>
      <c r="CQ10" s="613"/>
      <c r="CR10" s="614"/>
      <c r="CS10" s="588"/>
      <c r="CT10" s="613"/>
      <c r="CU10" s="613"/>
      <c r="CV10" s="613"/>
      <c r="CW10" s="614"/>
      <c r="DB10" s="207">
        <f t="shared" ref="DB10:EO10" ca="1" si="0">IF(DB$9="","",COUNTIFS(INDIRECT("$C11:$C"&amp;ROW(Test_Item_Report_End_Line)),"=@",INDIRECT("$BP11:$BP"&amp;ROW(Test_Item_Report_End_Line)),DB$9))</f>
        <v>0</v>
      </c>
      <c r="DC10" s="207">
        <f t="shared" ca="1" si="0"/>
        <v>0</v>
      </c>
      <c r="DD10" s="207">
        <f t="shared" ca="1" si="0"/>
        <v>0</v>
      </c>
      <c r="DE10" s="207">
        <f t="shared" ca="1" si="0"/>
        <v>0</v>
      </c>
      <c r="DF10" s="207">
        <f t="shared" ca="1" si="0"/>
        <v>0</v>
      </c>
      <c r="DG10" s="207">
        <f t="shared" ca="1" si="0"/>
        <v>0</v>
      </c>
      <c r="DH10" s="207">
        <f t="shared" ca="1" si="0"/>
        <v>0</v>
      </c>
      <c r="DI10" s="207">
        <f t="shared" ca="1" si="0"/>
        <v>0</v>
      </c>
      <c r="DJ10" s="207">
        <f t="shared" ca="1" si="0"/>
        <v>0</v>
      </c>
      <c r="DK10" s="207">
        <f t="shared" ca="1" si="0"/>
        <v>0</v>
      </c>
      <c r="DL10" s="207">
        <f t="shared" ca="1" si="0"/>
        <v>0</v>
      </c>
      <c r="DM10" s="207">
        <f t="shared" ca="1" si="0"/>
        <v>0</v>
      </c>
      <c r="DN10" s="207">
        <f t="shared" ca="1" si="0"/>
        <v>0</v>
      </c>
      <c r="DO10" s="207">
        <f t="shared" ca="1" si="0"/>
        <v>0</v>
      </c>
      <c r="DP10" s="207">
        <f t="shared" ca="1" si="0"/>
        <v>0</v>
      </c>
      <c r="DQ10" s="207">
        <f t="shared" ca="1" si="0"/>
        <v>0</v>
      </c>
      <c r="DR10" s="207">
        <f t="shared" ca="1" si="0"/>
        <v>0</v>
      </c>
      <c r="DS10" s="207">
        <f t="shared" ca="1" si="0"/>
        <v>0</v>
      </c>
      <c r="DT10" s="207">
        <f t="shared" ca="1" si="0"/>
        <v>0</v>
      </c>
      <c r="DU10" s="207">
        <f t="shared" ca="1" si="0"/>
        <v>0</v>
      </c>
      <c r="DV10" s="207">
        <f t="shared" ca="1" si="0"/>
        <v>0</v>
      </c>
      <c r="DW10" s="207">
        <f t="shared" ca="1" si="0"/>
        <v>0</v>
      </c>
      <c r="DX10" s="207">
        <f t="shared" ca="1" si="0"/>
        <v>0</v>
      </c>
      <c r="DY10" s="207">
        <f t="shared" ca="1" si="0"/>
        <v>0</v>
      </c>
      <c r="DZ10" s="207" t="str">
        <f t="shared" ca="1" si="0"/>
        <v/>
      </c>
      <c r="EA10" s="207" t="str">
        <f t="shared" ca="1" si="0"/>
        <v/>
      </c>
      <c r="EB10" s="207" t="str">
        <f t="shared" ca="1" si="0"/>
        <v/>
      </c>
      <c r="EC10" s="207" t="str">
        <f t="shared" ca="1" si="0"/>
        <v/>
      </c>
      <c r="ED10" s="207" t="str">
        <f t="shared" ca="1" si="0"/>
        <v/>
      </c>
      <c r="EE10" s="207" t="str">
        <f t="shared" ca="1" si="0"/>
        <v/>
      </c>
      <c r="EF10" s="207" t="str">
        <f t="shared" ca="1" si="0"/>
        <v/>
      </c>
      <c r="EG10" s="207" t="str">
        <f t="shared" ca="1" si="0"/>
        <v/>
      </c>
      <c r="EH10" s="207" t="str">
        <f t="shared" ca="1" si="0"/>
        <v/>
      </c>
      <c r="EI10" s="207" t="str">
        <f t="shared" ca="1" si="0"/>
        <v/>
      </c>
      <c r="EJ10" s="207" t="str">
        <f t="shared" ca="1" si="0"/>
        <v/>
      </c>
      <c r="EK10" s="207" t="str">
        <f t="shared" ca="1" si="0"/>
        <v/>
      </c>
      <c r="EL10" s="207" t="str">
        <f t="shared" ca="1" si="0"/>
        <v/>
      </c>
      <c r="EM10" s="207" t="str">
        <f t="shared" ca="1" si="0"/>
        <v/>
      </c>
      <c r="EN10" s="207" t="str">
        <f t="shared" ca="1" si="0"/>
        <v/>
      </c>
      <c r="EO10" s="207" t="str">
        <f t="shared" ca="1" si="0"/>
        <v/>
      </c>
      <c r="ER10" s="204">
        <f t="shared" ref="ER10:FA10" ca="1" si="1">IF(ER$9="","",COUNTIFS(INDIRECT("$C11:$C"&amp;ROW(Test_Item_Report_End_Line)),"=@",INDIRECT("$BI11:$BI"&amp;ROW(Test_Item_Report_End_Line)),ER$9))</f>
        <v>0</v>
      </c>
      <c r="ES10" s="204">
        <f t="shared" ca="1" si="1"/>
        <v>0</v>
      </c>
      <c r="ET10" s="204">
        <f t="shared" ca="1" si="1"/>
        <v>0</v>
      </c>
      <c r="EU10" s="204">
        <f t="shared" ca="1" si="1"/>
        <v>0</v>
      </c>
      <c r="EV10" s="204">
        <f t="shared" ca="1" si="1"/>
        <v>0</v>
      </c>
      <c r="EW10" s="204">
        <f t="shared" ca="1" si="1"/>
        <v>0</v>
      </c>
      <c r="EX10" s="204">
        <f t="shared" ca="1" si="1"/>
        <v>0</v>
      </c>
      <c r="EY10" s="204">
        <f t="shared" ca="1" si="1"/>
        <v>0</v>
      </c>
      <c r="EZ10" s="204">
        <f t="shared" ca="1" si="1"/>
        <v>0</v>
      </c>
      <c r="FA10" s="204">
        <f t="shared" ca="1" si="1"/>
        <v>0</v>
      </c>
    </row>
    <row r="11" spans="1:157" s="91" customFormat="1" ht="16.149999999999999" customHeight="1" x14ac:dyDescent="0.15">
      <c r="A11" s="516">
        <v>1</v>
      </c>
      <c r="B11" s="102"/>
      <c r="C11" s="217" t="str">
        <f t="shared" ref="C11:C22" ca="1" si="2">IF(AND(OFFSET($K11,-($AZ11-1),0)&lt;&gt;"",OFFSET($R11,-($AZ11-1),0)&lt;&gt;"x"),"@","")</f>
        <v>@</v>
      </c>
      <c r="D11" s="519" t="s">
        <v>627</v>
      </c>
      <c r="E11" s="520"/>
      <c r="F11" s="520"/>
      <c r="G11" s="520"/>
      <c r="H11" s="520"/>
      <c r="I11" s="520"/>
      <c r="J11" s="520"/>
      <c r="K11" s="525" t="s">
        <v>770</v>
      </c>
      <c r="L11" s="526"/>
      <c r="M11" s="526"/>
      <c r="N11" s="526"/>
      <c r="O11" s="526"/>
      <c r="P11" s="526"/>
      <c r="Q11" s="526"/>
      <c r="R11" s="531"/>
      <c r="S11" s="532"/>
      <c r="T11" s="531" t="s">
        <v>284</v>
      </c>
      <c r="U11" s="532"/>
      <c r="V11" s="525" t="s">
        <v>768</v>
      </c>
      <c r="W11" s="526"/>
      <c r="X11" s="526"/>
      <c r="Y11" s="526"/>
      <c r="Z11" s="526"/>
      <c r="AA11" s="526"/>
      <c r="AB11" s="526"/>
      <c r="AC11" s="525" t="s">
        <v>769</v>
      </c>
      <c r="AD11" s="526"/>
      <c r="AE11" s="526"/>
      <c r="AF11" s="526"/>
      <c r="AG11" s="526"/>
      <c r="AH11" s="526"/>
      <c r="AI11" s="526"/>
      <c r="AJ11" s="525"/>
      <c r="AK11" s="538"/>
      <c r="AL11" s="538"/>
      <c r="AM11" s="538"/>
      <c r="AN11" s="538"/>
      <c r="AO11" s="538"/>
      <c r="AP11" s="540"/>
      <c r="AQ11" s="525" t="s">
        <v>795</v>
      </c>
      <c r="AR11" s="538"/>
      <c r="AS11" s="538"/>
      <c r="AT11" s="538"/>
      <c r="AU11" s="538"/>
      <c r="AV11" s="538"/>
      <c r="AW11" s="540"/>
      <c r="AX11" s="491" t="s">
        <v>797</v>
      </c>
      <c r="AY11" s="492"/>
      <c r="AZ11" s="103">
        <v>1</v>
      </c>
      <c r="BA11" s="497">
        <v>44166</v>
      </c>
      <c r="BB11" s="498"/>
      <c r="BC11" s="498"/>
      <c r="BD11" s="499"/>
      <c r="BE11" s="500" t="s">
        <v>568</v>
      </c>
      <c r="BF11" s="501"/>
      <c r="BG11" s="104"/>
      <c r="BH11" s="502"/>
      <c r="BI11" s="503"/>
      <c r="BJ11" s="503"/>
      <c r="BK11" s="503"/>
      <c r="BL11" s="503"/>
      <c r="BM11" s="504"/>
      <c r="BN11" s="502"/>
      <c r="BO11" s="503"/>
      <c r="BP11" s="503"/>
      <c r="BQ11" s="503"/>
      <c r="BR11" s="503"/>
      <c r="BS11" s="504"/>
      <c r="BT11" s="502"/>
      <c r="BU11" s="503"/>
      <c r="BV11" s="503"/>
      <c r="BW11" s="503"/>
      <c r="BX11" s="503"/>
      <c r="BY11" s="504"/>
      <c r="BZ11" s="497"/>
      <c r="CA11" s="498"/>
      <c r="CB11" s="498"/>
      <c r="CC11" s="499"/>
      <c r="CD11" s="477"/>
      <c r="CE11" s="478"/>
      <c r="CF11" s="478"/>
      <c r="CG11" s="478"/>
      <c r="CH11" s="479"/>
      <c r="CI11" s="477"/>
      <c r="CJ11" s="478"/>
      <c r="CK11" s="478"/>
      <c r="CL11" s="478"/>
      <c r="CM11" s="479"/>
      <c r="CN11" s="477"/>
      <c r="CO11" s="478"/>
      <c r="CP11" s="478"/>
      <c r="CQ11" s="478"/>
      <c r="CR11" s="479"/>
      <c r="CS11" s="480"/>
      <c r="CT11" s="481"/>
      <c r="CU11" s="481"/>
      <c r="CV11" s="481"/>
      <c r="CW11" s="482"/>
    </row>
    <row r="12" spans="1:157" s="91" customFormat="1" ht="16.5" x14ac:dyDescent="0.15">
      <c r="A12" s="517"/>
      <c r="B12" s="102"/>
      <c r="C12" s="220" t="str">
        <f t="shared" ca="1" si="2"/>
        <v>@</v>
      </c>
      <c r="D12" s="521"/>
      <c r="E12" s="522"/>
      <c r="F12" s="522"/>
      <c r="G12" s="522"/>
      <c r="H12" s="522"/>
      <c r="I12" s="522"/>
      <c r="J12" s="522"/>
      <c r="K12" s="527"/>
      <c r="L12" s="528"/>
      <c r="M12" s="528"/>
      <c r="N12" s="528"/>
      <c r="O12" s="528"/>
      <c r="P12" s="528"/>
      <c r="Q12" s="528"/>
      <c r="R12" s="533"/>
      <c r="S12" s="534"/>
      <c r="T12" s="533"/>
      <c r="U12" s="534"/>
      <c r="V12" s="527"/>
      <c r="W12" s="528"/>
      <c r="X12" s="528"/>
      <c r="Y12" s="528"/>
      <c r="Z12" s="528"/>
      <c r="AA12" s="528"/>
      <c r="AB12" s="528"/>
      <c r="AC12" s="527"/>
      <c r="AD12" s="528"/>
      <c r="AE12" s="528"/>
      <c r="AF12" s="528"/>
      <c r="AG12" s="528"/>
      <c r="AH12" s="528"/>
      <c r="AI12" s="528"/>
      <c r="AJ12" s="527"/>
      <c r="AK12" s="528"/>
      <c r="AL12" s="528"/>
      <c r="AM12" s="528"/>
      <c r="AN12" s="528"/>
      <c r="AO12" s="528"/>
      <c r="AP12" s="541"/>
      <c r="AQ12" s="527"/>
      <c r="AR12" s="528"/>
      <c r="AS12" s="528"/>
      <c r="AT12" s="528"/>
      <c r="AU12" s="528"/>
      <c r="AV12" s="528"/>
      <c r="AW12" s="541"/>
      <c r="AX12" s="493"/>
      <c r="AY12" s="494"/>
      <c r="AZ12" s="105">
        <v>2</v>
      </c>
      <c r="BA12" s="483"/>
      <c r="BB12" s="484"/>
      <c r="BC12" s="484"/>
      <c r="BD12" s="485"/>
      <c r="BE12" s="486"/>
      <c r="BF12" s="487"/>
      <c r="BG12" s="106"/>
      <c r="BH12" s="488"/>
      <c r="BI12" s="489"/>
      <c r="BJ12" s="489"/>
      <c r="BK12" s="489"/>
      <c r="BL12" s="489"/>
      <c r="BM12" s="490"/>
      <c r="BN12" s="488"/>
      <c r="BO12" s="489"/>
      <c r="BP12" s="489"/>
      <c r="BQ12" s="489"/>
      <c r="BR12" s="489"/>
      <c r="BS12" s="490"/>
      <c r="BT12" s="488"/>
      <c r="BU12" s="489"/>
      <c r="BV12" s="489"/>
      <c r="BW12" s="489"/>
      <c r="BX12" s="489"/>
      <c r="BY12" s="490"/>
      <c r="BZ12" s="483"/>
      <c r="CA12" s="484"/>
      <c r="CB12" s="484"/>
      <c r="CC12" s="485"/>
      <c r="CD12" s="477"/>
      <c r="CE12" s="478"/>
      <c r="CF12" s="478"/>
      <c r="CG12" s="478"/>
      <c r="CH12" s="479"/>
      <c r="CI12" s="477"/>
      <c r="CJ12" s="478"/>
      <c r="CK12" s="478"/>
      <c r="CL12" s="478"/>
      <c r="CM12" s="479"/>
      <c r="CN12" s="477"/>
      <c r="CO12" s="478"/>
      <c r="CP12" s="478"/>
      <c r="CQ12" s="478"/>
      <c r="CR12" s="479"/>
      <c r="CS12" s="480"/>
      <c r="CT12" s="481"/>
      <c r="CU12" s="481"/>
      <c r="CV12" s="481"/>
      <c r="CW12" s="482"/>
    </row>
    <row r="13" spans="1:157" s="91" customFormat="1" ht="16.5" x14ac:dyDescent="0.15">
      <c r="A13" s="517"/>
      <c r="B13" s="102"/>
      <c r="C13" s="220" t="str">
        <f t="shared" ca="1" si="2"/>
        <v>@</v>
      </c>
      <c r="D13" s="521"/>
      <c r="E13" s="522"/>
      <c r="F13" s="522"/>
      <c r="G13" s="522"/>
      <c r="H13" s="522"/>
      <c r="I13" s="522"/>
      <c r="J13" s="522"/>
      <c r="K13" s="527"/>
      <c r="L13" s="528"/>
      <c r="M13" s="528"/>
      <c r="N13" s="528"/>
      <c r="O13" s="528"/>
      <c r="P13" s="528"/>
      <c r="Q13" s="528"/>
      <c r="R13" s="533"/>
      <c r="S13" s="534"/>
      <c r="T13" s="533"/>
      <c r="U13" s="534"/>
      <c r="V13" s="527"/>
      <c r="W13" s="528"/>
      <c r="X13" s="528"/>
      <c r="Y13" s="528"/>
      <c r="Z13" s="528"/>
      <c r="AA13" s="528"/>
      <c r="AB13" s="528"/>
      <c r="AC13" s="527"/>
      <c r="AD13" s="528"/>
      <c r="AE13" s="528"/>
      <c r="AF13" s="528"/>
      <c r="AG13" s="528"/>
      <c r="AH13" s="528"/>
      <c r="AI13" s="528"/>
      <c r="AJ13" s="527"/>
      <c r="AK13" s="528"/>
      <c r="AL13" s="528"/>
      <c r="AM13" s="528"/>
      <c r="AN13" s="528"/>
      <c r="AO13" s="528"/>
      <c r="AP13" s="541"/>
      <c r="AQ13" s="527"/>
      <c r="AR13" s="528"/>
      <c r="AS13" s="528"/>
      <c r="AT13" s="528"/>
      <c r="AU13" s="528"/>
      <c r="AV13" s="528"/>
      <c r="AW13" s="541"/>
      <c r="AX13" s="493"/>
      <c r="AY13" s="494"/>
      <c r="AZ13" s="105">
        <v>3</v>
      </c>
      <c r="BA13" s="483"/>
      <c r="BB13" s="484"/>
      <c r="BC13" s="484"/>
      <c r="BD13" s="485"/>
      <c r="BE13" s="486"/>
      <c r="BF13" s="487"/>
      <c r="BG13" s="106"/>
      <c r="BH13" s="488"/>
      <c r="BI13" s="489"/>
      <c r="BJ13" s="489"/>
      <c r="BK13" s="489"/>
      <c r="BL13" s="489"/>
      <c r="BM13" s="490"/>
      <c r="BN13" s="488"/>
      <c r="BO13" s="489"/>
      <c r="BP13" s="489"/>
      <c r="BQ13" s="489"/>
      <c r="BR13" s="489"/>
      <c r="BS13" s="490"/>
      <c r="BT13" s="488"/>
      <c r="BU13" s="489"/>
      <c r="BV13" s="489"/>
      <c r="BW13" s="489"/>
      <c r="BX13" s="489"/>
      <c r="BY13" s="490"/>
      <c r="BZ13" s="483"/>
      <c r="CA13" s="484"/>
      <c r="CB13" s="484"/>
      <c r="CC13" s="485"/>
      <c r="CD13" s="477"/>
      <c r="CE13" s="478"/>
      <c r="CF13" s="478"/>
      <c r="CG13" s="478"/>
      <c r="CH13" s="479"/>
      <c r="CI13" s="477"/>
      <c r="CJ13" s="478"/>
      <c r="CK13" s="478"/>
      <c r="CL13" s="478"/>
      <c r="CM13" s="479"/>
      <c r="CN13" s="477"/>
      <c r="CO13" s="478"/>
      <c r="CP13" s="478"/>
      <c r="CQ13" s="478"/>
      <c r="CR13" s="479"/>
      <c r="CS13" s="480"/>
      <c r="CT13" s="481"/>
      <c r="CU13" s="481"/>
      <c r="CV13" s="481"/>
      <c r="CW13" s="482"/>
    </row>
    <row r="14" spans="1:157" s="91" customFormat="1" ht="16.5" x14ac:dyDescent="0.15">
      <c r="A14" s="517"/>
      <c r="B14" s="102"/>
      <c r="C14" s="221" t="str">
        <f t="shared" ca="1" si="2"/>
        <v>@</v>
      </c>
      <c r="D14" s="521"/>
      <c r="E14" s="522"/>
      <c r="F14" s="522"/>
      <c r="G14" s="522"/>
      <c r="H14" s="522"/>
      <c r="I14" s="522"/>
      <c r="J14" s="522"/>
      <c r="K14" s="527"/>
      <c r="L14" s="528"/>
      <c r="M14" s="528"/>
      <c r="N14" s="528"/>
      <c r="O14" s="528"/>
      <c r="P14" s="528"/>
      <c r="Q14" s="528"/>
      <c r="R14" s="533"/>
      <c r="S14" s="534"/>
      <c r="T14" s="533"/>
      <c r="U14" s="534"/>
      <c r="V14" s="527"/>
      <c r="W14" s="528"/>
      <c r="X14" s="528"/>
      <c r="Y14" s="528"/>
      <c r="Z14" s="528"/>
      <c r="AA14" s="528"/>
      <c r="AB14" s="528"/>
      <c r="AC14" s="527"/>
      <c r="AD14" s="528"/>
      <c r="AE14" s="528"/>
      <c r="AF14" s="528"/>
      <c r="AG14" s="528"/>
      <c r="AH14" s="528"/>
      <c r="AI14" s="528"/>
      <c r="AJ14" s="527"/>
      <c r="AK14" s="528"/>
      <c r="AL14" s="528"/>
      <c r="AM14" s="528"/>
      <c r="AN14" s="528"/>
      <c r="AO14" s="528"/>
      <c r="AP14" s="541"/>
      <c r="AQ14" s="527"/>
      <c r="AR14" s="528"/>
      <c r="AS14" s="528"/>
      <c r="AT14" s="528"/>
      <c r="AU14" s="528"/>
      <c r="AV14" s="528"/>
      <c r="AW14" s="541"/>
      <c r="AX14" s="493"/>
      <c r="AY14" s="494"/>
      <c r="AZ14" s="105">
        <v>4</v>
      </c>
      <c r="BA14" s="483"/>
      <c r="BB14" s="484"/>
      <c r="BC14" s="484"/>
      <c r="BD14" s="485"/>
      <c r="BE14" s="486"/>
      <c r="BF14" s="487"/>
      <c r="BG14" s="106"/>
      <c r="BH14" s="488"/>
      <c r="BI14" s="489"/>
      <c r="BJ14" s="489"/>
      <c r="BK14" s="489"/>
      <c r="BL14" s="489"/>
      <c r="BM14" s="490"/>
      <c r="BN14" s="488"/>
      <c r="BO14" s="489"/>
      <c r="BP14" s="489"/>
      <c r="BQ14" s="489"/>
      <c r="BR14" s="489"/>
      <c r="BS14" s="490"/>
      <c r="BT14" s="488"/>
      <c r="BU14" s="489"/>
      <c r="BV14" s="489"/>
      <c r="BW14" s="489"/>
      <c r="BX14" s="489"/>
      <c r="BY14" s="490"/>
      <c r="BZ14" s="483"/>
      <c r="CA14" s="484"/>
      <c r="CB14" s="484"/>
      <c r="CC14" s="485"/>
      <c r="CD14" s="477"/>
      <c r="CE14" s="478"/>
      <c r="CF14" s="478"/>
      <c r="CG14" s="478"/>
      <c r="CH14" s="479"/>
      <c r="CI14" s="477"/>
      <c r="CJ14" s="478"/>
      <c r="CK14" s="478"/>
      <c r="CL14" s="478"/>
      <c r="CM14" s="479"/>
      <c r="CN14" s="477"/>
      <c r="CO14" s="478"/>
      <c r="CP14" s="478"/>
      <c r="CQ14" s="478"/>
      <c r="CR14" s="479"/>
      <c r="CS14" s="480"/>
      <c r="CT14" s="481"/>
      <c r="CU14" s="481"/>
      <c r="CV14" s="481"/>
      <c r="CW14" s="482"/>
    </row>
    <row r="15" spans="1:157" s="91" customFormat="1" ht="16.5" x14ac:dyDescent="0.15">
      <c r="A15" s="517"/>
      <c r="B15" s="102"/>
      <c r="C15" s="221" t="str">
        <f t="shared" ca="1" si="2"/>
        <v>@</v>
      </c>
      <c r="D15" s="521"/>
      <c r="E15" s="522"/>
      <c r="F15" s="522"/>
      <c r="G15" s="522"/>
      <c r="H15" s="522"/>
      <c r="I15" s="522"/>
      <c r="J15" s="522"/>
      <c r="K15" s="527"/>
      <c r="L15" s="528"/>
      <c r="M15" s="528"/>
      <c r="N15" s="528"/>
      <c r="O15" s="528"/>
      <c r="P15" s="528"/>
      <c r="Q15" s="528"/>
      <c r="R15" s="533"/>
      <c r="S15" s="534"/>
      <c r="T15" s="533"/>
      <c r="U15" s="534"/>
      <c r="V15" s="527"/>
      <c r="W15" s="528"/>
      <c r="X15" s="528"/>
      <c r="Y15" s="528"/>
      <c r="Z15" s="528"/>
      <c r="AA15" s="528"/>
      <c r="AB15" s="528"/>
      <c r="AC15" s="527"/>
      <c r="AD15" s="528"/>
      <c r="AE15" s="528"/>
      <c r="AF15" s="528"/>
      <c r="AG15" s="528"/>
      <c r="AH15" s="528"/>
      <c r="AI15" s="528"/>
      <c r="AJ15" s="527"/>
      <c r="AK15" s="528"/>
      <c r="AL15" s="528"/>
      <c r="AM15" s="528"/>
      <c r="AN15" s="528"/>
      <c r="AO15" s="528"/>
      <c r="AP15" s="541"/>
      <c r="AQ15" s="527"/>
      <c r="AR15" s="528"/>
      <c r="AS15" s="528"/>
      <c r="AT15" s="528"/>
      <c r="AU15" s="528"/>
      <c r="AV15" s="528"/>
      <c r="AW15" s="541"/>
      <c r="AX15" s="493"/>
      <c r="AY15" s="494"/>
      <c r="AZ15" s="105">
        <v>5</v>
      </c>
      <c r="BA15" s="483"/>
      <c r="BB15" s="484"/>
      <c r="BC15" s="484"/>
      <c r="BD15" s="485"/>
      <c r="BE15" s="486"/>
      <c r="BF15" s="487"/>
      <c r="BG15" s="106"/>
      <c r="BH15" s="488"/>
      <c r="BI15" s="489"/>
      <c r="BJ15" s="489"/>
      <c r="BK15" s="489"/>
      <c r="BL15" s="489"/>
      <c r="BM15" s="490"/>
      <c r="BN15" s="488"/>
      <c r="BO15" s="489"/>
      <c r="BP15" s="489"/>
      <c r="BQ15" s="489"/>
      <c r="BR15" s="489"/>
      <c r="BS15" s="490"/>
      <c r="BT15" s="488"/>
      <c r="BU15" s="489"/>
      <c r="BV15" s="489"/>
      <c r="BW15" s="489"/>
      <c r="BX15" s="489"/>
      <c r="BY15" s="490"/>
      <c r="BZ15" s="483"/>
      <c r="CA15" s="484"/>
      <c r="CB15" s="484"/>
      <c r="CC15" s="485"/>
      <c r="CD15" s="477"/>
      <c r="CE15" s="478"/>
      <c r="CF15" s="478"/>
      <c r="CG15" s="478"/>
      <c r="CH15" s="479"/>
      <c r="CI15" s="477"/>
      <c r="CJ15" s="478"/>
      <c r="CK15" s="478"/>
      <c r="CL15" s="478"/>
      <c r="CM15" s="479"/>
      <c r="CN15" s="477"/>
      <c r="CO15" s="478"/>
      <c r="CP15" s="478"/>
      <c r="CQ15" s="478"/>
      <c r="CR15" s="479"/>
      <c r="CS15" s="480"/>
      <c r="CT15" s="481"/>
      <c r="CU15" s="481"/>
      <c r="CV15" s="481"/>
      <c r="CW15" s="482"/>
    </row>
    <row r="16" spans="1:157" s="91" customFormat="1" ht="16.5" x14ac:dyDescent="0.15">
      <c r="A16" s="518"/>
      <c r="B16" s="107"/>
      <c r="C16" s="218" t="str">
        <f t="shared" ca="1" si="2"/>
        <v>@</v>
      </c>
      <c r="D16" s="523"/>
      <c r="E16" s="524"/>
      <c r="F16" s="524"/>
      <c r="G16" s="524"/>
      <c r="H16" s="524"/>
      <c r="I16" s="524"/>
      <c r="J16" s="524"/>
      <c r="K16" s="529"/>
      <c r="L16" s="530"/>
      <c r="M16" s="530"/>
      <c r="N16" s="530"/>
      <c r="O16" s="530"/>
      <c r="P16" s="530"/>
      <c r="Q16" s="530"/>
      <c r="R16" s="535"/>
      <c r="S16" s="536"/>
      <c r="T16" s="535"/>
      <c r="U16" s="536"/>
      <c r="V16" s="529"/>
      <c r="W16" s="530"/>
      <c r="X16" s="530"/>
      <c r="Y16" s="530"/>
      <c r="Z16" s="530"/>
      <c r="AA16" s="530"/>
      <c r="AB16" s="530"/>
      <c r="AC16" s="529"/>
      <c r="AD16" s="530"/>
      <c r="AE16" s="530"/>
      <c r="AF16" s="530"/>
      <c r="AG16" s="530"/>
      <c r="AH16" s="530"/>
      <c r="AI16" s="530"/>
      <c r="AJ16" s="529"/>
      <c r="AK16" s="539"/>
      <c r="AL16" s="539"/>
      <c r="AM16" s="539"/>
      <c r="AN16" s="539"/>
      <c r="AO16" s="539"/>
      <c r="AP16" s="542"/>
      <c r="AQ16" s="529"/>
      <c r="AR16" s="539"/>
      <c r="AS16" s="539"/>
      <c r="AT16" s="539"/>
      <c r="AU16" s="539"/>
      <c r="AV16" s="539"/>
      <c r="AW16" s="542"/>
      <c r="AX16" s="495"/>
      <c r="AY16" s="496"/>
      <c r="AZ16" s="108">
        <v>6</v>
      </c>
      <c r="BA16" s="505"/>
      <c r="BB16" s="506"/>
      <c r="BC16" s="506"/>
      <c r="BD16" s="507"/>
      <c r="BE16" s="508"/>
      <c r="BF16" s="509"/>
      <c r="BG16" s="272"/>
      <c r="BH16" s="510"/>
      <c r="BI16" s="511"/>
      <c r="BJ16" s="511"/>
      <c r="BK16" s="511"/>
      <c r="BL16" s="511"/>
      <c r="BM16" s="512"/>
      <c r="BN16" s="510"/>
      <c r="BO16" s="511"/>
      <c r="BP16" s="511"/>
      <c r="BQ16" s="511"/>
      <c r="BR16" s="511"/>
      <c r="BS16" s="512"/>
      <c r="BT16" s="510"/>
      <c r="BU16" s="511"/>
      <c r="BV16" s="511"/>
      <c r="BW16" s="511"/>
      <c r="BX16" s="511"/>
      <c r="BY16" s="512"/>
      <c r="BZ16" s="505"/>
      <c r="CA16" s="506"/>
      <c r="CB16" s="506"/>
      <c r="CC16" s="507"/>
      <c r="CD16" s="477"/>
      <c r="CE16" s="478"/>
      <c r="CF16" s="478"/>
      <c r="CG16" s="478"/>
      <c r="CH16" s="479"/>
      <c r="CI16" s="477"/>
      <c r="CJ16" s="478"/>
      <c r="CK16" s="478"/>
      <c r="CL16" s="478"/>
      <c r="CM16" s="479"/>
      <c r="CN16" s="477"/>
      <c r="CO16" s="478"/>
      <c r="CP16" s="478"/>
      <c r="CQ16" s="478"/>
      <c r="CR16" s="479"/>
      <c r="CS16" s="480"/>
      <c r="CT16" s="481"/>
      <c r="CU16" s="481"/>
      <c r="CV16" s="481"/>
      <c r="CW16" s="482"/>
    </row>
    <row r="17" spans="1:101" s="91" customFormat="1" ht="16.149999999999999" customHeight="1" x14ac:dyDescent="0.15">
      <c r="A17" s="516">
        <v>2</v>
      </c>
      <c r="B17" s="102"/>
      <c r="C17" s="217" t="str">
        <f t="shared" ca="1" si="2"/>
        <v>@</v>
      </c>
      <c r="D17" s="519" t="s">
        <v>627</v>
      </c>
      <c r="E17" s="520"/>
      <c r="F17" s="520"/>
      <c r="G17" s="520"/>
      <c r="H17" s="520"/>
      <c r="I17" s="520"/>
      <c r="J17" s="520"/>
      <c r="K17" s="525" t="s">
        <v>771</v>
      </c>
      <c r="L17" s="526"/>
      <c r="M17" s="526"/>
      <c r="N17" s="526"/>
      <c r="O17" s="526"/>
      <c r="P17" s="526"/>
      <c r="Q17" s="526"/>
      <c r="R17" s="531"/>
      <c r="S17" s="532"/>
      <c r="T17" s="531" t="s">
        <v>284</v>
      </c>
      <c r="U17" s="532"/>
      <c r="V17" s="525" t="s">
        <v>768</v>
      </c>
      <c r="W17" s="526"/>
      <c r="X17" s="526"/>
      <c r="Y17" s="526"/>
      <c r="Z17" s="526"/>
      <c r="AA17" s="526"/>
      <c r="AB17" s="526"/>
      <c r="AC17" s="525" t="s">
        <v>769</v>
      </c>
      <c r="AD17" s="526"/>
      <c r="AE17" s="526"/>
      <c r="AF17" s="526"/>
      <c r="AG17" s="526"/>
      <c r="AH17" s="526"/>
      <c r="AI17" s="526"/>
      <c r="AJ17" s="525"/>
      <c r="AK17" s="538"/>
      <c r="AL17" s="538"/>
      <c r="AM17" s="538"/>
      <c r="AN17" s="538"/>
      <c r="AO17" s="538"/>
      <c r="AP17" s="540"/>
      <c r="AQ17" s="525" t="s">
        <v>796</v>
      </c>
      <c r="AR17" s="538"/>
      <c r="AS17" s="538"/>
      <c r="AT17" s="538"/>
      <c r="AU17" s="538"/>
      <c r="AV17" s="538"/>
      <c r="AW17" s="540"/>
      <c r="AX17" s="491" t="s">
        <v>797</v>
      </c>
      <c r="AY17" s="492"/>
      <c r="AZ17" s="103">
        <v>1</v>
      </c>
      <c r="BA17" s="497">
        <v>44166</v>
      </c>
      <c r="BB17" s="498"/>
      <c r="BC17" s="498"/>
      <c r="BD17" s="499"/>
      <c r="BE17" s="500" t="s">
        <v>568</v>
      </c>
      <c r="BF17" s="501"/>
      <c r="BG17" s="104"/>
      <c r="BH17" s="502"/>
      <c r="BI17" s="503"/>
      <c r="BJ17" s="503"/>
      <c r="BK17" s="503"/>
      <c r="BL17" s="503"/>
      <c r="BM17" s="504"/>
      <c r="BN17" s="502"/>
      <c r="BO17" s="503"/>
      <c r="BP17" s="503"/>
      <c r="BQ17" s="503"/>
      <c r="BR17" s="503"/>
      <c r="BS17" s="504"/>
      <c r="BT17" s="502"/>
      <c r="BU17" s="503"/>
      <c r="BV17" s="503"/>
      <c r="BW17" s="503"/>
      <c r="BX17" s="503"/>
      <c r="BY17" s="504"/>
      <c r="BZ17" s="497"/>
      <c r="CA17" s="498"/>
      <c r="CB17" s="498"/>
      <c r="CC17" s="499"/>
      <c r="CD17" s="477"/>
      <c r="CE17" s="478"/>
      <c r="CF17" s="478"/>
      <c r="CG17" s="478"/>
      <c r="CH17" s="479"/>
      <c r="CI17" s="477"/>
      <c r="CJ17" s="478"/>
      <c r="CK17" s="478"/>
      <c r="CL17" s="478"/>
      <c r="CM17" s="479"/>
      <c r="CN17" s="477"/>
      <c r="CO17" s="478"/>
      <c r="CP17" s="478"/>
      <c r="CQ17" s="478"/>
      <c r="CR17" s="479"/>
      <c r="CS17" s="480"/>
      <c r="CT17" s="481"/>
      <c r="CU17" s="481"/>
      <c r="CV17" s="481"/>
      <c r="CW17" s="482"/>
    </row>
    <row r="18" spans="1:101" s="91" customFormat="1" ht="16.5" x14ac:dyDescent="0.15">
      <c r="A18" s="517"/>
      <c r="B18" s="102"/>
      <c r="C18" s="220" t="str">
        <f t="shared" ca="1" si="2"/>
        <v>@</v>
      </c>
      <c r="D18" s="521"/>
      <c r="E18" s="522"/>
      <c r="F18" s="522"/>
      <c r="G18" s="522"/>
      <c r="H18" s="522"/>
      <c r="I18" s="522"/>
      <c r="J18" s="522"/>
      <c r="K18" s="527"/>
      <c r="L18" s="528"/>
      <c r="M18" s="528"/>
      <c r="N18" s="528"/>
      <c r="O18" s="528"/>
      <c r="P18" s="528"/>
      <c r="Q18" s="528"/>
      <c r="R18" s="533"/>
      <c r="S18" s="534"/>
      <c r="T18" s="533"/>
      <c r="U18" s="534"/>
      <c r="V18" s="527"/>
      <c r="W18" s="528"/>
      <c r="X18" s="528"/>
      <c r="Y18" s="528"/>
      <c r="Z18" s="528"/>
      <c r="AA18" s="528"/>
      <c r="AB18" s="528"/>
      <c r="AC18" s="527"/>
      <c r="AD18" s="528"/>
      <c r="AE18" s="528"/>
      <c r="AF18" s="528"/>
      <c r="AG18" s="528"/>
      <c r="AH18" s="528"/>
      <c r="AI18" s="528"/>
      <c r="AJ18" s="527"/>
      <c r="AK18" s="528"/>
      <c r="AL18" s="528"/>
      <c r="AM18" s="528"/>
      <c r="AN18" s="528"/>
      <c r="AO18" s="528"/>
      <c r="AP18" s="541"/>
      <c r="AQ18" s="527"/>
      <c r="AR18" s="528"/>
      <c r="AS18" s="528"/>
      <c r="AT18" s="528"/>
      <c r="AU18" s="528"/>
      <c r="AV18" s="528"/>
      <c r="AW18" s="541"/>
      <c r="AX18" s="493"/>
      <c r="AY18" s="494"/>
      <c r="AZ18" s="105">
        <v>2</v>
      </c>
      <c r="BA18" s="483"/>
      <c r="BB18" s="484"/>
      <c r="BC18" s="484"/>
      <c r="BD18" s="485"/>
      <c r="BE18" s="486"/>
      <c r="BF18" s="487"/>
      <c r="BG18" s="106"/>
      <c r="BH18" s="488"/>
      <c r="BI18" s="489"/>
      <c r="BJ18" s="489"/>
      <c r="BK18" s="489"/>
      <c r="BL18" s="489"/>
      <c r="BM18" s="490"/>
      <c r="BN18" s="488"/>
      <c r="BO18" s="489"/>
      <c r="BP18" s="489"/>
      <c r="BQ18" s="489"/>
      <c r="BR18" s="489"/>
      <c r="BS18" s="490"/>
      <c r="BT18" s="488"/>
      <c r="BU18" s="489"/>
      <c r="BV18" s="489"/>
      <c r="BW18" s="489"/>
      <c r="BX18" s="489"/>
      <c r="BY18" s="490"/>
      <c r="BZ18" s="483"/>
      <c r="CA18" s="484"/>
      <c r="CB18" s="484"/>
      <c r="CC18" s="485"/>
      <c r="CD18" s="477"/>
      <c r="CE18" s="478"/>
      <c r="CF18" s="478"/>
      <c r="CG18" s="478"/>
      <c r="CH18" s="479"/>
      <c r="CI18" s="477"/>
      <c r="CJ18" s="478"/>
      <c r="CK18" s="478"/>
      <c r="CL18" s="478"/>
      <c r="CM18" s="479"/>
      <c r="CN18" s="477"/>
      <c r="CO18" s="478"/>
      <c r="CP18" s="478"/>
      <c r="CQ18" s="478"/>
      <c r="CR18" s="479"/>
      <c r="CS18" s="480"/>
      <c r="CT18" s="481"/>
      <c r="CU18" s="481"/>
      <c r="CV18" s="481"/>
      <c r="CW18" s="482"/>
    </row>
    <row r="19" spans="1:101" s="91" customFormat="1" ht="16.5" x14ac:dyDescent="0.15">
      <c r="A19" s="517"/>
      <c r="B19" s="102"/>
      <c r="C19" s="220" t="str">
        <f t="shared" ca="1" si="2"/>
        <v>@</v>
      </c>
      <c r="D19" s="521"/>
      <c r="E19" s="522"/>
      <c r="F19" s="522"/>
      <c r="G19" s="522"/>
      <c r="H19" s="522"/>
      <c r="I19" s="522"/>
      <c r="J19" s="522"/>
      <c r="K19" s="527"/>
      <c r="L19" s="528"/>
      <c r="M19" s="528"/>
      <c r="N19" s="528"/>
      <c r="O19" s="528"/>
      <c r="P19" s="528"/>
      <c r="Q19" s="528"/>
      <c r="R19" s="533"/>
      <c r="S19" s="534"/>
      <c r="T19" s="533"/>
      <c r="U19" s="534"/>
      <c r="V19" s="527"/>
      <c r="W19" s="528"/>
      <c r="X19" s="528"/>
      <c r="Y19" s="528"/>
      <c r="Z19" s="528"/>
      <c r="AA19" s="528"/>
      <c r="AB19" s="528"/>
      <c r="AC19" s="527"/>
      <c r="AD19" s="528"/>
      <c r="AE19" s="528"/>
      <c r="AF19" s="528"/>
      <c r="AG19" s="528"/>
      <c r="AH19" s="528"/>
      <c r="AI19" s="528"/>
      <c r="AJ19" s="527"/>
      <c r="AK19" s="528"/>
      <c r="AL19" s="528"/>
      <c r="AM19" s="528"/>
      <c r="AN19" s="528"/>
      <c r="AO19" s="528"/>
      <c r="AP19" s="541"/>
      <c r="AQ19" s="527"/>
      <c r="AR19" s="528"/>
      <c r="AS19" s="528"/>
      <c r="AT19" s="528"/>
      <c r="AU19" s="528"/>
      <c r="AV19" s="528"/>
      <c r="AW19" s="541"/>
      <c r="AX19" s="493"/>
      <c r="AY19" s="494"/>
      <c r="AZ19" s="105">
        <v>3</v>
      </c>
      <c r="BA19" s="483"/>
      <c r="BB19" s="484"/>
      <c r="BC19" s="484"/>
      <c r="BD19" s="485"/>
      <c r="BE19" s="486"/>
      <c r="BF19" s="487"/>
      <c r="BG19" s="106"/>
      <c r="BH19" s="488"/>
      <c r="BI19" s="489"/>
      <c r="BJ19" s="489"/>
      <c r="BK19" s="489"/>
      <c r="BL19" s="489"/>
      <c r="BM19" s="490"/>
      <c r="BN19" s="488"/>
      <c r="BO19" s="489"/>
      <c r="BP19" s="489"/>
      <c r="BQ19" s="489"/>
      <c r="BR19" s="489"/>
      <c r="BS19" s="490"/>
      <c r="BT19" s="488"/>
      <c r="BU19" s="489"/>
      <c r="BV19" s="489"/>
      <c r="BW19" s="489"/>
      <c r="BX19" s="489"/>
      <c r="BY19" s="490"/>
      <c r="BZ19" s="483"/>
      <c r="CA19" s="484"/>
      <c r="CB19" s="484"/>
      <c r="CC19" s="485"/>
      <c r="CD19" s="477"/>
      <c r="CE19" s="478"/>
      <c r="CF19" s="478"/>
      <c r="CG19" s="478"/>
      <c r="CH19" s="479"/>
      <c r="CI19" s="477"/>
      <c r="CJ19" s="478"/>
      <c r="CK19" s="478"/>
      <c r="CL19" s="478"/>
      <c r="CM19" s="479"/>
      <c r="CN19" s="477"/>
      <c r="CO19" s="478"/>
      <c r="CP19" s="478"/>
      <c r="CQ19" s="478"/>
      <c r="CR19" s="479"/>
      <c r="CS19" s="480"/>
      <c r="CT19" s="481"/>
      <c r="CU19" s="481"/>
      <c r="CV19" s="481"/>
      <c r="CW19" s="482"/>
    </row>
    <row r="20" spans="1:101" s="91" customFormat="1" ht="16.5" x14ac:dyDescent="0.15">
      <c r="A20" s="517"/>
      <c r="B20" s="102"/>
      <c r="C20" s="220" t="str">
        <f t="shared" ca="1" si="2"/>
        <v>@</v>
      </c>
      <c r="D20" s="521"/>
      <c r="E20" s="522"/>
      <c r="F20" s="522"/>
      <c r="G20" s="522"/>
      <c r="H20" s="522"/>
      <c r="I20" s="522"/>
      <c r="J20" s="522"/>
      <c r="K20" s="527"/>
      <c r="L20" s="528"/>
      <c r="M20" s="528"/>
      <c r="N20" s="528"/>
      <c r="O20" s="528"/>
      <c r="P20" s="528"/>
      <c r="Q20" s="528"/>
      <c r="R20" s="533"/>
      <c r="S20" s="534"/>
      <c r="T20" s="533"/>
      <c r="U20" s="534"/>
      <c r="V20" s="527"/>
      <c r="W20" s="528"/>
      <c r="X20" s="528"/>
      <c r="Y20" s="528"/>
      <c r="Z20" s="528"/>
      <c r="AA20" s="528"/>
      <c r="AB20" s="528"/>
      <c r="AC20" s="527"/>
      <c r="AD20" s="528"/>
      <c r="AE20" s="528"/>
      <c r="AF20" s="528"/>
      <c r="AG20" s="528"/>
      <c r="AH20" s="528"/>
      <c r="AI20" s="528"/>
      <c r="AJ20" s="527"/>
      <c r="AK20" s="528"/>
      <c r="AL20" s="528"/>
      <c r="AM20" s="528"/>
      <c r="AN20" s="528"/>
      <c r="AO20" s="528"/>
      <c r="AP20" s="541"/>
      <c r="AQ20" s="527"/>
      <c r="AR20" s="528"/>
      <c r="AS20" s="528"/>
      <c r="AT20" s="528"/>
      <c r="AU20" s="528"/>
      <c r="AV20" s="528"/>
      <c r="AW20" s="541"/>
      <c r="AX20" s="493"/>
      <c r="AY20" s="494"/>
      <c r="AZ20" s="105">
        <v>4</v>
      </c>
      <c r="BA20" s="483"/>
      <c r="BB20" s="484"/>
      <c r="BC20" s="484"/>
      <c r="BD20" s="485"/>
      <c r="BE20" s="486"/>
      <c r="BF20" s="487"/>
      <c r="BG20" s="106"/>
      <c r="BH20" s="488"/>
      <c r="BI20" s="489"/>
      <c r="BJ20" s="489"/>
      <c r="BK20" s="489"/>
      <c r="BL20" s="489"/>
      <c r="BM20" s="490"/>
      <c r="BN20" s="488"/>
      <c r="BO20" s="489"/>
      <c r="BP20" s="489"/>
      <c r="BQ20" s="489"/>
      <c r="BR20" s="489"/>
      <c r="BS20" s="490"/>
      <c r="BT20" s="488"/>
      <c r="BU20" s="489"/>
      <c r="BV20" s="489"/>
      <c r="BW20" s="489"/>
      <c r="BX20" s="489"/>
      <c r="BY20" s="490"/>
      <c r="BZ20" s="483"/>
      <c r="CA20" s="484"/>
      <c r="CB20" s="484"/>
      <c r="CC20" s="485"/>
      <c r="CD20" s="477"/>
      <c r="CE20" s="478"/>
      <c r="CF20" s="478"/>
      <c r="CG20" s="478"/>
      <c r="CH20" s="479"/>
      <c r="CI20" s="477"/>
      <c r="CJ20" s="478"/>
      <c r="CK20" s="478"/>
      <c r="CL20" s="478"/>
      <c r="CM20" s="479"/>
      <c r="CN20" s="477"/>
      <c r="CO20" s="478"/>
      <c r="CP20" s="478"/>
      <c r="CQ20" s="478"/>
      <c r="CR20" s="479"/>
      <c r="CS20" s="480"/>
      <c r="CT20" s="481"/>
      <c r="CU20" s="481"/>
      <c r="CV20" s="481"/>
      <c r="CW20" s="482"/>
    </row>
    <row r="21" spans="1:101" s="91" customFormat="1" ht="16.5" x14ac:dyDescent="0.15">
      <c r="A21" s="517"/>
      <c r="B21" s="102"/>
      <c r="C21" s="220" t="str">
        <f t="shared" ca="1" si="2"/>
        <v>@</v>
      </c>
      <c r="D21" s="521"/>
      <c r="E21" s="522"/>
      <c r="F21" s="522"/>
      <c r="G21" s="522"/>
      <c r="H21" s="522"/>
      <c r="I21" s="522"/>
      <c r="J21" s="522"/>
      <c r="K21" s="527"/>
      <c r="L21" s="528"/>
      <c r="M21" s="528"/>
      <c r="N21" s="528"/>
      <c r="O21" s="528"/>
      <c r="P21" s="528"/>
      <c r="Q21" s="528"/>
      <c r="R21" s="533"/>
      <c r="S21" s="534"/>
      <c r="T21" s="533"/>
      <c r="U21" s="534"/>
      <c r="V21" s="527"/>
      <c r="W21" s="528"/>
      <c r="X21" s="528"/>
      <c r="Y21" s="528"/>
      <c r="Z21" s="528"/>
      <c r="AA21" s="528"/>
      <c r="AB21" s="528"/>
      <c r="AC21" s="527"/>
      <c r="AD21" s="528"/>
      <c r="AE21" s="528"/>
      <c r="AF21" s="528"/>
      <c r="AG21" s="528"/>
      <c r="AH21" s="528"/>
      <c r="AI21" s="528"/>
      <c r="AJ21" s="527"/>
      <c r="AK21" s="528"/>
      <c r="AL21" s="528"/>
      <c r="AM21" s="528"/>
      <c r="AN21" s="528"/>
      <c r="AO21" s="528"/>
      <c r="AP21" s="541"/>
      <c r="AQ21" s="527"/>
      <c r="AR21" s="528"/>
      <c r="AS21" s="528"/>
      <c r="AT21" s="528"/>
      <c r="AU21" s="528"/>
      <c r="AV21" s="528"/>
      <c r="AW21" s="541"/>
      <c r="AX21" s="493"/>
      <c r="AY21" s="494"/>
      <c r="AZ21" s="105">
        <v>5</v>
      </c>
      <c r="BA21" s="276"/>
      <c r="BB21" s="277"/>
      <c r="BC21" s="277"/>
      <c r="BD21" s="278"/>
      <c r="BE21" s="279"/>
      <c r="BF21" s="280"/>
      <c r="BG21" s="106"/>
      <c r="BH21" s="281"/>
      <c r="BI21" s="282"/>
      <c r="BJ21" s="282"/>
      <c r="BK21" s="282"/>
      <c r="BL21" s="282"/>
      <c r="BM21" s="283"/>
      <c r="BN21" s="281"/>
      <c r="BO21" s="282"/>
      <c r="BP21" s="282"/>
      <c r="BQ21" s="282"/>
      <c r="BR21" s="282"/>
      <c r="BS21" s="283"/>
      <c r="BT21" s="281"/>
      <c r="BU21" s="282"/>
      <c r="BV21" s="282"/>
      <c r="BW21" s="282"/>
      <c r="BX21" s="282"/>
      <c r="BY21" s="283"/>
      <c r="BZ21" s="276"/>
      <c r="CA21" s="277"/>
      <c r="CB21" s="277"/>
      <c r="CC21" s="278"/>
      <c r="CD21" s="477"/>
      <c r="CE21" s="478"/>
      <c r="CF21" s="478"/>
      <c r="CG21" s="478"/>
      <c r="CH21" s="479"/>
      <c r="CI21" s="477"/>
      <c r="CJ21" s="478"/>
      <c r="CK21" s="478"/>
      <c r="CL21" s="478"/>
      <c r="CM21" s="479"/>
      <c r="CN21" s="477"/>
      <c r="CO21" s="478"/>
      <c r="CP21" s="478"/>
      <c r="CQ21" s="478"/>
      <c r="CR21" s="479"/>
      <c r="CS21" s="480"/>
      <c r="CT21" s="481"/>
      <c r="CU21" s="481"/>
      <c r="CV21" s="481"/>
      <c r="CW21" s="482"/>
    </row>
    <row r="22" spans="1:101" s="91" customFormat="1" ht="16.5" x14ac:dyDescent="0.15">
      <c r="A22" s="517"/>
      <c r="B22" s="102"/>
      <c r="C22" s="221" t="str">
        <f t="shared" ca="1" si="2"/>
        <v>@</v>
      </c>
      <c r="D22" s="523"/>
      <c r="E22" s="524"/>
      <c r="F22" s="524"/>
      <c r="G22" s="524"/>
      <c r="H22" s="524"/>
      <c r="I22" s="524"/>
      <c r="J22" s="524"/>
      <c r="K22" s="529"/>
      <c r="L22" s="530"/>
      <c r="M22" s="530"/>
      <c r="N22" s="530"/>
      <c r="O22" s="530"/>
      <c r="P22" s="530"/>
      <c r="Q22" s="530"/>
      <c r="R22" s="535"/>
      <c r="S22" s="536"/>
      <c r="T22" s="535"/>
      <c r="U22" s="536"/>
      <c r="V22" s="529"/>
      <c r="W22" s="530"/>
      <c r="X22" s="530"/>
      <c r="Y22" s="530"/>
      <c r="Z22" s="530"/>
      <c r="AA22" s="530"/>
      <c r="AB22" s="530"/>
      <c r="AC22" s="529"/>
      <c r="AD22" s="530"/>
      <c r="AE22" s="530"/>
      <c r="AF22" s="530"/>
      <c r="AG22" s="530"/>
      <c r="AH22" s="530"/>
      <c r="AI22" s="530"/>
      <c r="AJ22" s="529"/>
      <c r="AK22" s="539"/>
      <c r="AL22" s="539"/>
      <c r="AM22" s="539"/>
      <c r="AN22" s="539"/>
      <c r="AO22" s="539"/>
      <c r="AP22" s="542"/>
      <c r="AQ22" s="529"/>
      <c r="AR22" s="539"/>
      <c r="AS22" s="539"/>
      <c r="AT22" s="539"/>
      <c r="AU22" s="539"/>
      <c r="AV22" s="539"/>
      <c r="AW22" s="542"/>
      <c r="AX22" s="495"/>
      <c r="AY22" s="653"/>
      <c r="AZ22" s="105">
        <v>6</v>
      </c>
      <c r="BA22" s="483"/>
      <c r="BB22" s="484"/>
      <c r="BC22" s="484"/>
      <c r="BD22" s="485"/>
      <c r="BE22" s="486"/>
      <c r="BF22" s="487"/>
      <c r="BG22" s="106"/>
      <c r="BH22" s="488"/>
      <c r="BI22" s="489"/>
      <c r="BJ22" s="489"/>
      <c r="BK22" s="489"/>
      <c r="BL22" s="489"/>
      <c r="BM22" s="490"/>
      <c r="BN22" s="488"/>
      <c r="BO22" s="489"/>
      <c r="BP22" s="489"/>
      <c r="BQ22" s="489"/>
      <c r="BR22" s="489"/>
      <c r="BS22" s="490"/>
      <c r="BT22" s="488"/>
      <c r="BU22" s="489"/>
      <c r="BV22" s="489"/>
      <c r="BW22" s="489"/>
      <c r="BX22" s="489"/>
      <c r="BY22" s="490"/>
      <c r="BZ22" s="483"/>
      <c r="CA22" s="484"/>
      <c r="CB22" s="484"/>
      <c r="CC22" s="485"/>
      <c r="CD22" s="477"/>
      <c r="CE22" s="478"/>
      <c r="CF22" s="478"/>
      <c r="CG22" s="478"/>
      <c r="CH22" s="479"/>
      <c r="CI22" s="477"/>
      <c r="CJ22" s="478"/>
      <c r="CK22" s="478"/>
      <c r="CL22" s="478"/>
      <c r="CM22" s="479"/>
      <c r="CN22" s="477"/>
      <c r="CO22" s="478"/>
      <c r="CP22" s="478"/>
      <c r="CQ22" s="478"/>
      <c r="CR22" s="479"/>
      <c r="CS22" s="480"/>
      <c r="CT22" s="481"/>
      <c r="CU22" s="481"/>
      <c r="CV22" s="481"/>
      <c r="CW22" s="482"/>
    </row>
    <row r="23" spans="1:101" s="91" customFormat="1" ht="16.149999999999999" customHeight="1" x14ac:dyDescent="0.15">
      <c r="A23" s="516">
        <v>3</v>
      </c>
      <c r="B23" s="102"/>
      <c r="C23" s="217" t="str">
        <f ca="1">IF(AND(OFFSET($K77,-($AZ23-1),0)&lt;&gt;"",OFFSET($R77,-($AZ23-1),0)&lt;&gt;"x"),"@","")</f>
        <v/>
      </c>
      <c r="D23" s="519" t="s">
        <v>772</v>
      </c>
      <c r="E23" s="649"/>
      <c r="F23" s="649"/>
      <c r="G23" s="649"/>
      <c r="H23" s="649"/>
      <c r="I23" s="649"/>
      <c r="J23" s="649"/>
      <c r="K23" s="525" t="s">
        <v>773</v>
      </c>
      <c r="L23" s="526"/>
      <c r="M23" s="526"/>
      <c r="N23" s="526"/>
      <c r="O23" s="526"/>
      <c r="P23" s="526"/>
      <c r="Q23" s="526"/>
      <c r="R23" s="531"/>
      <c r="S23" s="532"/>
      <c r="T23" s="531" t="s">
        <v>284</v>
      </c>
      <c r="U23" s="532"/>
      <c r="V23" s="525" t="s">
        <v>774</v>
      </c>
      <c r="W23" s="538"/>
      <c r="X23" s="538"/>
      <c r="Y23" s="538"/>
      <c r="Z23" s="538"/>
      <c r="AA23" s="538"/>
      <c r="AB23" s="540"/>
      <c r="AC23" s="525" t="s">
        <v>794</v>
      </c>
      <c r="AD23" s="538"/>
      <c r="AE23" s="538"/>
      <c r="AF23" s="538"/>
      <c r="AG23" s="538"/>
      <c r="AH23" s="538"/>
      <c r="AI23" s="540"/>
      <c r="AJ23" s="525"/>
      <c r="AK23" s="538"/>
      <c r="AL23" s="538"/>
      <c r="AM23" s="538"/>
      <c r="AN23" s="538"/>
      <c r="AO23" s="538"/>
      <c r="AP23" s="540"/>
      <c r="AQ23" s="525" t="s">
        <v>798</v>
      </c>
      <c r="AR23" s="538"/>
      <c r="AS23" s="538"/>
      <c r="AT23" s="538"/>
      <c r="AU23" s="538"/>
      <c r="AV23" s="538"/>
      <c r="AW23" s="540"/>
      <c r="AX23" s="491" t="s">
        <v>797</v>
      </c>
      <c r="AY23" s="492"/>
      <c r="AZ23" s="103">
        <v>1</v>
      </c>
      <c r="BA23" s="497">
        <v>44166</v>
      </c>
      <c r="BB23" s="498"/>
      <c r="BC23" s="498"/>
      <c r="BD23" s="499"/>
      <c r="BE23" s="500" t="s">
        <v>799</v>
      </c>
      <c r="BF23" s="501"/>
      <c r="BG23" s="104" t="s">
        <v>258</v>
      </c>
      <c r="BH23" s="502" t="s">
        <v>364</v>
      </c>
      <c r="BI23" s="503"/>
      <c r="BJ23" s="503"/>
      <c r="BK23" s="503"/>
      <c r="BL23" s="503"/>
      <c r="BM23" s="504"/>
      <c r="BN23" s="502" t="s">
        <v>40</v>
      </c>
      <c r="BO23" s="503"/>
      <c r="BP23" s="503"/>
      <c r="BQ23" s="503"/>
      <c r="BR23" s="503"/>
      <c r="BS23" s="504"/>
      <c r="BT23" s="502" t="s">
        <v>404</v>
      </c>
      <c r="BU23" s="503"/>
      <c r="BV23" s="503"/>
      <c r="BW23" s="503"/>
      <c r="BX23" s="503"/>
      <c r="BY23" s="504"/>
      <c r="BZ23" s="552"/>
      <c r="CA23" s="553"/>
      <c r="CB23" s="553"/>
      <c r="CC23" s="554"/>
      <c r="CD23" s="477"/>
      <c r="CE23" s="478"/>
      <c r="CF23" s="478"/>
      <c r="CG23" s="478"/>
      <c r="CH23" s="479"/>
      <c r="CI23" s="477"/>
      <c r="CJ23" s="478"/>
      <c r="CK23" s="478"/>
      <c r="CL23" s="478"/>
      <c r="CM23" s="479"/>
      <c r="CN23" s="477"/>
      <c r="CO23" s="478"/>
      <c r="CP23" s="478"/>
      <c r="CQ23" s="478"/>
      <c r="CR23" s="479"/>
      <c r="CS23" s="480"/>
      <c r="CT23" s="481"/>
      <c r="CU23" s="481"/>
      <c r="CV23" s="481"/>
      <c r="CW23" s="482"/>
    </row>
    <row r="24" spans="1:101" s="91" customFormat="1" ht="16.5" x14ac:dyDescent="0.15">
      <c r="A24" s="517"/>
      <c r="B24" s="102"/>
      <c r="C24" s="220" t="str">
        <f ca="1">IF(AND(OFFSET($K78,-($AZ24-1),0)&lt;&gt;"",OFFSET($R78,-($AZ24-1),0)&lt;&gt;"x"),"@","")</f>
        <v/>
      </c>
      <c r="D24" s="521"/>
      <c r="E24" s="522"/>
      <c r="F24" s="522"/>
      <c r="G24" s="522"/>
      <c r="H24" s="522"/>
      <c r="I24" s="522"/>
      <c r="J24" s="522"/>
      <c r="K24" s="527"/>
      <c r="L24" s="528"/>
      <c r="M24" s="528"/>
      <c r="N24" s="528"/>
      <c r="O24" s="528"/>
      <c r="P24" s="528"/>
      <c r="Q24" s="528"/>
      <c r="R24" s="533"/>
      <c r="S24" s="534"/>
      <c r="T24" s="533"/>
      <c r="U24" s="534"/>
      <c r="V24" s="527"/>
      <c r="W24" s="528"/>
      <c r="X24" s="528"/>
      <c r="Y24" s="528"/>
      <c r="Z24" s="528"/>
      <c r="AA24" s="528"/>
      <c r="AB24" s="541"/>
      <c r="AC24" s="527"/>
      <c r="AD24" s="528"/>
      <c r="AE24" s="528"/>
      <c r="AF24" s="528"/>
      <c r="AG24" s="528"/>
      <c r="AH24" s="528"/>
      <c r="AI24" s="541"/>
      <c r="AJ24" s="527"/>
      <c r="AK24" s="528"/>
      <c r="AL24" s="528"/>
      <c r="AM24" s="528"/>
      <c r="AN24" s="528"/>
      <c r="AO24" s="528"/>
      <c r="AP24" s="541"/>
      <c r="AQ24" s="527"/>
      <c r="AR24" s="528"/>
      <c r="AS24" s="528"/>
      <c r="AT24" s="528"/>
      <c r="AU24" s="528"/>
      <c r="AV24" s="528"/>
      <c r="AW24" s="541"/>
      <c r="AX24" s="493"/>
      <c r="AY24" s="494"/>
      <c r="AZ24" s="105">
        <v>2</v>
      </c>
      <c r="BA24" s="497">
        <v>44166</v>
      </c>
      <c r="BB24" s="498"/>
      <c r="BC24" s="498"/>
      <c r="BD24" s="499"/>
      <c r="BE24" s="486" t="s">
        <v>568</v>
      </c>
      <c r="BF24" s="487"/>
      <c r="BG24" s="106"/>
      <c r="BH24" s="488"/>
      <c r="BI24" s="489"/>
      <c r="BJ24" s="489"/>
      <c r="BK24" s="489"/>
      <c r="BL24" s="489"/>
      <c r="BM24" s="490"/>
      <c r="BN24" s="488"/>
      <c r="BO24" s="489"/>
      <c r="BP24" s="489"/>
      <c r="BQ24" s="489"/>
      <c r="BR24" s="489"/>
      <c r="BS24" s="490"/>
      <c r="BT24" s="488"/>
      <c r="BU24" s="489"/>
      <c r="BV24" s="489"/>
      <c r="BW24" s="489"/>
      <c r="BX24" s="489"/>
      <c r="BY24" s="490"/>
      <c r="BZ24" s="483"/>
      <c r="CA24" s="484"/>
      <c r="CB24" s="484"/>
      <c r="CC24" s="485"/>
      <c r="CD24" s="477"/>
      <c r="CE24" s="478"/>
      <c r="CF24" s="478"/>
      <c r="CG24" s="478"/>
      <c r="CH24" s="479"/>
      <c r="CI24" s="477"/>
      <c r="CJ24" s="478"/>
      <c r="CK24" s="478"/>
      <c r="CL24" s="478"/>
      <c r="CM24" s="479"/>
      <c r="CN24" s="477"/>
      <c r="CO24" s="478"/>
      <c r="CP24" s="478"/>
      <c r="CQ24" s="478"/>
      <c r="CR24" s="479"/>
      <c r="CS24" s="480"/>
      <c r="CT24" s="481"/>
      <c r="CU24" s="481"/>
      <c r="CV24" s="481"/>
      <c r="CW24" s="482"/>
    </row>
    <row r="25" spans="1:101" s="91" customFormat="1" ht="16.5" x14ac:dyDescent="0.15">
      <c r="A25" s="517"/>
      <c r="B25" s="102"/>
      <c r="C25" s="220" t="str">
        <f ca="1">IF(AND(OFFSET($K79,-($AZ25-1),0)&lt;&gt;"",OFFSET($R79,-($AZ25-1),0)&lt;&gt;"x"),"@","")</f>
        <v/>
      </c>
      <c r="D25" s="521"/>
      <c r="E25" s="522"/>
      <c r="F25" s="522"/>
      <c r="G25" s="522"/>
      <c r="H25" s="522"/>
      <c r="I25" s="522"/>
      <c r="J25" s="522"/>
      <c r="K25" s="527"/>
      <c r="L25" s="528"/>
      <c r="M25" s="528"/>
      <c r="N25" s="528"/>
      <c r="O25" s="528"/>
      <c r="P25" s="528"/>
      <c r="Q25" s="528"/>
      <c r="R25" s="533"/>
      <c r="S25" s="534"/>
      <c r="T25" s="533"/>
      <c r="U25" s="534"/>
      <c r="V25" s="527"/>
      <c r="W25" s="528"/>
      <c r="X25" s="528"/>
      <c r="Y25" s="528"/>
      <c r="Z25" s="528"/>
      <c r="AA25" s="528"/>
      <c r="AB25" s="541"/>
      <c r="AC25" s="527"/>
      <c r="AD25" s="528"/>
      <c r="AE25" s="528"/>
      <c r="AF25" s="528"/>
      <c r="AG25" s="528"/>
      <c r="AH25" s="528"/>
      <c r="AI25" s="541"/>
      <c r="AJ25" s="527"/>
      <c r="AK25" s="528"/>
      <c r="AL25" s="528"/>
      <c r="AM25" s="528"/>
      <c r="AN25" s="528"/>
      <c r="AO25" s="528"/>
      <c r="AP25" s="541"/>
      <c r="AQ25" s="527"/>
      <c r="AR25" s="528"/>
      <c r="AS25" s="528"/>
      <c r="AT25" s="528"/>
      <c r="AU25" s="528"/>
      <c r="AV25" s="528"/>
      <c r="AW25" s="541"/>
      <c r="AX25" s="493"/>
      <c r="AY25" s="494"/>
      <c r="AZ25" s="105">
        <v>3</v>
      </c>
      <c r="BA25" s="483"/>
      <c r="BB25" s="484"/>
      <c r="BC25" s="484"/>
      <c r="BD25" s="485"/>
      <c r="BE25" s="486"/>
      <c r="BF25" s="487"/>
      <c r="BG25" s="106"/>
      <c r="BH25" s="488"/>
      <c r="BI25" s="489"/>
      <c r="BJ25" s="489"/>
      <c r="BK25" s="489"/>
      <c r="BL25" s="489"/>
      <c r="BM25" s="490"/>
      <c r="BN25" s="488"/>
      <c r="BO25" s="489"/>
      <c r="BP25" s="489"/>
      <c r="BQ25" s="489"/>
      <c r="BR25" s="489"/>
      <c r="BS25" s="490"/>
      <c r="BT25" s="488"/>
      <c r="BU25" s="489"/>
      <c r="BV25" s="489"/>
      <c r="BW25" s="489"/>
      <c r="BX25" s="489"/>
      <c r="BY25" s="490"/>
      <c r="BZ25" s="483"/>
      <c r="CA25" s="484"/>
      <c r="CB25" s="484"/>
      <c r="CC25" s="485"/>
      <c r="CD25" s="477"/>
      <c r="CE25" s="478"/>
      <c r="CF25" s="478"/>
      <c r="CG25" s="478"/>
      <c r="CH25" s="479"/>
      <c r="CI25" s="477"/>
      <c r="CJ25" s="478"/>
      <c r="CK25" s="478"/>
      <c r="CL25" s="478"/>
      <c r="CM25" s="479"/>
      <c r="CN25" s="477"/>
      <c r="CO25" s="478"/>
      <c r="CP25" s="478"/>
      <c r="CQ25" s="478"/>
      <c r="CR25" s="479"/>
      <c r="CS25" s="480"/>
      <c r="CT25" s="481"/>
      <c r="CU25" s="481"/>
      <c r="CV25" s="481"/>
      <c r="CW25" s="482"/>
    </row>
    <row r="26" spans="1:101" s="91" customFormat="1" ht="16.5" x14ac:dyDescent="0.15">
      <c r="A26" s="517"/>
      <c r="B26" s="102"/>
      <c r="C26" s="221" t="str">
        <f ca="1">IF(AND(OFFSET($K80,-($AZ26-1),0)&lt;&gt;"",OFFSET($R80,-($AZ26-1),0)&lt;&gt;"x"),"@","")</f>
        <v/>
      </c>
      <c r="D26" s="521"/>
      <c r="E26" s="522"/>
      <c r="F26" s="522"/>
      <c r="G26" s="522"/>
      <c r="H26" s="522"/>
      <c r="I26" s="522"/>
      <c r="J26" s="522"/>
      <c r="K26" s="527"/>
      <c r="L26" s="528"/>
      <c r="M26" s="528"/>
      <c r="N26" s="528"/>
      <c r="O26" s="528"/>
      <c r="P26" s="528"/>
      <c r="Q26" s="528"/>
      <c r="R26" s="533"/>
      <c r="S26" s="534"/>
      <c r="T26" s="533"/>
      <c r="U26" s="534"/>
      <c r="V26" s="527"/>
      <c r="W26" s="528"/>
      <c r="X26" s="528"/>
      <c r="Y26" s="528"/>
      <c r="Z26" s="528"/>
      <c r="AA26" s="528"/>
      <c r="AB26" s="541"/>
      <c r="AC26" s="527"/>
      <c r="AD26" s="528"/>
      <c r="AE26" s="528"/>
      <c r="AF26" s="528"/>
      <c r="AG26" s="528"/>
      <c r="AH26" s="528"/>
      <c r="AI26" s="541"/>
      <c r="AJ26" s="527"/>
      <c r="AK26" s="528"/>
      <c r="AL26" s="528"/>
      <c r="AM26" s="528"/>
      <c r="AN26" s="528"/>
      <c r="AO26" s="528"/>
      <c r="AP26" s="541"/>
      <c r="AQ26" s="527"/>
      <c r="AR26" s="528"/>
      <c r="AS26" s="528"/>
      <c r="AT26" s="528"/>
      <c r="AU26" s="528"/>
      <c r="AV26" s="528"/>
      <c r="AW26" s="541"/>
      <c r="AX26" s="493"/>
      <c r="AY26" s="494"/>
      <c r="AZ26" s="105">
        <v>4</v>
      </c>
      <c r="BA26" s="483"/>
      <c r="BB26" s="484"/>
      <c r="BC26" s="484"/>
      <c r="BD26" s="485"/>
      <c r="BE26" s="486"/>
      <c r="BF26" s="487"/>
      <c r="BG26" s="106"/>
      <c r="BH26" s="488"/>
      <c r="BI26" s="489"/>
      <c r="BJ26" s="489"/>
      <c r="BK26" s="489"/>
      <c r="BL26" s="489"/>
      <c r="BM26" s="490"/>
      <c r="BN26" s="488"/>
      <c r="BO26" s="489"/>
      <c r="BP26" s="489"/>
      <c r="BQ26" s="489"/>
      <c r="BR26" s="489"/>
      <c r="BS26" s="490"/>
      <c r="BT26" s="488"/>
      <c r="BU26" s="489"/>
      <c r="BV26" s="489"/>
      <c r="BW26" s="489"/>
      <c r="BX26" s="489"/>
      <c r="BY26" s="490"/>
      <c r="BZ26" s="483"/>
      <c r="CA26" s="484"/>
      <c r="CB26" s="484"/>
      <c r="CC26" s="485"/>
      <c r="CD26" s="477"/>
      <c r="CE26" s="478"/>
      <c r="CF26" s="478"/>
      <c r="CG26" s="478"/>
      <c r="CH26" s="479"/>
      <c r="CI26" s="477"/>
      <c r="CJ26" s="478"/>
      <c r="CK26" s="478"/>
      <c r="CL26" s="478"/>
      <c r="CM26" s="479"/>
      <c r="CN26" s="477"/>
      <c r="CO26" s="478"/>
      <c r="CP26" s="478"/>
      <c r="CQ26" s="478"/>
      <c r="CR26" s="479"/>
      <c r="CS26" s="480"/>
      <c r="CT26" s="481"/>
      <c r="CU26" s="481"/>
      <c r="CV26" s="481"/>
      <c r="CW26" s="482"/>
    </row>
    <row r="27" spans="1:101" s="91" customFormat="1" ht="16.5" x14ac:dyDescent="0.15">
      <c r="A27" s="517"/>
      <c r="B27" s="102"/>
      <c r="C27" s="222" t="str">
        <f ca="1">IF(AND(OFFSET($K81,-($AZ27-1),0)&lt;&gt;"",OFFSET($R81,-($AZ27-1),0)&lt;&gt;"x"),"@","")</f>
        <v/>
      </c>
      <c r="D27" s="521"/>
      <c r="E27" s="522"/>
      <c r="F27" s="522"/>
      <c r="G27" s="522"/>
      <c r="H27" s="522"/>
      <c r="I27" s="522"/>
      <c r="J27" s="522"/>
      <c r="K27" s="527"/>
      <c r="L27" s="528"/>
      <c r="M27" s="528"/>
      <c r="N27" s="528"/>
      <c r="O27" s="528"/>
      <c r="P27" s="528"/>
      <c r="Q27" s="528"/>
      <c r="R27" s="533"/>
      <c r="S27" s="534"/>
      <c r="T27" s="533"/>
      <c r="U27" s="534"/>
      <c r="V27" s="527"/>
      <c r="W27" s="528"/>
      <c r="X27" s="528"/>
      <c r="Y27" s="528"/>
      <c r="Z27" s="528"/>
      <c r="AA27" s="528"/>
      <c r="AB27" s="541"/>
      <c r="AC27" s="527"/>
      <c r="AD27" s="528"/>
      <c r="AE27" s="528"/>
      <c r="AF27" s="528"/>
      <c r="AG27" s="528"/>
      <c r="AH27" s="528"/>
      <c r="AI27" s="541"/>
      <c r="AJ27" s="527"/>
      <c r="AK27" s="528"/>
      <c r="AL27" s="528"/>
      <c r="AM27" s="528"/>
      <c r="AN27" s="528"/>
      <c r="AO27" s="528"/>
      <c r="AP27" s="541"/>
      <c r="AQ27" s="527"/>
      <c r="AR27" s="528"/>
      <c r="AS27" s="528"/>
      <c r="AT27" s="528"/>
      <c r="AU27" s="528"/>
      <c r="AV27" s="528"/>
      <c r="AW27" s="541"/>
      <c r="AX27" s="493"/>
      <c r="AY27" s="494"/>
      <c r="AZ27" s="105">
        <v>5</v>
      </c>
      <c r="BA27" s="483"/>
      <c r="BB27" s="484"/>
      <c r="BC27" s="484"/>
      <c r="BD27" s="485"/>
      <c r="BE27" s="486"/>
      <c r="BF27" s="487"/>
      <c r="BG27" s="106"/>
      <c r="BH27" s="488"/>
      <c r="BI27" s="489"/>
      <c r="BJ27" s="489"/>
      <c r="BK27" s="489"/>
      <c r="BL27" s="489"/>
      <c r="BM27" s="490"/>
      <c r="BN27" s="488"/>
      <c r="BO27" s="489"/>
      <c r="BP27" s="489"/>
      <c r="BQ27" s="489"/>
      <c r="BR27" s="489"/>
      <c r="BS27" s="490"/>
      <c r="BT27" s="488"/>
      <c r="BU27" s="489"/>
      <c r="BV27" s="489"/>
      <c r="BW27" s="489"/>
      <c r="BX27" s="489"/>
      <c r="BY27" s="490"/>
      <c r="BZ27" s="483"/>
      <c r="CA27" s="484"/>
      <c r="CB27" s="484"/>
      <c r="CC27" s="485"/>
      <c r="CD27" s="477"/>
      <c r="CE27" s="478"/>
      <c r="CF27" s="478"/>
      <c r="CG27" s="478"/>
      <c r="CH27" s="479"/>
      <c r="CI27" s="477"/>
      <c r="CJ27" s="478"/>
      <c r="CK27" s="478"/>
      <c r="CL27" s="478"/>
      <c r="CM27" s="479"/>
      <c r="CN27" s="477"/>
      <c r="CO27" s="478"/>
      <c r="CP27" s="478"/>
      <c r="CQ27" s="478"/>
      <c r="CR27" s="479"/>
      <c r="CS27" s="480"/>
      <c r="CT27" s="481"/>
      <c r="CU27" s="481"/>
      <c r="CV27" s="481"/>
      <c r="CW27" s="482"/>
    </row>
    <row r="28" spans="1:101" s="91" customFormat="1" ht="16.5" x14ac:dyDescent="0.15">
      <c r="A28" s="517"/>
      <c r="B28" s="102"/>
      <c r="C28" s="222"/>
      <c r="D28" s="521"/>
      <c r="E28" s="522"/>
      <c r="F28" s="522"/>
      <c r="G28" s="522"/>
      <c r="H28" s="522"/>
      <c r="I28" s="522"/>
      <c r="J28" s="522"/>
      <c r="K28" s="527"/>
      <c r="L28" s="528"/>
      <c r="M28" s="528"/>
      <c r="N28" s="528"/>
      <c r="O28" s="528"/>
      <c r="P28" s="528"/>
      <c r="Q28" s="528"/>
      <c r="R28" s="533"/>
      <c r="S28" s="534"/>
      <c r="T28" s="533"/>
      <c r="U28" s="534"/>
      <c r="V28" s="529"/>
      <c r="W28" s="539"/>
      <c r="X28" s="539"/>
      <c r="Y28" s="539"/>
      <c r="Z28" s="539"/>
      <c r="AA28" s="539"/>
      <c r="AB28" s="542"/>
      <c r="AC28" s="529"/>
      <c r="AD28" s="539"/>
      <c r="AE28" s="539"/>
      <c r="AF28" s="539"/>
      <c r="AG28" s="539"/>
      <c r="AH28" s="539"/>
      <c r="AI28" s="542"/>
      <c r="AJ28" s="529"/>
      <c r="AK28" s="539"/>
      <c r="AL28" s="539"/>
      <c r="AM28" s="539"/>
      <c r="AN28" s="539"/>
      <c r="AO28" s="539"/>
      <c r="AP28" s="542"/>
      <c r="AQ28" s="529"/>
      <c r="AR28" s="539"/>
      <c r="AS28" s="539"/>
      <c r="AT28" s="539"/>
      <c r="AU28" s="539"/>
      <c r="AV28" s="539"/>
      <c r="AW28" s="542"/>
      <c r="AX28" s="495"/>
      <c r="AY28" s="653"/>
      <c r="AZ28" s="108">
        <v>6</v>
      </c>
      <c r="BA28" s="284"/>
      <c r="BB28" s="285"/>
      <c r="BC28" s="285"/>
      <c r="BD28" s="286"/>
      <c r="BE28" s="287"/>
      <c r="BF28" s="288"/>
      <c r="BG28" s="109"/>
      <c r="BH28" s="289"/>
      <c r="BI28" s="290"/>
      <c r="BJ28" s="290"/>
      <c r="BK28" s="290"/>
      <c r="BL28" s="290"/>
      <c r="BM28" s="291"/>
      <c r="BN28" s="289"/>
      <c r="BO28" s="290"/>
      <c r="BP28" s="290"/>
      <c r="BQ28" s="290"/>
      <c r="BR28" s="290"/>
      <c r="BS28" s="291"/>
      <c r="BT28" s="289"/>
      <c r="BU28" s="290"/>
      <c r="BV28" s="290"/>
      <c r="BW28" s="290"/>
      <c r="BX28" s="290"/>
      <c r="BY28" s="291"/>
      <c r="BZ28" s="284"/>
      <c r="CA28" s="285"/>
      <c r="CB28" s="285"/>
      <c r="CC28" s="286"/>
      <c r="CD28" s="477"/>
      <c r="CE28" s="478"/>
      <c r="CF28" s="478"/>
      <c r="CG28" s="478"/>
      <c r="CH28" s="479"/>
      <c r="CI28" s="477"/>
      <c r="CJ28" s="478"/>
      <c r="CK28" s="478"/>
      <c r="CL28" s="478"/>
      <c r="CM28" s="479"/>
      <c r="CN28" s="477"/>
      <c r="CO28" s="478"/>
      <c r="CP28" s="478"/>
      <c r="CQ28" s="478"/>
      <c r="CR28" s="479"/>
      <c r="CS28" s="480"/>
      <c r="CT28" s="481"/>
      <c r="CU28" s="481"/>
      <c r="CV28" s="481"/>
      <c r="CW28" s="482"/>
    </row>
    <row r="29" spans="1:101" s="91" customFormat="1" ht="16.149999999999999" customHeight="1" x14ac:dyDescent="0.15">
      <c r="A29" s="516">
        <v>4</v>
      </c>
      <c r="B29" s="102"/>
      <c r="C29" s="216" t="str">
        <f t="shared" ref="C29:C64" ca="1" si="3">IF(AND(OFFSET($K29,-($AZ29-1),0)&lt;&gt;"",OFFSET($R29,-($AZ29-1),0)&lt;&gt;"x"),"@","")</f>
        <v>@</v>
      </c>
      <c r="D29" s="519" t="s">
        <v>775</v>
      </c>
      <c r="E29" s="649"/>
      <c r="F29" s="649"/>
      <c r="G29" s="649"/>
      <c r="H29" s="649"/>
      <c r="I29" s="649"/>
      <c r="J29" s="649"/>
      <c r="K29" s="525" t="s">
        <v>776</v>
      </c>
      <c r="L29" s="526"/>
      <c r="M29" s="526"/>
      <c r="N29" s="526"/>
      <c r="O29" s="526"/>
      <c r="P29" s="526"/>
      <c r="Q29" s="526"/>
      <c r="R29" s="531"/>
      <c r="S29" s="532"/>
      <c r="T29" s="531" t="s">
        <v>284</v>
      </c>
      <c r="U29" s="532"/>
      <c r="V29" s="525" t="s">
        <v>777</v>
      </c>
      <c r="W29" s="538"/>
      <c r="X29" s="538"/>
      <c r="Y29" s="538"/>
      <c r="Z29" s="538"/>
      <c r="AA29" s="538"/>
      <c r="AB29" s="540"/>
      <c r="AC29" s="525" t="s">
        <v>778</v>
      </c>
      <c r="AD29" s="538"/>
      <c r="AE29" s="538"/>
      <c r="AF29" s="538"/>
      <c r="AG29" s="538"/>
      <c r="AH29" s="538"/>
      <c r="AI29" s="540"/>
      <c r="AJ29" s="525"/>
      <c r="AK29" s="538"/>
      <c r="AL29" s="538"/>
      <c r="AM29" s="538"/>
      <c r="AN29" s="538"/>
      <c r="AO29" s="538"/>
      <c r="AP29" s="540"/>
      <c r="AQ29" s="525" t="s">
        <v>800</v>
      </c>
      <c r="AR29" s="538"/>
      <c r="AS29" s="538"/>
      <c r="AT29" s="538"/>
      <c r="AU29" s="538"/>
      <c r="AV29" s="538"/>
      <c r="AW29" s="540"/>
      <c r="AX29" s="491" t="s">
        <v>797</v>
      </c>
      <c r="AY29" s="492"/>
      <c r="AZ29" s="103">
        <v>1</v>
      </c>
      <c r="BA29" s="497">
        <v>44166</v>
      </c>
      <c r="BB29" s="498"/>
      <c r="BC29" s="498"/>
      <c r="BD29" s="499"/>
      <c r="BE29" s="500" t="s">
        <v>568</v>
      </c>
      <c r="BF29" s="501"/>
      <c r="BG29" s="104"/>
      <c r="BH29" s="502"/>
      <c r="BI29" s="503"/>
      <c r="BJ29" s="503"/>
      <c r="BK29" s="503"/>
      <c r="BL29" s="503"/>
      <c r="BM29" s="504"/>
      <c r="BN29" s="502"/>
      <c r="BO29" s="503"/>
      <c r="BP29" s="503"/>
      <c r="BQ29" s="503"/>
      <c r="BR29" s="503"/>
      <c r="BS29" s="504"/>
      <c r="BT29" s="502"/>
      <c r="BU29" s="503"/>
      <c r="BV29" s="503"/>
      <c r="BW29" s="503"/>
      <c r="BX29" s="503"/>
      <c r="BY29" s="504"/>
      <c r="BZ29" s="552"/>
      <c r="CA29" s="553"/>
      <c r="CB29" s="553"/>
      <c r="CC29" s="554"/>
      <c r="CD29" s="477"/>
      <c r="CE29" s="478"/>
      <c r="CF29" s="478"/>
      <c r="CG29" s="478"/>
      <c r="CH29" s="479"/>
      <c r="CI29" s="477"/>
      <c r="CJ29" s="478"/>
      <c r="CK29" s="478"/>
      <c r="CL29" s="478"/>
      <c r="CM29" s="479"/>
      <c r="CN29" s="477"/>
      <c r="CO29" s="478"/>
      <c r="CP29" s="478"/>
      <c r="CQ29" s="478"/>
      <c r="CR29" s="479"/>
      <c r="CS29" s="480"/>
      <c r="CT29" s="481"/>
      <c r="CU29" s="481"/>
      <c r="CV29" s="481"/>
      <c r="CW29" s="482"/>
    </row>
    <row r="30" spans="1:101" s="91" customFormat="1" ht="16.5" x14ac:dyDescent="0.15">
      <c r="A30" s="517"/>
      <c r="B30" s="102"/>
      <c r="C30" s="220" t="str">
        <f t="shared" ca="1" si="3"/>
        <v>@</v>
      </c>
      <c r="D30" s="521"/>
      <c r="E30" s="522"/>
      <c r="F30" s="522"/>
      <c r="G30" s="522"/>
      <c r="H30" s="522"/>
      <c r="I30" s="522"/>
      <c r="J30" s="522"/>
      <c r="K30" s="527"/>
      <c r="L30" s="528"/>
      <c r="M30" s="528"/>
      <c r="N30" s="528"/>
      <c r="O30" s="528"/>
      <c r="P30" s="528"/>
      <c r="Q30" s="528"/>
      <c r="R30" s="533"/>
      <c r="S30" s="534"/>
      <c r="T30" s="533"/>
      <c r="U30" s="534"/>
      <c r="V30" s="527"/>
      <c r="W30" s="528"/>
      <c r="X30" s="528"/>
      <c r="Y30" s="528"/>
      <c r="Z30" s="528"/>
      <c r="AA30" s="528"/>
      <c r="AB30" s="541"/>
      <c r="AC30" s="527"/>
      <c r="AD30" s="528"/>
      <c r="AE30" s="528"/>
      <c r="AF30" s="528"/>
      <c r="AG30" s="528"/>
      <c r="AH30" s="528"/>
      <c r="AI30" s="541"/>
      <c r="AJ30" s="527"/>
      <c r="AK30" s="528"/>
      <c r="AL30" s="528"/>
      <c r="AM30" s="528"/>
      <c r="AN30" s="528"/>
      <c r="AO30" s="528"/>
      <c r="AP30" s="541"/>
      <c r="AQ30" s="527"/>
      <c r="AR30" s="528"/>
      <c r="AS30" s="528"/>
      <c r="AT30" s="528"/>
      <c r="AU30" s="528"/>
      <c r="AV30" s="528"/>
      <c r="AW30" s="541"/>
      <c r="AX30" s="493"/>
      <c r="AY30" s="494"/>
      <c r="AZ30" s="105">
        <v>2</v>
      </c>
      <c r="BA30" s="483"/>
      <c r="BB30" s="484"/>
      <c r="BC30" s="484"/>
      <c r="BD30" s="485"/>
      <c r="BE30" s="486"/>
      <c r="BF30" s="487"/>
      <c r="BG30" s="106"/>
      <c r="BH30" s="488"/>
      <c r="BI30" s="489"/>
      <c r="BJ30" s="489"/>
      <c r="BK30" s="489"/>
      <c r="BL30" s="489"/>
      <c r="BM30" s="490"/>
      <c r="BN30" s="488"/>
      <c r="BO30" s="489"/>
      <c r="BP30" s="489"/>
      <c r="BQ30" s="489"/>
      <c r="BR30" s="489"/>
      <c r="BS30" s="490"/>
      <c r="BT30" s="488"/>
      <c r="BU30" s="489"/>
      <c r="BV30" s="489"/>
      <c r="BW30" s="489"/>
      <c r="BX30" s="489"/>
      <c r="BY30" s="490"/>
      <c r="BZ30" s="483"/>
      <c r="CA30" s="484"/>
      <c r="CB30" s="484"/>
      <c r="CC30" s="485"/>
      <c r="CD30" s="477"/>
      <c r="CE30" s="478"/>
      <c r="CF30" s="478"/>
      <c r="CG30" s="478"/>
      <c r="CH30" s="479"/>
      <c r="CI30" s="477"/>
      <c r="CJ30" s="478"/>
      <c r="CK30" s="478"/>
      <c r="CL30" s="478"/>
      <c r="CM30" s="479"/>
      <c r="CN30" s="477"/>
      <c r="CO30" s="478"/>
      <c r="CP30" s="478"/>
      <c r="CQ30" s="478"/>
      <c r="CR30" s="479"/>
      <c r="CS30" s="480"/>
      <c r="CT30" s="481"/>
      <c r="CU30" s="481"/>
      <c r="CV30" s="481"/>
      <c r="CW30" s="482"/>
    </row>
    <row r="31" spans="1:101" s="91" customFormat="1" ht="16.5" x14ac:dyDescent="0.15">
      <c r="A31" s="517"/>
      <c r="B31" s="102"/>
      <c r="C31" s="220" t="str">
        <f t="shared" ca="1" si="3"/>
        <v>@</v>
      </c>
      <c r="D31" s="521"/>
      <c r="E31" s="522"/>
      <c r="F31" s="522"/>
      <c r="G31" s="522"/>
      <c r="H31" s="522"/>
      <c r="I31" s="522"/>
      <c r="J31" s="522"/>
      <c r="K31" s="527"/>
      <c r="L31" s="528"/>
      <c r="M31" s="528"/>
      <c r="N31" s="528"/>
      <c r="O31" s="528"/>
      <c r="P31" s="528"/>
      <c r="Q31" s="528"/>
      <c r="R31" s="533"/>
      <c r="S31" s="534"/>
      <c r="T31" s="533"/>
      <c r="U31" s="534"/>
      <c r="V31" s="527"/>
      <c r="W31" s="528"/>
      <c r="X31" s="528"/>
      <c r="Y31" s="528"/>
      <c r="Z31" s="528"/>
      <c r="AA31" s="528"/>
      <c r="AB31" s="541"/>
      <c r="AC31" s="527"/>
      <c r="AD31" s="528"/>
      <c r="AE31" s="528"/>
      <c r="AF31" s="528"/>
      <c r="AG31" s="528"/>
      <c r="AH31" s="528"/>
      <c r="AI31" s="541"/>
      <c r="AJ31" s="527"/>
      <c r="AK31" s="528"/>
      <c r="AL31" s="528"/>
      <c r="AM31" s="528"/>
      <c r="AN31" s="528"/>
      <c r="AO31" s="528"/>
      <c r="AP31" s="541"/>
      <c r="AQ31" s="527"/>
      <c r="AR31" s="528"/>
      <c r="AS31" s="528"/>
      <c r="AT31" s="528"/>
      <c r="AU31" s="528"/>
      <c r="AV31" s="528"/>
      <c r="AW31" s="541"/>
      <c r="AX31" s="493"/>
      <c r="AY31" s="494"/>
      <c r="AZ31" s="105">
        <v>3</v>
      </c>
      <c r="BA31" s="483"/>
      <c r="BB31" s="484"/>
      <c r="BC31" s="484"/>
      <c r="BD31" s="485"/>
      <c r="BE31" s="486"/>
      <c r="BF31" s="487"/>
      <c r="BG31" s="106"/>
      <c r="BH31" s="488"/>
      <c r="BI31" s="489"/>
      <c r="BJ31" s="489"/>
      <c r="BK31" s="489"/>
      <c r="BL31" s="489"/>
      <c r="BM31" s="490"/>
      <c r="BN31" s="488"/>
      <c r="BO31" s="489"/>
      <c r="BP31" s="489"/>
      <c r="BQ31" s="489"/>
      <c r="BR31" s="489"/>
      <c r="BS31" s="490"/>
      <c r="BT31" s="488"/>
      <c r="BU31" s="489"/>
      <c r="BV31" s="489"/>
      <c r="BW31" s="489"/>
      <c r="BX31" s="489"/>
      <c r="BY31" s="490"/>
      <c r="BZ31" s="483"/>
      <c r="CA31" s="484"/>
      <c r="CB31" s="484"/>
      <c r="CC31" s="485"/>
      <c r="CD31" s="477"/>
      <c r="CE31" s="478"/>
      <c r="CF31" s="478"/>
      <c r="CG31" s="478"/>
      <c r="CH31" s="479"/>
      <c r="CI31" s="477"/>
      <c r="CJ31" s="478"/>
      <c r="CK31" s="478"/>
      <c r="CL31" s="478"/>
      <c r="CM31" s="479"/>
      <c r="CN31" s="477"/>
      <c r="CO31" s="478"/>
      <c r="CP31" s="478"/>
      <c r="CQ31" s="478"/>
      <c r="CR31" s="479"/>
      <c r="CS31" s="480"/>
      <c r="CT31" s="481"/>
      <c r="CU31" s="481"/>
      <c r="CV31" s="481"/>
      <c r="CW31" s="482"/>
    </row>
    <row r="32" spans="1:101" s="91" customFormat="1" ht="16.5" x14ac:dyDescent="0.15">
      <c r="A32" s="517"/>
      <c r="B32" s="102"/>
      <c r="C32" s="220" t="str">
        <f t="shared" ca="1" si="3"/>
        <v>@</v>
      </c>
      <c r="D32" s="521"/>
      <c r="E32" s="522"/>
      <c r="F32" s="522"/>
      <c r="G32" s="522"/>
      <c r="H32" s="522"/>
      <c r="I32" s="522"/>
      <c r="J32" s="522"/>
      <c r="K32" s="527"/>
      <c r="L32" s="528"/>
      <c r="M32" s="528"/>
      <c r="N32" s="528"/>
      <c r="O32" s="528"/>
      <c r="P32" s="528"/>
      <c r="Q32" s="528"/>
      <c r="R32" s="533"/>
      <c r="S32" s="534"/>
      <c r="T32" s="533"/>
      <c r="U32" s="534"/>
      <c r="V32" s="527"/>
      <c r="W32" s="528"/>
      <c r="X32" s="528"/>
      <c r="Y32" s="528"/>
      <c r="Z32" s="528"/>
      <c r="AA32" s="528"/>
      <c r="AB32" s="541"/>
      <c r="AC32" s="527"/>
      <c r="AD32" s="528"/>
      <c r="AE32" s="528"/>
      <c r="AF32" s="528"/>
      <c r="AG32" s="528"/>
      <c r="AH32" s="528"/>
      <c r="AI32" s="541"/>
      <c r="AJ32" s="527"/>
      <c r="AK32" s="528"/>
      <c r="AL32" s="528"/>
      <c r="AM32" s="528"/>
      <c r="AN32" s="528"/>
      <c r="AO32" s="528"/>
      <c r="AP32" s="541"/>
      <c r="AQ32" s="527"/>
      <c r="AR32" s="528"/>
      <c r="AS32" s="528"/>
      <c r="AT32" s="528"/>
      <c r="AU32" s="528"/>
      <c r="AV32" s="528"/>
      <c r="AW32" s="541"/>
      <c r="AX32" s="493"/>
      <c r="AY32" s="494"/>
      <c r="AZ32" s="105">
        <v>4</v>
      </c>
      <c r="BA32" s="483"/>
      <c r="BB32" s="484"/>
      <c r="BC32" s="484"/>
      <c r="BD32" s="485"/>
      <c r="BE32" s="486"/>
      <c r="BF32" s="487"/>
      <c r="BG32" s="106"/>
      <c r="BH32" s="488"/>
      <c r="BI32" s="489"/>
      <c r="BJ32" s="489"/>
      <c r="BK32" s="489"/>
      <c r="BL32" s="489"/>
      <c r="BM32" s="490"/>
      <c r="BN32" s="488"/>
      <c r="BO32" s="489"/>
      <c r="BP32" s="489"/>
      <c r="BQ32" s="489"/>
      <c r="BR32" s="489"/>
      <c r="BS32" s="490"/>
      <c r="BT32" s="488"/>
      <c r="BU32" s="489"/>
      <c r="BV32" s="489"/>
      <c r="BW32" s="489"/>
      <c r="BX32" s="489"/>
      <c r="BY32" s="490"/>
      <c r="BZ32" s="483"/>
      <c r="CA32" s="484"/>
      <c r="CB32" s="484"/>
      <c r="CC32" s="485"/>
      <c r="CD32" s="477"/>
      <c r="CE32" s="478"/>
      <c r="CF32" s="478"/>
      <c r="CG32" s="478"/>
      <c r="CH32" s="479"/>
      <c r="CI32" s="477"/>
      <c r="CJ32" s="478"/>
      <c r="CK32" s="478"/>
      <c r="CL32" s="478"/>
      <c r="CM32" s="479"/>
      <c r="CN32" s="477"/>
      <c r="CO32" s="478"/>
      <c r="CP32" s="478"/>
      <c r="CQ32" s="478"/>
      <c r="CR32" s="479"/>
      <c r="CS32" s="480"/>
      <c r="CT32" s="481"/>
      <c r="CU32" s="481"/>
      <c r="CV32" s="481"/>
      <c r="CW32" s="482"/>
    </row>
    <row r="33" spans="1:101" s="91" customFormat="1" ht="16.5" x14ac:dyDescent="0.15">
      <c r="A33" s="517"/>
      <c r="B33" s="102"/>
      <c r="C33" s="220" t="str">
        <f t="shared" ca="1" si="3"/>
        <v>@</v>
      </c>
      <c r="D33" s="521"/>
      <c r="E33" s="522"/>
      <c r="F33" s="522"/>
      <c r="G33" s="522"/>
      <c r="H33" s="522"/>
      <c r="I33" s="522"/>
      <c r="J33" s="522"/>
      <c r="K33" s="527"/>
      <c r="L33" s="528"/>
      <c r="M33" s="528"/>
      <c r="N33" s="528"/>
      <c r="O33" s="528"/>
      <c r="P33" s="528"/>
      <c r="Q33" s="528"/>
      <c r="R33" s="533"/>
      <c r="S33" s="534"/>
      <c r="T33" s="533"/>
      <c r="U33" s="534"/>
      <c r="V33" s="527"/>
      <c r="W33" s="528"/>
      <c r="X33" s="528"/>
      <c r="Y33" s="528"/>
      <c r="Z33" s="528"/>
      <c r="AA33" s="528"/>
      <c r="AB33" s="541"/>
      <c r="AC33" s="527"/>
      <c r="AD33" s="528"/>
      <c r="AE33" s="528"/>
      <c r="AF33" s="528"/>
      <c r="AG33" s="528"/>
      <c r="AH33" s="528"/>
      <c r="AI33" s="541"/>
      <c r="AJ33" s="527"/>
      <c r="AK33" s="528"/>
      <c r="AL33" s="528"/>
      <c r="AM33" s="528"/>
      <c r="AN33" s="528"/>
      <c r="AO33" s="528"/>
      <c r="AP33" s="541"/>
      <c r="AQ33" s="527"/>
      <c r="AR33" s="528"/>
      <c r="AS33" s="528"/>
      <c r="AT33" s="528"/>
      <c r="AU33" s="528"/>
      <c r="AV33" s="528"/>
      <c r="AW33" s="541"/>
      <c r="AX33" s="493"/>
      <c r="AY33" s="494"/>
      <c r="AZ33" s="105">
        <v>5</v>
      </c>
      <c r="BA33" s="276"/>
      <c r="BB33" s="277"/>
      <c r="BC33" s="277"/>
      <c r="BD33" s="278"/>
      <c r="BE33" s="279"/>
      <c r="BF33" s="280"/>
      <c r="BG33" s="106"/>
      <c r="BH33" s="281"/>
      <c r="BI33" s="282"/>
      <c r="BJ33" s="282"/>
      <c r="BK33" s="282"/>
      <c r="BL33" s="282"/>
      <c r="BM33" s="283"/>
      <c r="BN33" s="281"/>
      <c r="BO33" s="282"/>
      <c r="BP33" s="282"/>
      <c r="BQ33" s="282"/>
      <c r="BR33" s="282"/>
      <c r="BS33" s="283"/>
      <c r="BT33" s="281"/>
      <c r="BU33" s="282"/>
      <c r="BV33" s="282"/>
      <c r="BW33" s="282"/>
      <c r="BX33" s="282"/>
      <c r="BY33" s="283"/>
      <c r="BZ33" s="276"/>
      <c r="CA33" s="277"/>
      <c r="CB33" s="277"/>
      <c r="CC33" s="278"/>
      <c r="CD33" s="477"/>
      <c r="CE33" s="478"/>
      <c r="CF33" s="478"/>
      <c r="CG33" s="478"/>
      <c r="CH33" s="479"/>
      <c r="CI33" s="477"/>
      <c r="CJ33" s="478"/>
      <c r="CK33" s="478"/>
      <c r="CL33" s="478"/>
      <c r="CM33" s="479"/>
      <c r="CN33" s="477"/>
      <c r="CO33" s="478"/>
      <c r="CP33" s="478"/>
      <c r="CQ33" s="478"/>
      <c r="CR33" s="479"/>
      <c r="CS33" s="480"/>
      <c r="CT33" s="481"/>
      <c r="CU33" s="481"/>
      <c r="CV33" s="481"/>
      <c r="CW33" s="482"/>
    </row>
    <row r="34" spans="1:101" s="91" customFormat="1" ht="16.5" x14ac:dyDescent="0.15">
      <c r="A34" s="517"/>
      <c r="B34" s="102"/>
      <c r="C34" s="220" t="str">
        <f t="shared" ca="1" si="3"/>
        <v>@</v>
      </c>
      <c r="D34" s="521"/>
      <c r="E34" s="522"/>
      <c r="F34" s="522"/>
      <c r="G34" s="522"/>
      <c r="H34" s="522"/>
      <c r="I34" s="522"/>
      <c r="J34" s="522"/>
      <c r="K34" s="527"/>
      <c r="L34" s="528"/>
      <c r="M34" s="528"/>
      <c r="N34" s="528"/>
      <c r="O34" s="528"/>
      <c r="P34" s="528"/>
      <c r="Q34" s="528"/>
      <c r="R34" s="533"/>
      <c r="S34" s="534"/>
      <c r="T34" s="533"/>
      <c r="U34" s="534"/>
      <c r="V34" s="529"/>
      <c r="W34" s="539"/>
      <c r="X34" s="539"/>
      <c r="Y34" s="539"/>
      <c r="Z34" s="539"/>
      <c r="AA34" s="539"/>
      <c r="AB34" s="542"/>
      <c r="AC34" s="529"/>
      <c r="AD34" s="539"/>
      <c r="AE34" s="539"/>
      <c r="AF34" s="539"/>
      <c r="AG34" s="539"/>
      <c r="AH34" s="539"/>
      <c r="AI34" s="542"/>
      <c r="AJ34" s="529"/>
      <c r="AK34" s="539"/>
      <c r="AL34" s="539"/>
      <c r="AM34" s="539"/>
      <c r="AN34" s="539"/>
      <c r="AO34" s="539"/>
      <c r="AP34" s="542"/>
      <c r="AQ34" s="529"/>
      <c r="AR34" s="539"/>
      <c r="AS34" s="539"/>
      <c r="AT34" s="539"/>
      <c r="AU34" s="539"/>
      <c r="AV34" s="539"/>
      <c r="AW34" s="542"/>
      <c r="AX34" s="495"/>
      <c r="AY34" s="653"/>
      <c r="AZ34" s="105">
        <v>6</v>
      </c>
      <c r="BA34" s="276"/>
      <c r="BB34" s="277"/>
      <c r="BC34" s="277"/>
      <c r="BD34" s="278"/>
      <c r="BE34" s="279"/>
      <c r="BF34" s="280"/>
      <c r="BG34" s="106"/>
      <c r="BH34" s="281"/>
      <c r="BI34" s="282"/>
      <c r="BJ34" s="282"/>
      <c r="BK34" s="282"/>
      <c r="BL34" s="282"/>
      <c r="BM34" s="283"/>
      <c r="BN34" s="281"/>
      <c r="BO34" s="282"/>
      <c r="BP34" s="282"/>
      <c r="BQ34" s="282"/>
      <c r="BR34" s="282"/>
      <c r="BS34" s="283"/>
      <c r="BT34" s="281"/>
      <c r="BU34" s="282"/>
      <c r="BV34" s="282"/>
      <c r="BW34" s="282"/>
      <c r="BX34" s="282"/>
      <c r="BY34" s="283"/>
      <c r="BZ34" s="276"/>
      <c r="CA34" s="277"/>
      <c r="CB34" s="277"/>
      <c r="CC34" s="278"/>
      <c r="CD34" s="477"/>
      <c r="CE34" s="478"/>
      <c r="CF34" s="478"/>
      <c r="CG34" s="478"/>
      <c r="CH34" s="479"/>
      <c r="CI34" s="477"/>
      <c r="CJ34" s="478"/>
      <c r="CK34" s="478"/>
      <c r="CL34" s="478"/>
      <c r="CM34" s="479"/>
      <c r="CN34" s="477"/>
      <c r="CO34" s="478"/>
      <c r="CP34" s="478"/>
      <c r="CQ34" s="478"/>
      <c r="CR34" s="479"/>
      <c r="CS34" s="480"/>
      <c r="CT34" s="481"/>
      <c r="CU34" s="481"/>
      <c r="CV34" s="481"/>
      <c r="CW34" s="482"/>
    </row>
    <row r="35" spans="1:101" s="91" customFormat="1" ht="16.5" customHeight="1" x14ac:dyDescent="0.15">
      <c r="A35" s="516">
        <v>5</v>
      </c>
      <c r="B35" s="102"/>
      <c r="C35" s="222" t="str">
        <f t="shared" ca="1" si="3"/>
        <v>@</v>
      </c>
      <c r="D35" s="519" t="s">
        <v>775</v>
      </c>
      <c r="E35" s="649"/>
      <c r="F35" s="649"/>
      <c r="G35" s="649"/>
      <c r="H35" s="649"/>
      <c r="I35" s="649"/>
      <c r="J35" s="649"/>
      <c r="K35" s="525" t="s">
        <v>776</v>
      </c>
      <c r="L35" s="526"/>
      <c r="M35" s="526"/>
      <c r="N35" s="526"/>
      <c r="O35" s="526"/>
      <c r="P35" s="526"/>
      <c r="Q35" s="526"/>
      <c r="R35" s="531"/>
      <c r="S35" s="532"/>
      <c r="T35" s="531" t="s">
        <v>284</v>
      </c>
      <c r="U35" s="532"/>
      <c r="V35" s="525" t="s">
        <v>779</v>
      </c>
      <c r="W35" s="538"/>
      <c r="X35" s="538"/>
      <c r="Y35" s="538"/>
      <c r="Z35" s="538"/>
      <c r="AA35" s="538"/>
      <c r="AB35" s="540"/>
      <c r="AC35" s="525" t="s">
        <v>780</v>
      </c>
      <c r="AD35" s="538"/>
      <c r="AE35" s="538"/>
      <c r="AF35" s="538"/>
      <c r="AG35" s="538"/>
      <c r="AH35" s="538"/>
      <c r="AI35" s="540"/>
      <c r="AJ35" s="525"/>
      <c r="AK35" s="538"/>
      <c r="AL35" s="538"/>
      <c r="AM35" s="538"/>
      <c r="AN35" s="538"/>
      <c r="AO35" s="538"/>
      <c r="AP35" s="540"/>
      <c r="AQ35" s="525" t="s">
        <v>801</v>
      </c>
      <c r="AR35" s="538"/>
      <c r="AS35" s="538"/>
      <c r="AT35" s="538"/>
      <c r="AU35" s="538"/>
      <c r="AV35" s="538"/>
      <c r="AW35" s="540"/>
      <c r="AX35" s="491" t="s">
        <v>797</v>
      </c>
      <c r="AY35" s="492"/>
      <c r="AZ35" s="103">
        <v>1</v>
      </c>
      <c r="BA35" s="497">
        <v>44166</v>
      </c>
      <c r="BB35" s="498"/>
      <c r="BC35" s="498"/>
      <c r="BD35" s="499"/>
      <c r="BE35" s="500" t="s">
        <v>568</v>
      </c>
      <c r="BF35" s="501"/>
      <c r="BG35" s="110"/>
      <c r="BH35" s="502"/>
      <c r="BI35" s="503"/>
      <c r="BJ35" s="503"/>
      <c r="BK35" s="503"/>
      <c r="BL35" s="503"/>
      <c r="BM35" s="504"/>
      <c r="BN35" s="502"/>
      <c r="BO35" s="503"/>
      <c r="BP35" s="503"/>
      <c r="BQ35" s="503"/>
      <c r="BR35" s="503"/>
      <c r="BS35" s="504"/>
      <c r="BT35" s="502"/>
      <c r="BU35" s="503"/>
      <c r="BV35" s="503"/>
      <c r="BW35" s="503"/>
      <c r="BX35" s="503"/>
      <c r="BY35" s="504"/>
      <c r="BZ35" s="497"/>
      <c r="CA35" s="498"/>
      <c r="CB35" s="498"/>
      <c r="CC35" s="499"/>
      <c r="CD35" s="477"/>
      <c r="CE35" s="478"/>
      <c r="CF35" s="478"/>
      <c r="CG35" s="478"/>
      <c r="CH35" s="479"/>
      <c r="CI35" s="477"/>
      <c r="CJ35" s="478"/>
      <c r="CK35" s="478"/>
      <c r="CL35" s="478"/>
      <c r="CM35" s="479"/>
      <c r="CN35" s="477"/>
      <c r="CO35" s="478"/>
      <c r="CP35" s="478"/>
      <c r="CQ35" s="478"/>
      <c r="CR35" s="479"/>
      <c r="CS35" s="480"/>
      <c r="CT35" s="481"/>
      <c r="CU35" s="481"/>
      <c r="CV35" s="481"/>
      <c r="CW35" s="482"/>
    </row>
    <row r="36" spans="1:101" s="91" customFormat="1" ht="16.5" x14ac:dyDescent="0.15">
      <c r="A36" s="517"/>
      <c r="B36" s="102"/>
      <c r="C36" s="220" t="str">
        <f t="shared" ca="1" si="3"/>
        <v>@</v>
      </c>
      <c r="D36" s="521"/>
      <c r="E36" s="522"/>
      <c r="F36" s="522"/>
      <c r="G36" s="522"/>
      <c r="H36" s="522"/>
      <c r="I36" s="522"/>
      <c r="J36" s="522"/>
      <c r="K36" s="527"/>
      <c r="L36" s="528"/>
      <c r="M36" s="528"/>
      <c r="N36" s="528"/>
      <c r="O36" s="528"/>
      <c r="P36" s="528"/>
      <c r="Q36" s="528"/>
      <c r="R36" s="533"/>
      <c r="S36" s="534"/>
      <c r="T36" s="533"/>
      <c r="U36" s="534"/>
      <c r="V36" s="527"/>
      <c r="W36" s="528"/>
      <c r="X36" s="528"/>
      <c r="Y36" s="528"/>
      <c r="Z36" s="528"/>
      <c r="AA36" s="528"/>
      <c r="AB36" s="541"/>
      <c r="AC36" s="527"/>
      <c r="AD36" s="528"/>
      <c r="AE36" s="528"/>
      <c r="AF36" s="528"/>
      <c r="AG36" s="528"/>
      <c r="AH36" s="528"/>
      <c r="AI36" s="541"/>
      <c r="AJ36" s="527"/>
      <c r="AK36" s="528"/>
      <c r="AL36" s="528"/>
      <c r="AM36" s="528"/>
      <c r="AN36" s="528"/>
      <c r="AO36" s="528"/>
      <c r="AP36" s="541"/>
      <c r="AQ36" s="527"/>
      <c r="AR36" s="528"/>
      <c r="AS36" s="528"/>
      <c r="AT36" s="528"/>
      <c r="AU36" s="528"/>
      <c r="AV36" s="528"/>
      <c r="AW36" s="541"/>
      <c r="AX36" s="493"/>
      <c r="AY36" s="494"/>
      <c r="AZ36" s="105">
        <v>2</v>
      </c>
      <c r="BA36" s="483"/>
      <c r="BB36" s="484"/>
      <c r="BC36" s="484"/>
      <c r="BD36" s="485"/>
      <c r="BE36" s="486"/>
      <c r="BF36" s="487"/>
      <c r="BG36" s="106"/>
      <c r="BH36" s="488"/>
      <c r="BI36" s="489"/>
      <c r="BJ36" s="489"/>
      <c r="BK36" s="489"/>
      <c r="BL36" s="489"/>
      <c r="BM36" s="490"/>
      <c r="BN36" s="488"/>
      <c r="BO36" s="489"/>
      <c r="BP36" s="489"/>
      <c r="BQ36" s="489"/>
      <c r="BR36" s="489"/>
      <c r="BS36" s="490"/>
      <c r="BT36" s="488"/>
      <c r="BU36" s="489"/>
      <c r="BV36" s="489"/>
      <c r="BW36" s="489"/>
      <c r="BX36" s="489"/>
      <c r="BY36" s="490"/>
      <c r="BZ36" s="483"/>
      <c r="CA36" s="484"/>
      <c r="CB36" s="484"/>
      <c r="CC36" s="485"/>
      <c r="CD36" s="477"/>
      <c r="CE36" s="478"/>
      <c r="CF36" s="478"/>
      <c r="CG36" s="478"/>
      <c r="CH36" s="479"/>
      <c r="CI36" s="477"/>
      <c r="CJ36" s="478"/>
      <c r="CK36" s="478"/>
      <c r="CL36" s="478"/>
      <c r="CM36" s="479"/>
      <c r="CN36" s="477"/>
      <c r="CO36" s="478"/>
      <c r="CP36" s="478"/>
      <c r="CQ36" s="478"/>
      <c r="CR36" s="479"/>
      <c r="CS36" s="480"/>
      <c r="CT36" s="481"/>
      <c r="CU36" s="481"/>
      <c r="CV36" s="481"/>
      <c r="CW36" s="482"/>
    </row>
    <row r="37" spans="1:101" s="91" customFormat="1" ht="16.5" x14ac:dyDescent="0.15">
      <c r="A37" s="517"/>
      <c r="B37" s="102"/>
      <c r="C37" s="220" t="str">
        <f t="shared" ca="1" si="3"/>
        <v>@</v>
      </c>
      <c r="D37" s="521"/>
      <c r="E37" s="522"/>
      <c r="F37" s="522"/>
      <c r="G37" s="522"/>
      <c r="H37" s="522"/>
      <c r="I37" s="522"/>
      <c r="J37" s="522"/>
      <c r="K37" s="527"/>
      <c r="L37" s="528"/>
      <c r="M37" s="528"/>
      <c r="N37" s="528"/>
      <c r="O37" s="528"/>
      <c r="P37" s="528"/>
      <c r="Q37" s="528"/>
      <c r="R37" s="533"/>
      <c r="S37" s="534"/>
      <c r="T37" s="533"/>
      <c r="U37" s="534"/>
      <c r="V37" s="527"/>
      <c r="W37" s="528"/>
      <c r="X37" s="528"/>
      <c r="Y37" s="528"/>
      <c r="Z37" s="528"/>
      <c r="AA37" s="528"/>
      <c r="AB37" s="541"/>
      <c r="AC37" s="527"/>
      <c r="AD37" s="528"/>
      <c r="AE37" s="528"/>
      <c r="AF37" s="528"/>
      <c r="AG37" s="528"/>
      <c r="AH37" s="528"/>
      <c r="AI37" s="541"/>
      <c r="AJ37" s="527"/>
      <c r="AK37" s="528"/>
      <c r="AL37" s="528"/>
      <c r="AM37" s="528"/>
      <c r="AN37" s="528"/>
      <c r="AO37" s="528"/>
      <c r="AP37" s="541"/>
      <c r="AQ37" s="527"/>
      <c r="AR37" s="528"/>
      <c r="AS37" s="528"/>
      <c r="AT37" s="528"/>
      <c r="AU37" s="528"/>
      <c r="AV37" s="528"/>
      <c r="AW37" s="541"/>
      <c r="AX37" s="493"/>
      <c r="AY37" s="494"/>
      <c r="AZ37" s="105">
        <v>3</v>
      </c>
      <c r="BA37" s="483"/>
      <c r="BB37" s="484"/>
      <c r="BC37" s="484"/>
      <c r="BD37" s="485"/>
      <c r="BE37" s="486"/>
      <c r="BF37" s="487"/>
      <c r="BG37" s="106"/>
      <c r="BH37" s="488"/>
      <c r="BI37" s="489"/>
      <c r="BJ37" s="489"/>
      <c r="BK37" s="489"/>
      <c r="BL37" s="489"/>
      <c r="BM37" s="490"/>
      <c r="BN37" s="488"/>
      <c r="BO37" s="489"/>
      <c r="BP37" s="489"/>
      <c r="BQ37" s="489"/>
      <c r="BR37" s="489"/>
      <c r="BS37" s="490"/>
      <c r="BT37" s="488"/>
      <c r="BU37" s="489"/>
      <c r="BV37" s="489"/>
      <c r="BW37" s="489"/>
      <c r="BX37" s="489"/>
      <c r="BY37" s="490"/>
      <c r="BZ37" s="483"/>
      <c r="CA37" s="484"/>
      <c r="CB37" s="484"/>
      <c r="CC37" s="485"/>
      <c r="CD37" s="477"/>
      <c r="CE37" s="478"/>
      <c r="CF37" s="478"/>
      <c r="CG37" s="478"/>
      <c r="CH37" s="479"/>
      <c r="CI37" s="477"/>
      <c r="CJ37" s="478"/>
      <c r="CK37" s="478"/>
      <c r="CL37" s="478"/>
      <c r="CM37" s="479"/>
      <c r="CN37" s="477"/>
      <c r="CO37" s="478"/>
      <c r="CP37" s="478"/>
      <c r="CQ37" s="478"/>
      <c r="CR37" s="479"/>
      <c r="CS37" s="480"/>
      <c r="CT37" s="481"/>
      <c r="CU37" s="481"/>
      <c r="CV37" s="481"/>
      <c r="CW37" s="482"/>
    </row>
    <row r="38" spans="1:101" s="91" customFormat="1" ht="16.5" x14ac:dyDescent="0.15">
      <c r="A38" s="517"/>
      <c r="B38" s="102"/>
      <c r="C38" s="220" t="str">
        <f t="shared" ca="1" si="3"/>
        <v>@</v>
      </c>
      <c r="D38" s="521"/>
      <c r="E38" s="522"/>
      <c r="F38" s="522"/>
      <c r="G38" s="522"/>
      <c r="H38" s="522"/>
      <c r="I38" s="522"/>
      <c r="J38" s="522"/>
      <c r="K38" s="527"/>
      <c r="L38" s="528"/>
      <c r="M38" s="528"/>
      <c r="N38" s="528"/>
      <c r="O38" s="528"/>
      <c r="P38" s="528"/>
      <c r="Q38" s="528"/>
      <c r="R38" s="533"/>
      <c r="S38" s="534"/>
      <c r="T38" s="533"/>
      <c r="U38" s="534"/>
      <c r="V38" s="527"/>
      <c r="W38" s="528"/>
      <c r="X38" s="528"/>
      <c r="Y38" s="528"/>
      <c r="Z38" s="528"/>
      <c r="AA38" s="528"/>
      <c r="AB38" s="541"/>
      <c r="AC38" s="527"/>
      <c r="AD38" s="528"/>
      <c r="AE38" s="528"/>
      <c r="AF38" s="528"/>
      <c r="AG38" s="528"/>
      <c r="AH38" s="528"/>
      <c r="AI38" s="541"/>
      <c r="AJ38" s="527"/>
      <c r="AK38" s="528"/>
      <c r="AL38" s="528"/>
      <c r="AM38" s="528"/>
      <c r="AN38" s="528"/>
      <c r="AO38" s="528"/>
      <c r="AP38" s="541"/>
      <c r="AQ38" s="527"/>
      <c r="AR38" s="528"/>
      <c r="AS38" s="528"/>
      <c r="AT38" s="528"/>
      <c r="AU38" s="528"/>
      <c r="AV38" s="528"/>
      <c r="AW38" s="541"/>
      <c r="AX38" s="493"/>
      <c r="AY38" s="494"/>
      <c r="AZ38" s="105">
        <v>4</v>
      </c>
      <c r="BA38" s="483"/>
      <c r="BB38" s="484"/>
      <c r="BC38" s="484"/>
      <c r="BD38" s="485"/>
      <c r="BE38" s="486"/>
      <c r="BF38" s="487"/>
      <c r="BG38" s="106"/>
      <c r="BH38" s="488"/>
      <c r="BI38" s="489"/>
      <c r="BJ38" s="489"/>
      <c r="BK38" s="489"/>
      <c r="BL38" s="489"/>
      <c r="BM38" s="490"/>
      <c r="BN38" s="488"/>
      <c r="BO38" s="489"/>
      <c r="BP38" s="489"/>
      <c r="BQ38" s="489"/>
      <c r="BR38" s="489"/>
      <c r="BS38" s="490"/>
      <c r="BT38" s="488"/>
      <c r="BU38" s="489"/>
      <c r="BV38" s="489"/>
      <c r="BW38" s="489"/>
      <c r="BX38" s="489"/>
      <c r="BY38" s="490"/>
      <c r="BZ38" s="483"/>
      <c r="CA38" s="484"/>
      <c r="CB38" s="484"/>
      <c r="CC38" s="485"/>
      <c r="CD38" s="477"/>
      <c r="CE38" s="478"/>
      <c r="CF38" s="478"/>
      <c r="CG38" s="478"/>
      <c r="CH38" s="479"/>
      <c r="CI38" s="477"/>
      <c r="CJ38" s="478"/>
      <c r="CK38" s="478"/>
      <c r="CL38" s="478"/>
      <c r="CM38" s="479"/>
      <c r="CN38" s="477"/>
      <c r="CO38" s="478"/>
      <c r="CP38" s="478"/>
      <c r="CQ38" s="478"/>
      <c r="CR38" s="479"/>
      <c r="CS38" s="480"/>
      <c r="CT38" s="481"/>
      <c r="CU38" s="481"/>
      <c r="CV38" s="481"/>
      <c r="CW38" s="482"/>
    </row>
    <row r="39" spans="1:101" s="91" customFormat="1" ht="16.5" x14ac:dyDescent="0.15">
      <c r="A39" s="517"/>
      <c r="B39" s="102"/>
      <c r="C39" s="220" t="str">
        <f t="shared" ca="1" si="3"/>
        <v>@</v>
      </c>
      <c r="D39" s="521"/>
      <c r="E39" s="522"/>
      <c r="F39" s="522"/>
      <c r="G39" s="522"/>
      <c r="H39" s="522"/>
      <c r="I39" s="522"/>
      <c r="J39" s="522"/>
      <c r="K39" s="527"/>
      <c r="L39" s="528"/>
      <c r="M39" s="528"/>
      <c r="N39" s="528"/>
      <c r="O39" s="528"/>
      <c r="P39" s="528"/>
      <c r="Q39" s="528"/>
      <c r="R39" s="533"/>
      <c r="S39" s="534"/>
      <c r="T39" s="533"/>
      <c r="U39" s="534"/>
      <c r="V39" s="527"/>
      <c r="W39" s="528"/>
      <c r="X39" s="528"/>
      <c r="Y39" s="528"/>
      <c r="Z39" s="528"/>
      <c r="AA39" s="528"/>
      <c r="AB39" s="541"/>
      <c r="AC39" s="527"/>
      <c r="AD39" s="528"/>
      <c r="AE39" s="528"/>
      <c r="AF39" s="528"/>
      <c r="AG39" s="528"/>
      <c r="AH39" s="528"/>
      <c r="AI39" s="541"/>
      <c r="AJ39" s="527"/>
      <c r="AK39" s="528"/>
      <c r="AL39" s="528"/>
      <c r="AM39" s="528"/>
      <c r="AN39" s="528"/>
      <c r="AO39" s="528"/>
      <c r="AP39" s="541"/>
      <c r="AQ39" s="527"/>
      <c r="AR39" s="528"/>
      <c r="AS39" s="528"/>
      <c r="AT39" s="528"/>
      <c r="AU39" s="528"/>
      <c r="AV39" s="528"/>
      <c r="AW39" s="541"/>
      <c r="AX39" s="493"/>
      <c r="AY39" s="494"/>
      <c r="AZ39" s="105">
        <v>5</v>
      </c>
      <c r="BA39" s="276"/>
      <c r="BB39" s="277"/>
      <c r="BC39" s="277"/>
      <c r="BD39" s="278"/>
      <c r="BE39" s="279"/>
      <c r="BF39" s="280"/>
      <c r="BG39" s="106"/>
      <c r="BH39" s="281"/>
      <c r="BI39" s="282"/>
      <c r="BJ39" s="282"/>
      <c r="BK39" s="282"/>
      <c r="BL39" s="282"/>
      <c r="BM39" s="283"/>
      <c r="BN39" s="281"/>
      <c r="BO39" s="282"/>
      <c r="BP39" s="282"/>
      <c r="BQ39" s="282"/>
      <c r="BR39" s="282"/>
      <c r="BS39" s="283"/>
      <c r="BT39" s="281"/>
      <c r="BU39" s="282"/>
      <c r="BV39" s="282"/>
      <c r="BW39" s="282"/>
      <c r="BX39" s="282"/>
      <c r="BY39" s="283"/>
      <c r="BZ39" s="276"/>
      <c r="CA39" s="277"/>
      <c r="CB39" s="277"/>
      <c r="CC39" s="278"/>
      <c r="CD39" s="477"/>
      <c r="CE39" s="478"/>
      <c r="CF39" s="478"/>
      <c r="CG39" s="478"/>
      <c r="CH39" s="479"/>
      <c r="CI39" s="477"/>
      <c r="CJ39" s="478"/>
      <c r="CK39" s="478"/>
      <c r="CL39" s="478"/>
      <c r="CM39" s="479"/>
      <c r="CN39" s="477"/>
      <c r="CO39" s="478"/>
      <c r="CP39" s="478"/>
      <c r="CQ39" s="478"/>
      <c r="CR39" s="479"/>
      <c r="CS39" s="480"/>
      <c r="CT39" s="481"/>
      <c r="CU39" s="481"/>
      <c r="CV39" s="481"/>
      <c r="CW39" s="482"/>
    </row>
    <row r="40" spans="1:101" s="91" customFormat="1" ht="16.5" x14ac:dyDescent="0.15">
      <c r="A40" s="517"/>
      <c r="B40" s="102"/>
      <c r="C40" s="220" t="str">
        <f t="shared" ca="1" si="3"/>
        <v>@</v>
      </c>
      <c r="D40" s="521"/>
      <c r="E40" s="522"/>
      <c r="F40" s="522"/>
      <c r="G40" s="522"/>
      <c r="H40" s="522"/>
      <c r="I40" s="522"/>
      <c r="J40" s="522"/>
      <c r="K40" s="527"/>
      <c r="L40" s="528"/>
      <c r="M40" s="528"/>
      <c r="N40" s="528"/>
      <c r="O40" s="528"/>
      <c r="P40" s="528"/>
      <c r="Q40" s="528"/>
      <c r="R40" s="533"/>
      <c r="S40" s="534"/>
      <c r="T40" s="533"/>
      <c r="U40" s="534"/>
      <c r="V40" s="529"/>
      <c r="W40" s="539"/>
      <c r="X40" s="539"/>
      <c r="Y40" s="539"/>
      <c r="Z40" s="539"/>
      <c r="AA40" s="539"/>
      <c r="AB40" s="542"/>
      <c r="AC40" s="529"/>
      <c r="AD40" s="539"/>
      <c r="AE40" s="539"/>
      <c r="AF40" s="539"/>
      <c r="AG40" s="539"/>
      <c r="AH40" s="539"/>
      <c r="AI40" s="542"/>
      <c r="AJ40" s="529"/>
      <c r="AK40" s="539"/>
      <c r="AL40" s="539"/>
      <c r="AM40" s="539"/>
      <c r="AN40" s="539"/>
      <c r="AO40" s="539"/>
      <c r="AP40" s="542"/>
      <c r="AQ40" s="529"/>
      <c r="AR40" s="539"/>
      <c r="AS40" s="539"/>
      <c r="AT40" s="539"/>
      <c r="AU40" s="539"/>
      <c r="AV40" s="539"/>
      <c r="AW40" s="542"/>
      <c r="AX40" s="495"/>
      <c r="AY40" s="653"/>
      <c r="AZ40" s="105">
        <v>6</v>
      </c>
      <c r="BA40" s="276"/>
      <c r="BB40" s="277"/>
      <c r="BC40" s="277"/>
      <c r="BD40" s="278"/>
      <c r="BE40" s="279"/>
      <c r="BF40" s="280"/>
      <c r="BG40" s="106"/>
      <c r="BH40" s="281"/>
      <c r="BI40" s="282"/>
      <c r="BJ40" s="282"/>
      <c r="BK40" s="282"/>
      <c r="BL40" s="282"/>
      <c r="BM40" s="283"/>
      <c r="BN40" s="281"/>
      <c r="BO40" s="282"/>
      <c r="BP40" s="282"/>
      <c r="BQ40" s="282"/>
      <c r="BR40" s="282"/>
      <c r="BS40" s="283"/>
      <c r="BT40" s="281"/>
      <c r="BU40" s="282"/>
      <c r="BV40" s="282"/>
      <c r="BW40" s="282"/>
      <c r="BX40" s="282"/>
      <c r="BY40" s="283"/>
      <c r="BZ40" s="276"/>
      <c r="CA40" s="277"/>
      <c r="CB40" s="277"/>
      <c r="CC40" s="278"/>
      <c r="CD40" s="477"/>
      <c r="CE40" s="478"/>
      <c r="CF40" s="478"/>
      <c r="CG40" s="478"/>
      <c r="CH40" s="479"/>
      <c r="CI40" s="477"/>
      <c r="CJ40" s="478"/>
      <c r="CK40" s="478"/>
      <c r="CL40" s="478"/>
      <c r="CM40" s="479"/>
      <c r="CN40" s="477"/>
      <c r="CO40" s="478"/>
      <c r="CP40" s="478"/>
      <c r="CQ40" s="478"/>
      <c r="CR40" s="479"/>
      <c r="CS40" s="480"/>
      <c r="CT40" s="481"/>
      <c r="CU40" s="481"/>
      <c r="CV40" s="481"/>
      <c r="CW40" s="482"/>
    </row>
    <row r="41" spans="1:101" s="91" customFormat="1" ht="16.5" customHeight="1" x14ac:dyDescent="0.15">
      <c r="A41" s="516">
        <v>6</v>
      </c>
      <c r="B41" s="102"/>
      <c r="C41" s="216" t="str">
        <f t="shared" ca="1" si="3"/>
        <v>@</v>
      </c>
      <c r="D41" s="519" t="s">
        <v>781</v>
      </c>
      <c r="E41" s="520"/>
      <c r="F41" s="520"/>
      <c r="G41" s="520"/>
      <c r="H41" s="520"/>
      <c r="I41" s="520"/>
      <c r="J41" s="520"/>
      <c r="K41" s="525" t="s">
        <v>782</v>
      </c>
      <c r="L41" s="526"/>
      <c r="M41" s="526"/>
      <c r="N41" s="526"/>
      <c r="O41" s="526"/>
      <c r="P41" s="526"/>
      <c r="Q41" s="526"/>
      <c r="R41" s="531"/>
      <c r="S41" s="532"/>
      <c r="T41" s="531" t="s">
        <v>284</v>
      </c>
      <c r="U41" s="532"/>
      <c r="V41" s="525" t="s">
        <v>783</v>
      </c>
      <c r="W41" s="526"/>
      <c r="X41" s="526"/>
      <c r="Y41" s="526"/>
      <c r="Z41" s="526"/>
      <c r="AA41" s="526"/>
      <c r="AB41" s="526"/>
      <c r="AC41" s="525" t="s">
        <v>784</v>
      </c>
      <c r="AD41" s="526"/>
      <c r="AE41" s="526"/>
      <c r="AF41" s="526"/>
      <c r="AG41" s="526"/>
      <c r="AH41" s="526"/>
      <c r="AI41" s="526"/>
      <c r="AJ41" s="525"/>
      <c r="AK41" s="538"/>
      <c r="AL41" s="538"/>
      <c r="AM41" s="538"/>
      <c r="AN41" s="538"/>
      <c r="AO41" s="538"/>
      <c r="AP41" s="540"/>
      <c r="AQ41" s="525" t="s">
        <v>802</v>
      </c>
      <c r="AR41" s="538"/>
      <c r="AS41" s="538"/>
      <c r="AT41" s="538"/>
      <c r="AU41" s="538"/>
      <c r="AV41" s="538"/>
      <c r="AW41" s="540"/>
      <c r="AX41" s="491" t="s">
        <v>797</v>
      </c>
      <c r="AY41" s="492"/>
      <c r="AZ41" s="103">
        <v>1</v>
      </c>
      <c r="BA41" s="497">
        <v>44166</v>
      </c>
      <c r="BB41" s="498"/>
      <c r="BC41" s="498"/>
      <c r="BD41" s="499"/>
      <c r="BE41" s="500" t="s">
        <v>568</v>
      </c>
      <c r="BF41" s="501"/>
      <c r="BG41" s="104"/>
      <c r="BH41" s="502"/>
      <c r="BI41" s="503"/>
      <c r="BJ41" s="503"/>
      <c r="BK41" s="503"/>
      <c r="BL41" s="503"/>
      <c r="BM41" s="504"/>
      <c r="BN41" s="502"/>
      <c r="BO41" s="503"/>
      <c r="BP41" s="503"/>
      <c r="BQ41" s="503"/>
      <c r="BR41" s="503"/>
      <c r="BS41" s="504"/>
      <c r="BT41" s="502"/>
      <c r="BU41" s="503"/>
      <c r="BV41" s="503"/>
      <c r="BW41" s="503"/>
      <c r="BX41" s="503"/>
      <c r="BY41" s="504"/>
      <c r="BZ41" s="552"/>
      <c r="CA41" s="553"/>
      <c r="CB41" s="553"/>
      <c r="CC41" s="554"/>
      <c r="CD41" s="477"/>
      <c r="CE41" s="478"/>
      <c r="CF41" s="478"/>
      <c r="CG41" s="478"/>
      <c r="CH41" s="479"/>
      <c r="CI41" s="477"/>
      <c r="CJ41" s="478"/>
      <c r="CK41" s="478"/>
      <c r="CL41" s="478"/>
      <c r="CM41" s="479"/>
      <c r="CN41" s="477"/>
      <c r="CO41" s="478"/>
      <c r="CP41" s="478"/>
      <c r="CQ41" s="478"/>
      <c r="CR41" s="479"/>
      <c r="CS41" s="480"/>
      <c r="CT41" s="481"/>
      <c r="CU41" s="481"/>
      <c r="CV41" s="481"/>
      <c r="CW41" s="482"/>
    </row>
    <row r="42" spans="1:101" s="91" customFormat="1" ht="16.5" x14ac:dyDescent="0.15">
      <c r="A42" s="517"/>
      <c r="B42" s="102"/>
      <c r="C42" s="220" t="str">
        <f t="shared" ca="1" si="3"/>
        <v>@</v>
      </c>
      <c r="D42" s="521"/>
      <c r="E42" s="522"/>
      <c r="F42" s="522"/>
      <c r="G42" s="522"/>
      <c r="H42" s="522"/>
      <c r="I42" s="522"/>
      <c r="J42" s="522"/>
      <c r="K42" s="527"/>
      <c r="L42" s="528"/>
      <c r="M42" s="528"/>
      <c r="N42" s="528"/>
      <c r="O42" s="528"/>
      <c r="P42" s="528"/>
      <c r="Q42" s="528"/>
      <c r="R42" s="533"/>
      <c r="S42" s="534"/>
      <c r="T42" s="533"/>
      <c r="U42" s="534"/>
      <c r="V42" s="527"/>
      <c r="W42" s="528"/>
      <c r="X42" s="528"/>
      <c r="Y42" s="528"/>
      <c r="Z42" s="528"/>
      <c r="AA42" s="528"/>
      <c r="AB42" s="528"/>
      <c r="AC42" s="527"/>
      <c r="AD42" s="528"/>
      <c r="AE42" s="528"/>
      <c r="AF42" s="528"/>
      <c r="AG42" s="528"/>
      <c r="AH42" s="528"/>
      <c r="AI42" s="528"/>
      <c r="AJ42" s="527"/>
      <c r="AK42" s="528"/>
      <c r="AL42" s="528"/>
      <c r="AM42" s="528"/>
      <c r="AN42" s="528"/>
      <c r="AO42" s="528"/>
      <c r="AP42" s="541"/>
      <c r="AQ42" s="527"/>
      <c r="AR42" s="528"/>
      <c r="AS42" s="528"/>
      <c r="AT42" s="528"/>
      <c r="AU42" s="528"/>
      <c r="AV42" s="528"/>
      <c r="AW42" s="541"/>
      <c r="AX42" s="493"/>
      <c r="AY42" s="494"/>
      <c r="AZ42" s="105">
        <v>2</v>
      </c>
      <c r="BA42" s="483"/>
      <c r="BB42" s="484"/>
      <c r="BC42" s="484"/>
      <c r="BD42" s="485"/>
      <c r="BE42" s="486"/>
      <c r="BF42" s="487"/>
      <c r="BG42" s="106"/>
      <c r="BH42" s="488"/>
      <c r="BI42" s="489"/>
      <c r="BJ42" s="489"/>
      <c r="BK42" s="489"/>
      <c r="BL42" s="489"/>
      <c r="BM42" s="490"/>
      <c r="BN42" s="488"/>
      <c r="BO42" s="489"/>
      <c r="BP42" s="489"/>
      <c r="BQ42" s="489"/>
      <c r="BR42" s="489"/>
      <c r="BS42" s="490"/>
      <c r="BT42" s="488"/>
      <c r="BU42" s="489"/>
      <c r="BV42" s="489"/>
      <c r="BW42" s="489"/>
      <c r="BX42" s="489"/>
      <c r="BY42" s="490"/>
      <c r="BZ42" s="483"/>
      <c r="CA42" s="484"/>
      <c r="CB42" s="484"/>
      <c r="CC42" s="485"/>
      <c r="CD42" s="477"/>
      <c r="CE42" s="478"/>
      <c r="CF42" s="478"/>
      <c r="CG42" s="478"/>
      <c r="CH42" s="479"/>
      <c r="CI42" s="477"/>
      <c r="CJ42" s="478"/>
      <c r="CK42" s="478"/>
      <c r="CL42" s="478"/>
      <c r="CM42" s="479"/>
      <c r="CN42" s="477"/>
      <c r="CO42" s="478"/>
      <c r="CP42" s="478"/>
      <c r="CQ42" s="478"/>
      <c r="CR42" s="479"/>
      <c r="CS42" s="480"/>
      <c r="CT42" s="481"/>
      <c r="CU42" s="481"/>
      <c r="CV42" s="481"/>
      <c r="CW42" s="482"/>
    </row>
    <row r="43" spans="1:101" s="91" customFormat="1" ht="16.5" x14ac:dyDescent="0.15">
      <c r="A43" s="517"/>
      <c r="B43" s="102"/>
      <c r="C43" s="220" t="str">
        <f t="shared" ca="1" si="3"/>
        <v>@</v>
      </c>
      <c r="D43" s="521"/>
      <c r="E43" s="522"/>
      <c r="F43" s="522"/>
      <c r="G43" s="522"/>
      <c r="H43" s="522"/>
      <c r="I43" s="522"/>
      <c r="J43" s="522"/>
      <c r="K43" s="527"/>
      <c r="L43" s="528"/>
      <c r="M43" s="528"/>
      <c r="N43" s="528"/>
      <c r="O43" s="528"/>
      <c r="P43" s="528"/>
      <c r="Q43" s="528"/>
      <c r="R43" s="533"/>
      <c r="S43" s="534"/>
      <c r="T43" s="533"/>
      <c r="U43" s="534"/>
      <c r="V43" s="527"/>
      <c r="W43" s="528"/>
      <c r="X43" s="528"/>
      <c r="Y43" s="528"/>
      <c r="Z43" s="528"/>
      <c r="AA43" s="528"/>
      <c r="AB43" s="528"/>
      <c r="AC43" s="527"/>
      <c r="AD43" s="528"/>
      <c r="AE43" s="528"/>
      <c r="AF43" s="528"/>
      <c r="AG43" s="528"/>
      <c r="AH43" s="528"/>
      <c r="AI43" s="528"/>
      <c r="AJ43" s="527"/>
      <c r="AK43" s="528"/>
      <c r="AL43" s="528"/>
      <c r="AM43" s="528"/>
      <c r="AN43" s="528"/>
      <c r="AO43" s="528"/>
      <c r="AP43" s="541"/>
      <c r="AQ43" s="527"/>
      <c r="AR43" s="528"/>
      <c r="AS43" s="528"/>
      <c r="AT43" s="528"/>
      <c r="AU43" s="528"/>
      <c r="AV43" s="528"/>
      <c r="AW43" s="541"/>
      <c r="AX43" s="493"/>
      <c r="AY43" s="494"/>
      <c r="AZ43" s="105">
        <v>3</v>
      </c>
      <c r="BA43" s="483"/>
      <c r="BB43" s="484"/>
      <c r="BC43" s="484"/>
      <c r="BD43" s="485"/>
      <c r="BE43" s="486"/>
      <c r="BF43" s="487"/>
      <c r="BG43" s="106"/>
      <c r="BH43" s="488"/>
      <c r="BI43" s="489"/>
      <c r="BJ43" s="489"/>
      <c r="BK43" s="489"/>
      <c r="BL43" s="489"/>
      <c r="BM43" s="490"/>
      <c r="BN43" s="488"/>
      <c r="BO43" s="489"/>
      <c r="BP43" s="489"/>
      <c r="BQ43" s="489"/>
      <c r="BR43" s="489"/>
      <c r="BS43" s="490"/>
      <c r="BT43" s="488"/>
      <c r="BU43" s="489"/>
      <c r="BV43" s="489"/>
      <c r="BW43" s="489"/>
      <c r="BX43" s="489"/>
      <c r="BY43" s="490"/>
      <c r="BZ43" s="483"/>
      <c r="CA43" s="484"/>
      <c r="CB43" s="484"/>
      <c r="CC43" s="485"/>
      <c r="CD43" s="477"/>
      <c r="CE43" s="478"/>
      <c r="CF43" s="478"/>
      <c r="CG43" s="478"/>
      <c r="CH43" s="479"/>
      <c r="CI43" s="477"/>
      <c r="CJ43" s="478"/>
      <c r="CK43" s="478"/>
      <c r="CL43" s="478"/>
      <c r="CM43" s="479"/>
      <c r="CN43" s="477"/>
      <c r="CO43" s="478"/>
      <c r="CP43" s="478"/>
      <c r="CQ43" s="478"/>
      <c r="CR43" s="479"/>
      <c r="CS43" s="480"/>
      <c r="CT43" s="481"/>
      <c r="CU43" s="481"/>
      <c r="CV43" s="481"/>
      <c r="CW43" s="482"/>
    </row>
    <row r="44" spans="1:101" s="91" customFormat="1" ht="16.5" x14ac:dyDescent="0.15">
      <c r="A44" s="517"/>
      <c r="B44" s="102"/>
      <c r="C44" s="220" t="str">
        <f t="shared" ca="1" si="3"/>
        <v>@</v>
      </c>
      <c r="D44" s="521"/>
      <c r="E44" s="522"/>
      <c r="F44" s="522"/>
      <c r="G44" s="522"/>
      <c r="H44" s="522"/>
      <c r="I44" s="522"/>
      <c r="J44" s="522"/>
      <c r="K44" s="527"/>
      <c r="L44" s="528"/>
      <c r="M44" s="528"/>
      <c r="N44" s="528"/>
      <c r="O44" s="528"/>
      <c r="P44" s="528"/>
      <c r="Q44" s="528"/>
      <c r="R44" s="533"/>
      <c r="S44" s="534"/>
      <c r="T44" s="533"/>
      <c r="U44" s="534"/>
      <c r="V44" s="527"/>
      <c r="W44" s="528"/>
      <c r="X44" s="528"/>
      <c r="Y44" s="528"/>
      <c r="Z44" s="528"/>
      <c r="AA44" s="528"/>
      <c r="AB44" s="528"/>
      <c r="AC44" s="527"/>
      <c r="AD44" s="528"/>
      <c r="AE44" s="528"/>
      <c r="AF44" s="528"/>
      <c r="AG44" s="528"/>
      <c r="AH44" s="528"/>
      <c r="AI44" s="528"/>
      <c r="AJ44" s="527"/>
      <c r="AK44" s="528"/>
      <c r="AL44" s="528"/>
      <c r="AM44" s="528"/>
      <c r="AN44" s="528"/>
      <c r="AO44" s="528"/>
      <c r="AP44" s="541"/>
      <c r="AQ44" s="527"/>
      <c r="AR44" s="528"/>
      <c r="AS44" s="528"/>
      <c r="AT44" s="528"/>
      <c r="AU44" s="528"/>
      <c r="AV44" s="528"/>
      <c r="AW44" s="541"/>
      <c r="AX44" s="493"/>
      <c r="AY44" s="494"/>
      <c r="AZ44" s="105">
        <v>4</v>
      </c>
      <c r="BA44" s="483"/>
      <c r="BB44" s="484"/>
      <c r="BC44" s="484"/>
      <c r="BD44" s="485"/>
      <c r="BE44" s="486"/>
      <c r="BF44" s="487"/>
      <c r="BG44" s="106"/>
      <c r="BH44" s="488"/>
      <c r="BI44" s="489"/>
      <c r="BJ44" s="489"/>
      <c r="BK44" s="489"/>
      <c r="BL44" s="489"/>
      <c r="BM44" s="490"/>
      <c r="BN44" s="488"/>
      <c r="BO44" s="489"/>
      <c r="BP44" s="489"/>
      <c r="BQ44" s="489"/>
      <c r="BR44" s="489"/>
      <c r="BS44" s="490"/>
      <c r="BT44" s="488"/>
      <c r="BU44" s="489"/>
      <c r="BV44" s="489"/>
      <c r="BW44" s="489"/>
      <c r="BX44" s="489"/>
      <c r="BY44" s="490"/>
      <c r="BZ44" s="483"/>
      <c r="CA44" s="484"/>
      <c r="CB44" s="484"/>
      <c r="CC44" s="485"/>
      <c r="CD44" s="477"/>
      <c r="CE44" s="478"/>
      <c r="CF44" s="478"/>
      <c r="CG44" s="478"/>
      <c r="CH44" s="479"/>
      <c r="CI44" s="477"/>
      <c r="CJ44" s="478"/>
      <c r="CK44" s="478"/>
      <c r="CL44" s="478"/>
      <c r="CM44" s="479"/>
      <c r="CN44" s="477"/>
      <c r="CO44" s="478"/>
      <c r="CP44" s="478"/>
      <c r="CQ44" s="478"/>
      <c r="CR44" s="479"/>
      <c r="CS44" s="480"/>
      <c r="CT44" s="481"/>
      <c r="CU44" s="481"/>
      <c r="CV44" s="481"/>
      <c r="CW44" s="482"/>
    </row>
    <row r="45" spans="1:101" s="91" customFormat="1" ht="16.5" x14ac:dyDescent="0.15">
      <c r="A45" s="517"/>
      <c r="B45" s="102"/>
      <c r="C45" s="220" t="str">
        <f t="shared" ca="1" si="3"/>
        <v>@</v>
      </c>
      <c r="D45" s="521"/>
      <c r="E45" s="522"/>
      <c r="F45" s="522"/>
      <c r="G45" s="522"/>
      <c r="H45" s="522"/>
      <c r="I45" s="522"/>
      <c r="J45" s="522"/>
      <c r="K45" s="527"/>
      <c r="L45" s="528"/>
      <c r="M45" s="528"/>
      <c r="N45" s="528"/>
      <c r="O45" s="528"/>
      <c r="P45" s="528"/>
      <c r="Q45" s="528"/>
      <c r="R45" s="533"/>
      <c r="S45" s="534"/>
      <c r="T45" s="533"/>
      <c r="U45" s="534"/>
      <c r="V45" s="527"/>
      <c r="W45" s="528"/>
      <c r="X45" s="528"/>
      <c r="Y45" s="528"/>
      <c r="Z45" s="528"/>
      <c r="AA45" s="528"/>
      <c r="AB45" s="528"/>
      <c r="AC45" s="527"/>
      <c r="AD45" s="528"/>
      <c r="AE45" s="528"/>
      <c r="AF45" s="528"/>
      <c r="AG45" s="528"/>
      <c r="AH45" s="528"/>
      <c r="AI45" s="528"/>
      <c r="AJ45" s="527"/>
      <c r="AK45" s="528"/>
      <c r="AL45" s="528"/>
      <c r="AM45" s="528"/>
      <c r="AN45" s="528"/>
      <c r="AO45" s="528"/>
      <c r="AP45" s="541"/>
      <c r="AQ45" s="527"/>
      <c r="AR45" s="528"/>
      <c r="AS45" s="528"/>
      <c r="AT45" s="528"/>
      <c r="AU45" s="528"/>
      <c r="AV45" s="528"/>
      <c r="AW45" s="541"/>
      <c r="AX45" s="493"/>
      <c r="AY45" s="494"/>
      <c r="AZ45" s="105">
        <v>5</v>
      </c>
      <c r="BA45" s="483"/>
      <c r="BB45" s="484"/>
      <c r="BC45" s="484"/>
      <c r="BD45" s="485"/>
      <c r="BE45" s="486"/>
      <c r="BF45" s="487"/>
      <c r="BG45" s="106"/>
      <c r="BH45" s="488"/>
      <c r="BI45" s="489"/>
      <c r="BJ45" s="489"/>
      <c r="BK45" s="489"/>
      <c r="BL45" s="489"/>
      <c r="BM45" s="490"/>
      <c r="BN45" s="488"/>
      <c r="BO45" s="489"/>
      <c r="BP45" s="489"/>
      <c r="BQ45" s="489"/>
      <c r="BR45" s="489"/>
      <c r="BS45" s="490"/>
      <c r="BT45" s="488"/>
      <c r="BU45" s="489"/>
      <c r="BV45" s="489"/>
      <c r="BW45" s="489"/>
      <c r="BX45" s="489"/>
      <c r="BY45" s="490"/>
      <c r="BZ45" s="483"/>
      <c r="CA45" s="484"/>
      <c r="CB45" s="484"/>
      <c r="CC45" s="485"/>
      <c r="CD45" s="477"/>
      <c r="CE45" s="478"/>
      <c r="CF45" s="478"/>
      <c r="CG45" s="478"/>
      <c r="CH45" s="479"/>
      <c r="CI45" s="477"/>
      <c r="CJ45" s="478"/>
      <c r="CK45" s="478"/>
      <c r="CL45" s="478"/>
      <c r="CM45" s="479"/>
      <c r="CN45" s="477"/>
      <c r="CO45" s="478"/>
      <c r="CP45" s="478"/>
      <c r="CQ45" s="478"/>
      <c r="CR45" s="479"/>
      <c r="CS45" s="480"/>
      <c r="CT45" s="481"/>
      <c r="CU45" s="481"/>
      <c r="CV45" s="481"/>
      <c r="CW45" s="482"/>
    </row>
    <row r="46" spans="1:101" s="91" customFormat="1" ht="16.5" x14ac:dyDescent="0.15">
      <c r="A46" s="518"/>
      <c r="B46" s="107"/>
      <c r="C46" s="219" t="str">
        <f t="shared" ca="1" si="3"/>
        <v>@</v>
      </c>
      <c r="D46" s="523"/>
      <c r="E46" s="524"/>
      <c r="F46" s="524"/>
      <c r="G46" s="524"/>
      <c r="H46" s="524"/>
      <c r="I46" s="524"/>
      <c r="J46" s="524"/>
      <c r="K46" s="529"/>
      <c r="L46" s="530"/>
      <c r="M46" s="530"/>
      <c r="N46" s="530"/>
      <c r="O46" s="530"/>
      <c r="P46" s="530"/>
      <c r="Q46" s="530"/>
      <c r="R46" s="535"/>
      <c r="S46" s="536"/>
      <c r="T46" s="535"/>
      <c r="U46" s="536"/>
      <c r="V46" s="529"/>
      <c r="W46" s="530"/>
      <c r="X46" s="530"/>
      <c r="Y46" s="530"/>
      <c r="Z46" s="530"/>
      <c r="AA46" s="530"/>
      <c r="AB46" s="530"/>
      <c r="AC46" s="529"/>
      <c r="AD46" s="530"/>
      <c r="AE46" s="530"/>
      <c r="AF46" s="530"/>
      <c r="AG46" s="530"/>
      <c r="AH46" s="530"/>
      <c r="AI46" s="530"/>
      <c r="AJ46" s="529"/>
      <c r="AK46" s="539"/>
      <c r="AL46" s="539"/>
      <c r="AM46" s="539"/>
      <c r="AN46" s="539"/>
      <c r="AO46" s="539"/>
      <c r="AP46" s="542"/>
      <c r="AQ46" s="529"/>
      <c r="AR46" s="539"/>
      <c r="AS46" s="539"/>
      <c r="AT46" s="539"/>
      <c r="AU46" s="539"/>
      <c r="AV46" s="539"/>
      <c r="AW46" s="542"/>
      <c r="AX46" s="495"/>
      <c r="AY46" s="653"/>
      <c r="AZ46" s="108">
        <v>6</v>
      </c>
      <c r="BA46" s="505"/>
      <c r="BB46" s="506"/>
      <c r="BC46" s="506"/>
      <c r="BD46" s="507"/>
      <c r="BE46" s="508"/>
      <c r="BF46" s="509"/>
      <c r="BG46" s="109"/>
      <c r="BH46" s="510"/>
      <c r="BI46" s="511"/>
      <c r="BJ46" s="511"/>
      <c r="BK46" s="511"/>
      <c r="BL46" s="511"/>
      <c r="BM46" s="512"/>
      <c r="BN46" s="510"/>
      <c r="BO46" s="511"/>
      <c r="BP46" s="511"/>
      <c r="BQ46" s="511"/>
      <c r="BR46" s="511"/>
      <c r="BS46" s="512"/>
      <c r="BT46" s="510"/>
      <c r="BU46" s="511"/>
      <c r="BV46" s="511"/>
      <c r="BW46" s="511"/>
      <c r="BX46" s="511"/>
      <c r="BY46" s="512"/>
      <c r="BZ46" s="505"/>
      <c r="CA46" s="506"/>
      <c r="CB46" s="506"/>
      <c r="CC46" s="507"/>
      <c r="CD46" s="477"/>
      <c r="CE46" s="478"/>
      <c r="CF46" s="478"/>
      <c r="CG46" s="478"/>
      <c r="CH46" s="479"/>
      <c r="CI46" s="477"/>
      <c r="CJ46" s="478"/>
      <c r="CK46" s="478"/>
      <c r="CL46" s="478"/>
      <c r="CM46" s="479"/>
      <c r="CN46" s="477"/>
      <c r="CO46" s="478"/>
      <c r="CP46" s="478"/>
      <c r="CQ46" s="478"/>
      <c r="CR46" s="479"/>
      <c r="CS46" s="480"/>
      <c r="CT46" s="481"/>
      <c r="CU46" s="481"/>
      <c r="CV46" s="481"/>
      <c r="CW46" s="482"/>
    </row>
    <row r="47" spans="1:101" s="91" customFormat="1" ht="16.5" customHeight="1" x14ac:dyDescent="0.15">
      <c r="A47" s="516">
        <v>7</v>
      </c>
      <c r="B47" s="102"/>
      <c r="C47" s="222" t="str">
        <f t="shared" ca="1" si="3"/>
        <v>@</v>
      </c>
      <c r="D47" s="519" t="s">
        <v>591</v>
      </c>
      <c r="E47" s="520"/>
      <c r="F47" s="520"/>
      <c r="G47" s="520"/>
      <c r="H47" s="520"/>
      <c r="I47" s="520"/>
      <c r="J47" s="520"/>
      <c r="K47" s="525" t="s">
        <v>782</v>
      </c>
      <c r="L47" s="526"/>
      <c r="M47" s="526"/>
      <c r="N47" s="526"/>
      <c r="O47" s="526"/>
      <c r="P47" s="526"/>
      <c r="Q47" s="526"/>
      <c r="R47" s="531"/>
      <c r="S47" s="532"/>
      <c r="T47" s="531" t="s">
        <v>284</v>
      </c>
      <c r="U47" s="532"/>
      <c r="V47" s="525" t="s">
        <v>785</v>
      </c>
      <c r="W47" s="526"/>
      <c r="X47" s="526"/>
      <c r="Y47" s="526"/>
      <c r="Z47" s="526"/>
      <c r="AA47" s="526"/>
      <c r="AB47" s="526"/>
      <c r="AC47" s="525" t="s">
        <v>786</v>
      </c>
      <c r="AD47" s="526"/>
      <c r="AE47" s="526"/>
      <c r="AF47" s="526"/>
      <c r="AG47" s="526"/>
      <c r="AH47" s="526"/>
      <c r="AI47" s="526"/>
      <c r="AJ47" s="525"/>
      <c r="AK47" s="538"/>
      <c r="AL47" s="538"/>
      <c r="AM47" s="538"/>
      <c r="AN47" s="538"/>
      <c r="AO47" s="538"/>
      <c r="AP47" s="540"/>
      <c r="AQ47" s="525" t="s">
        <v>804</v>
      </c>
      <c r="AR47" s="538"/>
      <c r="AS47" s="538"/>
      <c r="AT47" s="538"/>
      <c r="AU47" s="538"/>
      <c r="AV47" s="538"/>
      <c r="AW47" s="540"/>
      <c r="AX47" s="491" t="s">
        <v>797</v>
      </c>
      <c r="AY47" s="492"/>
      <c r="AZ47" s="103">
        <v>1</v>
      </c>
      <c r="BA47" s="497">
        <v>44166</v>
      </c>
      <c r="BB47" s="498"/>
      <c r="BC47" s="498"/>
      <c r="BD47" s="499"/>
      <c r="BE47" s="500" t="s">
        <v>568</v>
      </c>
      <c r="BF47" s="501"/>
      <c r="BG47" s="110"/>
      <c r="BH47" s="502"/>
      <c r="BI47" s="503"/>
      <c r="BJ47" s="503"/>
      <c r="BK47" s="503"/>
      <c r="BL47" s="503"/>
      <c r="BM47" s="504"/>
      <c r="BN47" s="502"/>
      <c r="BO47" s="503"/>
      <c r="BP47" s="503"/>
      <c r="BQ47" s="503"/>
      <c r="BR47" s="503"/>
      <c r="BS47" s="504"/>
      <c r="BT47" s="502"/>
      <c r="BU47" s="503"/>
      <c r="BV47" s="503"/>
      <c r="BW47" s="503"/>
      <c r="BX47" s="503"/>
      <c r="BY47" s="504"/>
      <c r="BZ47" s="497"/>
      <c r="CA47" s="498"/>
      <c r="CB47" s="498"/>
      <c r="CC47" s="499"/>
      <c r="CD47" s="477"/>
      <c r="CE47" s="478"/>
      <c r="CF47" s="478"/>
      <c r="CG47" s="478"/>
      <c r="CH47" s="479"/>
      <c r="CI47" s="477"/>
      <c r="CJ47" s="478"/>
      <c r="CK47" s="478"/>
      <c r="CL47" s="478"/>
      <c r="CM47" s="479"/>
      <c r="CN47" s="477"/>
      <c r="CO47" s="478"/>
      <c r="CP47" s="478"/>
      <c r="CQ47" s="478"/>
      <c r="CR47" s="479"/>
      <c r="CS47" s="480"/>
      <c r="CT47" s="481"/>
      <c r="CU47" s="481"/>
      <c r="CV47" s="481"/>
      <c r="CW47" s="482"/>
    </row>
    <row r="48" spans="1:101" s="91" customFormat="1" ht="16.5" x14ac:dyDescent="0.15">
      <c r="A48" s="517"/>
      <c r="B48" s="102"/>
      <c r="C48" s="220" t="str">
        <f t="shared" ca="1" si="3"/>
        <v>@</v>
      </c>
      <c r="D48" s="521"/>
      <c r="E48" s="522"/>
      <c r="F48" s="522"/>
      <c r="G48" s="522"/>
      <c r="H48" s="522"/>
      <c r="I48" s="522"/>
      <c r="J48" s="522"/>
      <c r="K48" s="527"/>
      <c r="L48" s="528"/>
      <c r="M48" s="528"/>
      <c r="N48" s="528"/>
      <c r="O48" s="528"/>
      <c r="P48" s="528"/>
      <c r="Q48" s="528"/>
      <c r="R48" s="533"/>
      <c r="S48" s="534"/>
      <c r="T48" s="533"/>
      <c r="U48" s="534"/>
      <c r="V48" s="527"/>
      <c r="W48" s="528"/>
      <c r="X48" s="528"/>
      <c r="Y48" s="528"/>
      <c r="Z48" s="528"/>
      <c r="AA48" s="528"/>
      <c r="AB48" s="528"/>
      <c r="AC48" s="527"/>
      <c r="AD48" s="528"/>
      <c r="AE48" s="528"/>
      <c r="AF48" s="528"/>
      <c r="AG48" s="528"/>
      <c r="AH48" s="528"/>
      <c r="AI48" s="528"/>
      <c r="AJ48" s="527"/>
      <c r="AK48" s="528"/>
      <c r="AL48" s="528"/>
      <c r="AM48" s="528"/>
      <c r="AN48" s="528"/>
      <c r="AO48" s="528"/>
      <c r="AP48" s="541"/>
      <c r="AQ48" s="527"/>
      <c r="AR48" s="528"/>
      <c r="AS48" s="528"/>
      <c r="AT48" s="528"/>
      <c r="AU48" s="528"/>
      <c r="AV48" s="528"/>
      <c r="AW48" s="541"/>
      <c r="AX48" s="493"/>
      <c r="AY48" s="494"/>
      <c r="AZ48" s="105">
        <v>2</v>
      </c>
      <c r="BA48" s="483"/>
      <c r="BB48" s="484"/>
      <c r="BC48" s="484"/>
      <c r="BD48" s="485"/>
      <c r="BE48" s="486"/>
      <c r="BF48" s="487"/>
      <c r="BG48" s="106"/>
      <c r="BH48" s="488"/>
      <c r="BI48" s="489"/>
      <c r="BJ48" s="489"/>
      <c r="BK48" s="489"/>
      <c r="BL48" s="489"/>
      <c r="BM48" s="490"/>
      <c r="BN48" s="488"/>
      <c r="BO48" s="489"/>
      <c r="BP48" s="489"/>
      <c r="BQ48" s="489"/>
      <c r="BR48" s="489"/>
      <c r="BS48" s="490"/>
      <c r="BT48" s="488"/>
      <c r="BU48" s="489"/>
      <c r="BV48" s="489"/>
      <c r="BW48" s="489"/>
      <c r="BX48" s="489"/>
      <c r="BY48" s="490"/>
      <c r="BZ48" s="483"/>
      <c r="CA48" s="484"/>
      <c r="CB48" s="484"/>
      <c r="CC48" s="485"/>
      <c r="CD48" s="477"/>
      <c r="CE48" s="478"/>
      <c r="CF48" s="478"/>
      <c r="CG48" s="478"/>
      <c r="CH48" s="479"/>
      <c r="CI48" s="477"/>
      <c r="CJ48" s="478"/>
      <c r="CK48" s="478"/>
      <c r="CL48" s="478"/>
      <c r="CM48" s="479"/>
      <c r="CN48" s="477"/>
      <c r="CO48" s="478"/>
      <c r="CP48" s="478"/>
      <c r="CQ48" s="478"/>
      <c r="CR48" s="479"/>
      <c r="CS48" s="480"/>
      <c r="CT48" s="481"/>
      <c r="CU48" s="481"/>
      <c r="CV48" s="481"/>
      <c r="CW48" s="482"/>
    </row>
    <row r="49" spans="1:101" s="91" customFormat="1" ht="16.5" x14ac:dyDescent="0.15">
      <c r="A49" s="517"/>
      <c r="B49" s="102"/>
      <c r="C49" s="220" t="str">
        <f t="shared" ca="1" si="3"/>
        <v>@</v>
      </c>
      <c r="D49" s="521"/>
      <c r="E49" s="522"/>
      <c r="F49" s="522"/>
      <c r="G49" s="522"/>
      <c r="H49" s="522"/>
      <c r="I49" s="522"/>
      <c r="J49" s="522"/>
      <c r="K49" s="527"/>
      <c r="L49" s="528"/>
      <c r="M49" s="528"/>
      <c r="N49" s="528"/>
      <c r="O49" s="528"/>
      <c r="P49" s="528"/>
      <c r="Q49" s="528"/>
      <c r="R49" s="533"/>
      <c r="S49" s="534"/>
      <c r="T49" s="533"/>
      <c r="U49" s="534"/>
      <c r="V49" s="527"/>
      <c r="W49" s="528"/>
      <c r="X49" s="528"/>
      <c r="Y49" s="528"/>
      <c r="Z49" s="528"/>
      <c r="AA49" s="528"/>
      <c r="AB49" s="528"/>
      <c r="AC49" s="527"/>
      <c r="AD49" s="528"/>
      <c r="AE49" s="528"/>
      <c r="AF49" s="528"/>
      <c r="AG49" s="528"/>
      <c r="AH49" s="528"/>
      <c r="AI49" s="528"/>
      <c r="AJ49" s="527"/>
      <c r="AK49" s="528"/>
      <c r="AL49" s="528"/>
      <c r="AM49" s="528"/>
      <c r="AN49" s="528"/>
      <c r="AO49" s="528"/>
      <c r="AP49" s="541"/>
      <c r="AQ49" s="527"/>
      <c r="AR49" s="528"/>
      <c r="AS49" s="528"/>
      <c r="AT49" s="528"/>
      <c r="AU49" s="528"/>
      <c r="AV49" s="528"/>
      <c r="AW49" s="541"/>
      <c r="AX49" s="493"/>
      <c r="AY49" s="494"/>
      <c r="AZ49" s="105">
        <v>3</v>
      </c>
      <c r="BA49" s="483"/>
      <c r="BB49" s="484"/>
      <c r="BC49" s="484"/>
      <c r="BD49" s="485"/>
      <c r="BE49" s="486"/>
      <c r="BF49" s="487"/>
      <c r="BG49" s="106"/>
      <c r="BH49" s="488"/>
      <c r="BI49" s="489"/>
      <c r="BJ49" s="489"/>
      <c r="BK49" s="489"/>
      <c r="BL49" s="489"/>
      <c r="BM49" s="490"/>
      <c r="BN49" s="488"/>
      <c r="BO49" s="489"/>
      <c r="BP49" s="489"/>
      <c r="BQ49" s="489"/>
      <c r="BR49" s="489"/>
      <c r="BS49" s="490"/>
      <c r="BT49" s="488"/>
      <c r="BU49" s="489"/>
      <c r="BV49" s="489"/>
      <c r="BW49" s="489"/>
      <c r="BX49" s="489"/>
      <c r="BY49" s="490"/>
      <c r="BZ49" s="483"/>
      <c r="CA49" s="484"/>
      <c r="CB49" s="484"/>
      <c r="CC49" s="485"/>
      <c r="CD49" s="477"/>
      <c r="CE49" s="478"/>
      <c r="CF49" s="478"/>
      <c r="CG49" s="478"/>
      <c r="CH49" s="479"/>
      <c r="CI49" s="477"/>
      <c r="CJ49" s="478"/>
      <c r="CK49" s="478"/>
      <c r="CL49" s="478"/>
      <c r="CM49" s="479"/>
      <c r="CN49" s="477"/>
      <c r="CO49" s="478"/>
      <c r="CP49" s="478"/>
      <c r="CQ49" s="478"/>
      <c r="CR49" s="479"/>
      <c r="CS49" s="480"/>
      <c r="CT49" s="481"/>
      <c r="CU49" s="481"/>
      <c r="CV49" s="481"/>
      <c r="CW49" s="482"/>
    </row>
    <row r="50" spans="1:101" s="91" customFormat="1" ht="16.5" x14ac:dyDescent="0.15">
      <c r="A50" s="517"/>
      <c r="B50" s="102"/>
      <c r="C50" s="220" t="str">
        <f t="shared" ca="1" si="3"/>
        <v>@</v>
      </c>
      <c r="D50" s="521"/>
      <c r="E50" s="522"/>
      <c r="F50" s="522"/>
      <c r="G50" s="522"/>
      <c r="H50" s="522"/>
      <c r="I50" s="522"/>
      <c r="J50" s="522"/>
      <c r="K50" s="527"/>
      <c r="L50" s="528"/>
      <c r="M50" s="528"/>
      <c r="N50" s="528"/>
      <c r="O50" s="528"/>
      <c r="P50" s="528"/>
      <c r="Q50" s="528"/>
      <c r="R50" s="533"/>
      <c r="S50" s="534"/>
      <c r="T50" s="533"/>
      <c r="U50" s="534"/>
      <c r="V50" s="527"/>
      <c r="W50" s="528"/>
      <c r="X50" s="528"/>
      <c r="Y50" s="528"/>
      <c r="Z50" s="528"/>
      <c r="AA50" s="528"/>
      <c r="AB50" s="528"/>
      <c r="AC50" s="527"/>
      <c r="AD50" s="528"/>
      <c r="AE50" s="528"/>
      <c r="AF50" s="528"/>
      <c r="AG50" s="528"/>
      <c r="AH50" s="528"/>
      <c r="AI50" s="528"/>
      <c r="AJ50" s="527"/>
      <c r="AK50" s="528"/>
      <c r="AL50" s="528"/>
      <c r="AM50" s="528"/>
      <c r="AN50" s="528"/>
      <c r="AO50" s="528"/>
      <c r="AP50" s="541"/>
      <c r="AQ50" s="527"/>
      <c r="AR50" s="528"/>
      <c r="AS50" s="528"/>
      <c r="AT50" s="528"/>
      <c r="AU50" s="528"/>
      <c r="AV50" s="528"/>
      <c r="AW50" s="541"/>
      <c r="AX50" s="493"/>
      <c r="AY50" s="494"/>
      <c r="AZ50" s="105">
        <v>4</v>
      </c>
      <c r="BA50" s="483"/>
      <c r="BB50" s="484"/>
      <c r="BC50" s="484"/>
      <c r="BD50" s="485"/>
      <c r="BE50" s="486"/>
      <c r="BF50" s="487"/>
      <c r="BG50" s="106"/>
      <c r="BH50" s="488"/>
      <c r="BI50" s="489"/>
      <c r="BJ50" s="489"/>
      <c r="BK50" s="489"/>
      <c r="BL50" s="489"/>
      <c r="BM50" s="490"/>
      <c r="BN50" s="488"/>
      <c r="BO50" s="489"/>
      <c r="BP50" s="489"/>
      <c r="BQ50" s="489"/>
      <c r="BR50" s="489"/>
      <c r="BS50" s="490"/>
      <c r="BT50" s="488"/>
      <c r="BU50" s="489"/>
      <c r="BV50" s="489"/>
      <c r="BW50" s="489"/>
      <c r="BX50" s="489"/>
      <c r="BY50" s="490"/>
      <c r="BZ50" s="483"/>
      <c r="CA50" s="484"/>
      <c r="CB50" s="484"/>
      <c r="CC50" s="485"/>
      <c r="CD50" s="477"/>
      <c r="CE50" s="478"/>
      <c r="CF50" s="478"/>
      <c r="CG50" s="478"/>
      <c r="CH50" s="479"/>
      <c r="CI50" s="477"/>
      <c r="CJ50" s="478"/>
      <c r="CK50" s="478"/>
      <c r="CL50" s="478"/>
      <c r="CM50" s="479"/>
      <c r="CN50" s="477"/>
      <c r="CO50" s="478"/>
      <c r="CP50" s="478"/>
      <c r="CQ50" s="478"/>
      <c r="CR50" s="479"/>
      <c r="CS50" s="480"/>
      <c r="CT50" s="481"/>
      <c r="CU50" s="481"/>
      <c r="CV50" s="481"/>
      <c r="CW50" s="482"/>
    </row>
    <row r="51" spans="1:101" s="91" customFormat="1" ht="16.5" x14ac:dyDescent="0.15">
      <c r="A51" s="517"/>
      <c r="B51" s="102"/>
      <c r="C51" s="220" t="str">
        <f t="shared" ca="1" si="3"/>
        <v>@</v>
      </c>
      <c r="D51" s="521"/>
      <c r="E51" s="522"/>
      <c r="F51" s="522"/>
      <c r="G51" s="522"/>
      <c r="H51" s="522"/>
      <c r="I51" s="522"/>
      <c r="J51" s="522"/>
      <c r="K51" s="527"/>
      <c r="L51" s="528"/>
      <c r="M51" s="528"/>
      <c r="N51" s="528"/>
      <c r="O51" s="528"/>
      <c r="P51" s="528"/>
      <c r="Q51" s="528"/>
      <c r="R51" s="533"/>
      <c r="S51" s="534"/>
      <c r="T51" s="533"/>
      <c r="U51" s="534"/>
      <c r="V51" s="527"/>
      <c r="W51" s="528"/>
      <c r="X51" s="528"/>
      <c r="Y51" s="528"/>
      <c r="Z51" s="528"/>
      <c r="AA51" s="528"/>
      <c r="AB51" s="528"/>
      <c r="AC51" s="527"/>
      <c r="AD51" s="528"/>
      <c r="AE51" s="528"/>
      <c r="AF51" s="528"/>
      <c r="AG51" s="528"/>
      <c r="AH51" s="528"/>
      <c r="AI51" s="528"/>
      <c r="AJ51" s="527"/>
      <c r="AK51" s="528"/>
      <c r="AL51" s="528"/>
      <c r="AM51" s="528"/>
      <c r="AN51" s="528"/>
      <c r="AO51" s="528"/>
      <c r="AP51" s="541"/>
      <c r="AQ51" s="527"/>
      <c r="AR51" s="528"/>
      <c r="AS51" s="528"/>
      <c r="AT51" s="528"/>
      <c r="AU51" s="528"/>
      <c r="AV51" s="528"/>
      <c r="AW51" s="541"/>
      <c r="AX51" s="493"/>
      <c r="AY51" s="494"/>
      <c r="AZ51" s="105">
        <v>5</v>
      </c>
      <c r="BA51" s="483"/>
      <c r="BB51" s="484"/>
      <c r="BC51" s="484"/>
      <c r="BD51" s="485"/>
      <c r="BE51" s="486"/>
      <c r="BF51" s="487"/>
      <c r="BG51" s="106"/>
      <c r="BH51" s="488"/>
      <c r="BI51" s="489"/>
      <c r="BJ51" s="489"/>
      <c r="BK51" s="489"/>
      <c r="BL51" s="489"/>
      <c r="BM51" s="490"/>
      <c r="BN51" s="488"/>
      <c r="BO51" s="489"/>
      <c r="BP51" s="489"/>
      <c r="BQ51" s="489"/>
      <c r="BR51" s="489"/>
      <c r="BS51" s="490"/>
      <c r="BT51" s="488"/>
      <c r="BU51" s="489"/>
      <c r="BV51" s="489"/>
      <c r="BW51" s="489"/>
      <c r="BX51" s="489"/>
      <c r="BY51" s="490"/>
      <c r="BZ51" s="483"/>
      <c r="CA51" s="484"/>
      <c r="CB51" s="484"/>
      <c r="CC51" s="485"/>
      <c r="CD51" s="477"/>
      <c r="CE51" s="478"/>
      <c r="CF51" s="478"/>
      <c r="CG51" s="478"/>
      <c r="CH51" s="479"/>
      <c r="CI51" s="477"/>
      <c r="CJ51" s="478"/>
      <c r="CK51" s="478"/>
      <c r="CL51" s="478"/>
      <c r="CM51" s="479"/>
      <c r="CN51" s="477"/>
      <c r="CO51" s="478"/>
      <c r="CP51" s="478"/>
      <c r="CQ51" s="478"/>
      <c r="CR51" s="479"/>
      <c r="CS51" s="480"/>
      <c r="CT51" s="481"/>
      <c r="CU51" s="481"/>
      <c r="CV51" s="481"/>
      <c r="CW51" s="482"/>
    </row>
    <row r="52" spans="1:101" s="91" customFormat="1" ht="16.5" x14ac:dyDescent="0.15">
      <c r="A52" s="518"/>
      <c r="B52" s="107"/>
      <c r="C52" s="219" t="str">
        <f t="shared" ca="1" si="3"/>
        <v>@</v>
      </c>
      <c r="D52" s="523"/>
      <c r="E52" s="524"/>
      <c r="F52" s="524"/>
      <c r="G52" s="524"/>
      <c r="H52" s="524"/>
      <c r="I52" s="524"/>
      <c r="J52" s="524"/>
      <c r="K52" s="529"/>
      <c r="L52" s="530"/>
      <c r="M52" s="530"/>
      <c r="N52" s="530"/>
      <c r="O52" s="530"/>
      <c r="P52" s="530"/>
      <c r="Q52" s="530"/>
      <c r="R52" s="535"/>
      <c r="S52" s="536"/>
      <c r="T52" s="535"/>
      <c r="U52" s="536"/>
      <c r="V52" s="529"/>
      <c r="W52" s="530"/>
      <c r="X52" s="530"/>
      <c r="Y52" s="530"/>
      <c r="Z52" s="530"/>
      <c r="AA52" s="530"/>
      <c r="AB52" s="530"/>
      <c r="AC52" s="529"/>
      <c r="AD52" s="530"/>
      <c r="AE52" s="530"/>
      <c r="AF52" s="530"/>
      <c r="AG52" s="530"/>
      <c r="AH52" s="530"/>
      <c r="AI52" s="530"/>
      <c r="AJ52" s="529"/>
      <c r="AK52" s="539"/>
      <c r="AL52" s="539"/>
      <c r="AM52" s="539"/>
      <c r="AN52" s="539"/>
      <c r="AO52" s="539"/>
      <c r="AP52" s="542"/>
      <c r="AQ52" s="529"/>
      <c r="AR52" s="539"/>
      <c r="AS52" s="539"/>
      <c r="AT52" s="539"/>
      <c r="AU52" s="539"/>
      <c r="AV52" s="539"/>
      <c r="AW52" s="542"/>
      <c r="AX52" s="495"/>
      <c r="AY52" s="653"/>
      <c r="AZ52" s="112">
        <v>6</v>
      </c>
      <c r="BA52" s="513"/>
      <c r="BB52" s="514"/>
      <c r="BC52" s="514"/>
      <c r="BD52" s="515"/>
      <c r="BE52" s="644"/>
      <c r="BF52" s="645"/>
      <c r="BG52" s="111"/>
      <c r="BH52" s="646"/>
      <c r="BI52" s="647"/>
      <c r="BJ52" s="647"/>
      <c r="BK52" s="647"/>
      <c r="BL52" s="647"/>
      <c r="BM52" s="648"/>
      <c r="BN52" s="646"/>
      <c r="BO52" s="647"/>
      <c r="BP52" s="647"/>
      <c r="BQ52" s="647"/>
      <c r="BR52" s="647"/>
      <c r="BS52" s="648"/>
      <c r="BT52" s="646"/>
      <c r="BU52" s="647"/>
      <c r="BV52" s="647"/>
      <c r="BW52" s="647"/>
      <c r="BX52" s="647"/>
      <c r="BY52" s="648"/>
      <c r="BZ52" s="513"/>
      <c r="CA52" s="514"/>
      <c r="CB52" s="514"/>
      <c r="CC52" s="515"/>
      <c r="CD52" s="477"/>
      <c r="CE52" s="478"/>
      <c r="CF52" s="478"/>
      <c r="CG52" s="478"/>
      <c r="CH52" s="479"/>
      <c r="CI52" s="477"/>
      <c r="CJ52" s="478"/>
      <c r="CK52" s="478"/>
      <c r="CL52" s="478"/>
      <c r="CM52" s="479"/>
      <c r="CN52" s="477"/>
      <c r="CO52" s="478"/>
      <c r="CP52" s="478"/>
      <c r="CQ52" s="478"/>
      <c r="CR52" s="479"/>
      <c r="CS52" s="480"/>
      <c r="CT52" s="481"/>
      <c r="CU52" s="481"/>
      <c r="CV52" s="481"/>
      <c r="CW52" s="482"/>
    </row>
    <row r="53" spans="1:101" s="91" customFormat="1" ht="16.5" customHeight="1" x14ac:dyDescent="0.15">
      <c r="A53" s="516">
        <v>8</v>
      </c>
      <c r="B53" s="102"/>
      <c r="C53" s="222" t="str">
        <f t="shared" ca="1" si="3"/>
        <v>@</v>
      </c>
      <c r="D53" s="519" t="s">
        <v>787</v>
      </c>
      <c r="E53" s="520"/>
      <c r="F53" s="520"/>
      <c r="G53" s="520"/>
      <c r="H53" s="520"/>
      <c r="I53" s="520"/>
      <c r="J53" s="520"/>
      <c r="K53" s="525" t="s">
        <v>788</v>
      </c>
      <c r="L53" s="526"/>
      <c r="M53" s="526"/>
      <c r="N53" s="526"/>
      <c r="O53" s="526"/>
      <c r="P53" s="526"/>
      <c r="Q53" s="526"/>
      <c r="R53" s="531"/>
      <c r="S53" s="532"/>
      <c r="T53" s="531" t="s">
        <v>284</v>
      </c>
      <c r="U53" s="532"/>
      <c r="V53" s="525" t="s">
        <v>789</v>
      </c>
      <c r="W53" s="526"/>
      <c r="X53" s="526"/>
      <c r="Y53" s="526"/>
      <c r="Z53" s="526"/>
      <c r="AA53" s="526"/>
      <c r="AB53" s="526"/>
      <c r="AC53" s="525" t="s">
        <v>790</v>
      </c>
      <c r="AD53" s="526"/>
      <c r="AE53" s="526"/>
      <c r="AF53" s="526"/>
      <c r="AG53" s="526"/>
      <c r="AH53" s="526"/>
      <c r="AI53" s="526"/>
      <c r="AJ53" s="525"/>
      <c r="AK53" s="538"/>
      <c r="AL53" s="538"/>
      <c r="AM53" s="538"/>
      <c r="AN53" s="538"/>
      <c r="AO53" s="538"/>
      <c r="AP53" s="540"/>
      <c r="AQ53" s="525" t="s">
        <v>803</v>
      </c>
      <c r="AR53" s="538"/>
      <c r="AS53" s="538"/>
      <c r="AT53" s="538"/>
      <c r="AU53" s="538"/>
      <c r="AV53" s="538"/>
      <c r="AW53" s="540"/>
      <c r="AX53" s="491" t="s">
        <v>797</v>
      </c>
      <c r="AY53" s="492"/>
      <c r="AZ53" s="103">
        <v>1</v>
      </c>
      <c r="BA53" s="497">
        <v>44166</v>
      </c>
      <c r="BB53" s="498"/>
      <c r="BC53" s="498"/>
      <c r="BD53" s="499"/>
      <c r="BE53" s="500" t="s">
        <v>568</v>
      </c>
      <c r="BF53" s="501"/>
      <c r="BG53" s="110"/>
      <c r="BH53" s="502"/>
      <c r="BI53" s="503"/>
      <c r="BJ53" s="503"/>
      <c r="BK53" s="503"/>
      <c r="BL53" s="503"/>
      <c r="BM53" s="504"/>
      <c r="BN53" s="502"/>
      <c r="BO53" s="503"/>
      <c r="BP53" s="503"/>
      <c r="BQ53" s="503"/>
      <c r="BR53" s="503"/>
      <c r="BS53" s="504"/>
      <c r="BT53" s="502"/>
      <c r="BU53" s="503"/>
      <c r="BV53" s="503"/>
      <c r="BW53" s="503"/>
      <c r="BX53" s="503"/>
      <c r="BY53" s="504"/>
      <c r="BZ53" s="497"/>
      <c r="CA53" s="498"/>
      <c r="CB53" s="498"/>
      <c r="CC53" s="499"/>
      <c r="CD53" s="477"/>
      <c r="CE53" s="478"/>
      <c r="CF53" s="478"/>
      <c r="CG53" s="478"/>
      <c r="CH53" s="479"/>
      <c r="CI53" s="477"/>
      <c r="CJ53" s="478"/>
      <c r="CK53" s="478"/>
      <c r="CL53" s="478"/>
      <c r="CM53" s="479"/>
      <c r="CN53" s="477"/>
      <c r="CO53" s="478"/>
      <c r="CP53" s="478"/>
      <c r="CQ53" s="478"/>
      <c r="CR53" s="479"/>
      <c r="CS53" s="480"/>
      <c r="CT53" s="481"/>
      <c r="CU53" s="481"/>
      <c r="CV53" s="481"/>
      <c r="CW53" s="482"/>
    </row>
    <row r="54" spans="1:101" s="91" customFormat="1" ht="16.5" x14ac:dyDescent="0.15">
      <c r="A54" s="517"/>
      <c r="B54" s="102"/>
      <c r="C54" s="220" t="str">
        <f t="shared" ca="1" si="3"/>
        <v>@</v>
      </c>
      <c r="D54" s="521"/>
      <c r="E54" s="522"/>
      <c r="F54" s="522"/>
      <c r="G54" s="522"/>
      <c r="H54" s="522"/>
      <c r="I54" s="522"/>
      <c r="J54" s="522"/>
      <c r="K54" s="527"/>
      <c r="L54" s="528"/>
      <c r="M54" s="528"/>
      <c r="N54" s="528"/>
      <c r="O54" s="528"/>
      <c r="P54" s="528"/>
      <c r="Q54" s="528"/>
      <c r="R54" s="533"/>
      <c r="S54" s="534"/>
      <c r="T54" s="533"/>
      <c r="U54" s="534"/>
      <c r="V54" s="527"/>
      <c r="W54" s="528"/>
      <c r="X54" s="528"/>
      <c r="Y54" s="528"/>
      <c r="Z54" s="528"/>
      <c r="AA54" s="528"/>
      <c r="AB54" s="528"/>
      <c r="AC54" s="527"/>
      <c r="AD54" s="528"/>
      <c r="AE54" s="528"/>
      <c r="AF54" s="528"/>
      <c r="AG54" s="528"/>
      <c r="AH54" s="528"/>
      <c r="AI54" s="528"/>
      <c r="AJ54" s="527"/>
      <c r="AK54" s="528"/>
      <c r="AL54" s="528"/>
      <c r="AM54" s="528"/>
      <c r="AN54" s="528"/>
      <c r="AO54" s="528"/>
      <c r="AP54" s="541"/>
      <c r="AQ54" s="527"/>
      <c r="AR54" s="528"/>
      <c r="AS54" s="528"/>
      <c r="AT54" s="528"/>
      <c r="AU54" s="528"/>
      <c r="AV54" s="528"/>
      <c r="AW54" s="541"/>
      <c r="AX54" s="493"/>
      <c r="AY54" s="494"/>
      <c r="AZ54" s="105">
        <v>2</v>
      </c>
      <c r="BA54" s="483"/>
      <c r="BB54" s="484"/>
      <c r="BC54" s="484"/>
      <c r="BD54" s="485"/>
      <c r="BE54" s="486"/>
      <c r="BF54" s="487"/>
      <c r="BG54" s="106"/>
      <c r="BH54" s="488"/>
      <c r="BI54" s="489"/>
      <c r="BJ54" s="489"/>
      <c r="BK54" s="489"/>
      <c r="BL54" s="489"/>
      <c r="BM54" s="490"/>
      <c r="BN54" s="488"/>
      <c r="BO54" s="489"/>
      <c r="BP54" s="489"/>
      <c r="BQ54" s="489"/>
      <c r="BR54" s="489"/>
      <c r="BS54" s="490"/>
      <c r="BT54" s="488"/>
      <c r="BU54" s="489"/>
      <c r="BV54" s="489"/>
      <c r="BW54" s="489"/>
      <c r="BX54" s="489"/>
      <c r="BY54" s="490"/>
      <c r="BZ54" s="483"/>
      <c r="CA54" s="484"/>
      <c r="CB54" s="484"/>
      <c r="CC54" s="485"/>
      <c r="CD54" s="477"/>
      <c r="CE54" s="478"/>
      <c r="CF54" s="478"/>
      <c r="CG54" s="478"/>
      <c r="CH54" s="479"/>
      <c r="CI54" s="477"/>
      <c r="CJ54" s="478"/>
      <c r="CK54" s="478"/>
      <c r="CL54" s="478"/>
      <c r="CM54" s="479"/>
      <c r="CN54" s="477"/>
      <c r="CO54" s="478"/>
      <c r="CP54" s="478"/>
      <c r="CQ54" s="478"/>
      <c r="CR54" s="479"/>
      <c r="CS54" s="480"/>
      <c r="CT54" s="481"/>
      <c r="CU54" s="481"/>
      <c r="CV54" s="481"/>
      <c r="CW54" s="482"/>
    </row>
    <row r="55" spans="1:101" s="91" customFormat="1" ht="16.5" x14ac:dyDescent="0.15">
      <c r="A55" s="517"/>
      <c r="B55" s="102"/>
      <c r="C55" s="220" t="str">
        <f t="shared" ca="1" si="3"/>
        <v>@</v>
      </c>
      <c r="D55" s="521"/>
      <c r="E55" s="522"/>
      <c r="F55" s="522"/>
      <c r="G55" s="522"/>
      <c r="H55" s="522"/>
      <c r="I55" s="522"/>
      <c r="J55" s="522"/>
      <c r="K55" s="527"/>
      <c r="L55" s="528"/>
      <c r="M55" s="528"/>
      <c r="N55" s="528"/>
      <c r="O55" s="528"/>
      <c r="P55" s="528"/>
      <c r="Q55" s="528"/>
      <c r="R55" s="533"/>
      <c r="S55" s="534"/>
      <c r="T55" s="533"/>
      <c r="U55" s="534"/>
      <c r="V55" s="527"/>
      <c r="W55" s="528"/>
      <c r="X55" s="528"/>
      <c r="Y55" s="528"/>
      <c r="Z55" s="528"/>
      <c r="AA55" s="528"/>
      <c r="AB55" s="528"/>
      <c r="AC55" s="527"/>
      <c r="AD55" s="528"/>
      <c r="AE55" s="528"/>
      <c r="AF55" s="528"/>
      <c r="AG55" s="528"/>
      <c r="AH55" s="528"/>
      <c r="AI55" s="528"/>
      <c r="AJ55" s="527"/>
      <c r="AK55" s="528"/>
      <c r="AL55" s="528"/>
      <c r="AM55" s="528"/>
      <c r="AN55" s="528"/>
      <c r="AO55" s="528"/>
      <c r="AP55" s="541"/>
      <c r="AQ55" s="527"/>
      <c r="AR55" s="528"/>
      <c r="AS55" s="528"/>
      <c r="AT55" s="528"/>
      <c r="AU55" s="528"/>
      <c r="AV55" s="528"/>
      <c r="AW55" s="541"/>
      <c r="AX55" s="493"/>
      <c r="AY55" s="494"/>
      <c r="AZ55" s="105">
        <v>3</v>
      </c>
      <c r="BA55" s="483"/>
      <c r="BB55" s="484"/>
      <c r="BC55" s="484"/>
      <c r="BD55" s="485"/>
      <c r="BE55" s="486"/>
      <c r="BF55" s="487"/>
      <c r="BG55" s="106"/>
      <c r="BH55" s="488"/>
      <c r="BI55" s="489"/>
      <c r="BJ55" s="489"/>
      <c r="BK55" s="489"/>
      <c r="BL55" s="489"/>
      <c r="BM55" s="490"/>
      <c r="BN55" s="488"/>
      <c r="BO55" s="489"/>
      <c r="BP55" s="489"/>
      <c r="BQ55" s="489"/>
      <c r="BR55" s="489"/>
      <c r="BS55" s="490"/>
      <c r="BT55" s="488"/>
      <c r="BU55" s="489"/>
      <c r="BV55" s="489"/>
      <c r="BW55" s="489"/>
      <c r="BX55" s="489"/>
      <c r="BY55" s="490"/>
      <c r="BZ55" s="483"/>
      <c r="CA55" s="484"/>
      <c r="CB55" s="484"/>
      <c r="CC55" s="485"/>
      <c r="CD55" s="477"/>
      <c r="CE55" s="478"/>
      <c r="CF55" s="478"/>
      <c r="CG55" s="478"/>
      <c r="CH55" s="479"/>
      <c r="CI55" s="477"/>
      <c r="CJ55" s="478"/>
      <c r="CK55" s="478"/>
      <c r="CL55" s="478"/>
      <c r="CM55" s="479"/>
      <c r="CN55" s="477"/>
      <c r="CO55" s="478"/>
      <c r="CP55" s="478"/>
      <c r="CQ55" s="478"/>
      <c r="CR55" s="479"/>
      <c r="CS55" s="480"/>
      <c r="CT55" s="481"/>
      <c r="CU55" s="481"/>
      <c r="CV55" s="481"/>
      <c r="CW55" s="482"/>
    </row>
    <row r="56" spans="1:101" s="91" customFormat="1" ht="16.5" x14ac:dyDescent="0.15">
      <c r="A56" s="517"/>
      <c r="B56" s="102"/>
      <c r="C56" s="220" t="str">
        <f t="shared" ca="1" si="3"/>
        <v>@</v>
      </c>
      <c r="D56" s="521"/>
      <c r="E56" s="522"/>
      <c r="F56" s="522"/>
      <c r="G56" s="522"/>
      <c r="H56" s="522"/>
      <c r="I56" s="522"/>
      <c r="J56" s="522"/>
      <c r="K56" s="527"/>
      <c r="L56" s="528"/>
      <c r="M56" s="528"/>
      <c r="N56" s="528"/>
      <c r="O56" s="528"/>
      <c r="P56" s="528"/>
      <c r="Q56" s="528"/>
      <c r="R56" s="533"/>
      <c r="S56" s="534"/>
      <c r="T56" s="533"/>
      <c r="U56" s="534"/>
      <c r="V56" s="527"/>
      <c r="W56" s="528"/>
      <c r="X56" s="528"/>
      <c r="Y56" s="528"/>
      <c r="Z56" s="528"/>
      <c r="AA56" s="528"/>
      <c r="AB56" s="528"/>
      <c r="AC56" s="527"/>
      <c r="AD56" s="528"/>
      <c r="AE56" s="528"/>
      <c r="AF56" s="528"/>
      <c r="AG56" s="528"/>
      <c r="AH56" s="528"/>
      <c r="AI56" s="528"/>
      <c r="AJ56" s="527"/>
      <c r="AK56" s="528"/>
      <c r="AL56" s="528"/>
      <c r="AM56" s="528"/>
      <c r="AN56" s="528"/>
      <c r="AO56" s="528"/>
      <c r="AP56" s="541"/>
      <c r="AQ56" s="527"/>
      <c r="AR56" s="528"/>
      <c r="AS56" s="528"/>
      <c r="AT56" s="528"/>
      <c r="AU56" s="528"/>
      <c r="AV56" s="528"/>
      <c r="AW56" s="541"/>
      <c r="AX56" s="493"/>
      <c r="AY56" s="494"/>
      <c r="AZ56" s="105">
        <v>4</v>
      </c>
      <c r="BA56" s="483"/>
      <c r="BB56" s="484"/>
      <c r="BC56" s="484"/>
      <c r="BD56" s="485"/>
      <c r="BE56" s="486"/>
      <c r="BF56" s="487"/>
      <c r="BG56" s="106"/>
      <c r="BH56" s="488"/>
      <c r="BI56" s="489"/>
      <c r="BJ56" s="489"/>
      <c r="BK56" s="489"/>
      <c r="BL56" s="489"/>
      <c r="BM56" s="490"/>
      <c r="BN56" s="488"/>
      <c r="BO56" s="489"/>
      <c r="BP56" s="489"/>
      <c r="BQ56" s="489"/>
      <c r="BR56" s="489"/>
      <c r="BS56" s="490"/>
      <c r="BT56" s="488"/>
      <c r="BU56" s="489"/>
      <c r="BV56" s="489"/>
      <c r="BW56" s="489"/>
      <c r="BX56" s="489"/>
      <c r="BY56" s="490"/>
      <c r="BZ56" s="483"/>
      <c r="CA56" s="484"/>
      <c r="CB56" s="484"/>
      <c r="CC56" s="485"/>
      <c r="CD56" s="477"/>
      <c r="CE56" s="478"/>
      <c r="CF56" s="478"/>
      <c r="CG56" s="478"/>
      <c r="CH56" s="479"/>
      <c r="CI56" s="477"/>
      <c r="CJ56" s="478"/>
      <c r="CK56" s="478"/>
      <c r="CL56" s="478"/>
      <c r="CM56" s="479"/>
      <c r="CN56" s="477"/>
      <c r="CO56" s="478"/>
      <c r="CP56" s="478"/>
      <c r="CQ56" s="478"/>
      <c r="CR56" s="479"/>
      <c r="CS56" s="480"/>
      <c r="CT56" s="481"/>
      <c r="CU56" s="481"/>
      <c r="CV56" s="481"/>
      <c r="CW56" s="482"/>
    </row>
    <row r="57" spans="1:101" s="91" customFormat="1" ht="16.5" x14ac:dyDescent="0.15">
      <c r="A57" s="517"/>
      <c r="B57" s="102"/>
      <c r="C57" s="220" t="str">
        <f t="shared" ca="1" si="3"/>
        <v>@</v>
      </c>
      <c r="D57" s="521"/>
      <c r="E57" s="522"/>
      <c r="F57" s="522"/>
      <c r="G57" s="522"/>
      <c r="H57" s="522"/>
      <c r="I57" s="522"/>
      <c r="J57" s="522"/>
      <c r="K57" s="527"/>
      <c r="L57" s="528"/>
      <c r="M57" s="528"/>
      <c r="N57" s="528"/>
      <c r="O57" s="528"/>
      <c r="P57" s="528"/>
      <c r="Q57" s="528"/>
      <c r="R57" s="533"/>
      <c r="S57" s="534"/>
      <c r="T57" s="533"/>
      <c r="U57" s="534"/>
      <c r="V57" s="527"/>
      <c r="W57" s="528"/>
      <c r="X57" s="528"/>
      <c r="Y57" s="528"/>
      <c r="Z57" s="528"/>
      <c r="AA57" s="528"/>
      <c r="AB57" s="528"/>
      <c r="AC57" s="527"/>
      <c r="AD57" s="528"/>
      <c r="AE57" s="528"/>
      <c r="AF57" s="528"/>
      <c r="AG57" s="528"/>
      <c r="AH57" s="528"/>
      <c r="AI57" s="528"/>
      <c r="AJ57" s="527"/>
      <c r="AK57" s="528"/>
      <c r="AL57" s="528"/>
      <c r="AM57" s="528"/>
      <c r="AN57" s="528"/>
      <c r="AO57" s="528"/>
      <c r="AP57" s="541"/>
      <c r="AQ57" s="527"/>
      <c r="AR57" s="528"/>
      <c r="AS57" s="528"/>
      <c r="AT57" s="528"/>
      <c r="AU57" s="528"/>
      <c r="AV57" s="528"/>
      <c r="AW57" s="541"/>
      <c r="AX57" s="493"/>
      <c r="AY57" s="494"/>
      <c r="AZ57" s="105">
        <v>5</v>
      </c>
      <c r="BA57" s="483"/>
      <c r="BB57" s="484"/>
      <c r="BC57" s="484"/>
      <c r="BD57" s="485"/>
      <c r="BE57" s="486"/>
      <c r="BF57" s="487"/>
      <c r="BG57" s="106"/>
      <c r="BH57" s="488"/>
      <c r="BI57" s="489"/>
      <c r="BJ57" s="489"/>
      <c r="BK57" s="489"/>
      <c r="BL57" s="489"/>
      <c r="BM57" s="490"/>
      <c r="BN57" s="488"/>
      <c r="BO57" s="489"/>
      <c r="BP57" s="489"/>
      <c r="BQ57" s="489"/>
      <c r="BR57" s="489"/>
      <c r="BS57" s="490"/>
      <c r="BT57" s="488"/>
      <c r="BU57" s="489"/>
      <c r="BV57" s="489"/>
      <c r="BW57" s="489"/>
      <c r="BX57" s="489"/>
      <c r="BY57" s="490"/>
      <c r="BZ57" s="483"/>
      <c r="CA57" s="484"/>
      <c r="CB57" s="484"/>
      <c r="CC57" s="485"/>
      <c r="CD57" s="477"/>
      <c r="CE57" s="478"/>
      <c r="CF57" s="478"/>
      <c r="CG57" s="478"/>
      <c r="CH57" s="479"/>
      <c r="CI57" s="477"/>
      <c r="CJ57" s="478"/>
      <c r="CK57" s="478"/>
      <c r="CL57" s="478"/>
      <c r="CM57" s="479"/>
      <c r="CN57" s="477"/>
      <c r="CO57" s="478"/>
      <c r="CP57" s="478"/>
      <c r="CQ57" s="478"/>
      <c r="CR57" s="479"/>
      <c r="CS57" s="480"/>
      <c r="CT57" s="481"/>
      <c r="CU57" s="481"/>
      <c r="CV57" s="481"/>
      <c r="CW57" s="482"/>
    </row>
    <row r="58" spans="1:101" s="91" customFormat="1" ht="16.5" x14ac:dyDescent="0.15">
      <c r="A58" s="518"/>
      <c r="B58" s="107"/>
      <c r="C58" s="219" t="str">
        <f t="shared" ca="1" si="3"/>
        <v>@</v>
      </c>
      <c r="D58" s="523"/>
      <c r="E58" s="524"/>
      <c r="F58" s="524"/>
      <c r="G58" s="524"/>
      <c r="H58" s="524"/>
      <c r="I58" s="524"/>
      <c r="J58" s="524"/>
      <c r="K58" s="529"/>
      <c r="L58" s="530"/>
      <c r="M58" s="530"/>
      <c r="N58" s="530"/>
      <c r="O58" s="530"/>
      <c r="P58" s="530"/>
      <c r="Q58" s="530"/>
      <c r="R58" s="535"/>
      <c r="S58" s="536"/>
      <c r="T58" s="535"/>
      <c r="U58" s="536"/>
      <c r="V58" s="529"/>
      <c r="W58" s="530"/>
      <c r="X58" s="530"/>
      <c r="Y58" s="530"/>
      <c r="Z58" s="530"/>
      <c r="AA58" s="530"/>
      <c r="AB58" s="530"/>
      <c r="AC58" s="529"/>
      <c r="AD58" s="530"/>
      <c r="AE58" s="530"/>
      <c r="AF58" s="530"/>
      <c r="AG58" s="530"/>
      <c r="AH58" s="530"/>
      <c r="AI58" s="530"/>
      <c r="AJ58" s="529"/>
      <c r="AK58" s="539"/>
      <c r="AL58" s="539"/>
      <c r="AM58" s="539"/>
      <c r="AN58" s="539"/>
      <c r="AO58" s="539"/>
      <c r="AP58" s="542"/>
      <c r="AQ58" s="529"/>
      <c r="AR58" s="539"/>
      <c r="AS58" s="539"/>
      <c r="AT58" s="539"/>
      <c r="AU58" s="539"/>
      <c r="AV58" s="539"/>
      <c r="AW58" s="542"/>
      <c r="AX58" s="495"/>
      <c r="AY58" s="653"/>
      <c r="AZ58" s="112">
        <v>6</v>
      </c>
      <c r="BA58" s="513"/>
      <c r="BB58" s="514"/>
      <c r="BC58" s="514"/>
      <c r="BD58" s="515"/>
      <c r="BE58" s="644"/>
      <c r="BF58" s="645"/>
      <c r="BG58" s="111"/>
      <c r="BH58" s="646"/>
      <c r="BI58" s="647"/>
      <c r="BJ58" s="647"/>
      <c r="BK58" s="647"/>
      <c r="BL58" s="647"/>
      <c r="BM58" s="648"/>
      <c r="BN58" s="646"/>
      <c r="BO58" s="647"/>
      <c r="BP58" s="647"/>
      <c r="BQ58" s="647"/>
      <c r="BR58" s="647"/>
      <c r="BS58" s="648"/>
      <c r="BT58" s="646"/>
      <c r="BU58" s="647"/>
      <c r="BV58" s="647"/>
      <c r="BW58" s="647"/>
      <c r="BX58" s="647"/>
      <c r="BY58" s="648"/>
      <c r="BZ58" s="513"/>
      <c r="CA58" s="514"/>
      <c r="CB58" s="514"/>
      <c r="CC58" s="515"/>
      <c r="CD58" s="477"/>
      <c r="CE58" s="478"/>
      <c r="CF58" s="478"/>
      <c r="CG58" s="478"/>
      <c r="CH58" s="479"/>
      <c r="CI58" s="477"/>
      <c r="CJ58" s="478"/>
      <c r="CK58" s="478"/>
      <c r="CL58" s="478"/>
      <c r="CM58" s="479"/>
      <c r="CN58" s="477"/>
      <c r="CO58" s="478"/>
      <c r="CP58" s="478"/>
      <c r="CQ58" s="478"/>
      <c r="CR58" s="479"/>
      <c r="CS58" s="480"/>
      <c r="CT58" s="481"/>
      <c r="CU58" s="481"/>
      <c r="CV58" s="481"/>
      <c r="CW58" s="482"/>
    </row>
    <row r="59" spans="1:101" s="91" customFormat="1" ht="16.149999999999999" customHeight="1" x14ac:dyDescent="0.15">
      <c r="A59" s="516">
        <v>9</v>
      </c>
      <c r="B59" s="102"/>
      <c r="C59" s="222" t="str">
        <f t="shared" ca="1" si="3"/>
        <v>@</v>
      </c>
      <c r="D59" s="519" t="s">
        <v>791</v>
      </c>
      <c r="E59" s="520"/>
      <c r="F59" s="520"/>
      <c r="G59" s="520"/>
      <c r="H59" s="520"/>
      <c r="I59" s="520"/>
      <c r="J59" s="520"/>
      <c r="K59" s="525" t="s">
        <v>788</v>
      </c>
      <c r="L59" s="526"/>
      <c r="M59" s="526"/>
      <c r="N59" s="526"/>
      <c r="O59" s="526"/>
      <c r="P59" s="526"/>
      <c r="Q59" s="526"/>
      <c r="R59" s="531"/>
      <c r="S59" s="532"/>
      <c r="T59" s="531" t="s">
        <v>284</v>
      </c>
      <c r="U59" s="532"/>
      <c r="V59" s="525" t="s">
        <v>792</v>
      </c>
      <c r="W59" s="526"/>
      <c r="X59" s="526"/>
      <c r="Y59" s="526"/>
      <c r="Z59" s="526"/>
      <c r="AA59" s="526"/>
      <c r="AB59" s="540"/>
      <c r="AC59" s="525" t="s">
        <v>793</v>
      </c>
      <c r="AD59" s="526"/>
      <c r="AE59" s="526"/>
      <c r="AF59" s="526"/>
      <c r="AG59" s="526"/>
      <c r="AH59" s="526"/>
      <c r="AI59" s="540"/>
      <c r="AJ59" s="525"/>
      <c r="AK59" s="538"/>
      <c r="AL59" s="538"/>
      <c r="AM59" s="538"/>
      <c r="AN59" s="538"/>
      <c r="AO59" s="538"/>
      <c r="AP59" s="540"/>
      <c r="AQ59" s="525" t="s">
        <v>800</v>
      </c>
      <c r="AR59" s="538"/>
      <c r="AS59" s="538"/>
      <c r="AT59" s="538"/>
      <c r="AU59" s="538"/>
      <c r="AV59" s="538"/>
      <c r="AW59" s="540"/>
      <c r="AX59" s="491" t="s">
        <v>797</v>
      </c>
      <c r="AY59" s="492"/>
      <c r="AZ59" s="103">
        <v>1</v>
      </c>
      <c r="BA59" s="497">
        <v>44166</v>
      </c>
      <c r="BB59" s="498"/>
      <c r="BC59" s="498"/>
      <c r="BD59" s="499"/>
      <c r="BE59" s="500" t="s">
        <v>568</v>
      </c>
      <c r="BF59" s="501"/>
      <c r="BG59" s="110"/>
      <c r="BH59" s="502"/>
      <c r="BI59" s="503"/>
      <c r="BJ59" s="503"/>
      <c r="BK59" s="503"/>
      <c r="BL59" s="503"/>
      <c r="BM59" s="504"/>
      <c r="BN59" s="502"/>
      <c r="BO59" s="503"/>
      <c r="BP59" s="503"/>
      <c r="BQ59" s="503"/>
      <c r="BR59" s="503"/>
      <c r="BS59" s="504"/>
      <c r="BT59" s="502"/>
      <c r="BU59" s="503"/>
      <c r="BV59" s="503"/>
      <c r="BW59" s="503"/>
      <c r="BX59" s="503"/>
      <c r="BY59" s="504"/>
      <c r="BZ59" s="497"/>
      <c r="CA59" s="498"/>
      <c r="CB59" s="498"/>
      <c r="CC59" s="499"/>
      <c r="CD59" s="477"/>
      <c r="CE59" s="478"/>
      <c r="CF59" s="478"/>
      <c r="CG59" s="478"/>
      <c r="CH59" s="479"/>
      <c r="CI59" s="477"/>
      <c r="CJ59" s="478"/>
      <c r="CK59" s="478"/>
      <c r="CL59" s="478"/>
      <c r="CM59" s="479"/>
      <c r="CN59" s="477"/>
      <c r="CO59" s="478"/>
      <c r="CP59" s="478"/>
      <c r="CQ59" s="478"/>
      <c r="CR59" s="479"/>
      <c r="CS59" s="480"/>
      <c r="CT59" s="481"/>
      <c r="CU59" s="481"/>
      <c r="CV59" s="481"/>
      <c r="CW59" s="482"/>
    </row>
    <row r="60" spans="1:101" s="91" customFormat="1" ht="16.5" x14ac:dyDescent="0.15">
      <c r="A60" s="517"/>
      <c r="B60" s="102"/>
      <c r="C60" s="220" t="str">
        <f t="shared" ca="1" si="3"/>
        <v>@</v>
      </c>
      <c r="D60" s="521"/>
      <c r="E60" s="522"/>
      <c r="F60" s="522"/>
      <c r="G60" s="522"/>
      <c r="H60" s="522"/>
      <c r="I60" s="522"/>
      <c r="J60" s="522"/>
      <c r="K60" s="527"/>
      <c r="L60" s="528"/>
      <c r="M60" s="528"/>
      <c r="N60" s="528"/>
      <c r="O60" s="528"/>
      <c r="P60" s="528"/>
      <c r="Q60" s="528"/>
      <c r="R60" s="533"/>
      <c r="S60" s="534"/>
      <c r="T60" s="533"/>
      <c r="U60" s="534"/>
      <c r="V60" s="527"/>
      <c r="W60" s="528"/>
      <c r="X60" s="528"/>
      <c r="Y60" s="528"/>
      <c r="Z60" s="528"/>
      <c r="AA60" s="528"/>
      <c r="AB60" s="541"/>
      <c r="AC60" s="527"/>
      <c r="AD60" s="528"/>
      <c r="AE60" s="528"/>
      <c r="AF60" s="528"/>
      <c r="AG60" s="528"/>
      <c r="AH60" s="528"/>
      <c r="AI60" s="541"/>
      <c r="AJ60" s="527"/>
      <c r="AK60" s="528"/>
      <c r="AL60" s="528"/>
      <c r="AM60" s="528"/>
      <c r="AN60" s="528"/>
      <c r="AO60" s="528"/>
      <c r="AP60" s="541"/>
      <c r="AQ60" s="527"/>
      <c r="AR60" s="528"/>
      <c r="AS60" s="528"/>
      <c r="AT60" s="528"/>
      <c r="AU60" s="528"/>
      <c r="AV60" s="528"/>
      <c r="AW60" s="541"/>
      <c r="AX60" s="493"/>
      <c r="AY60" s="494"/>
      <c r="AZ60" s="105">
        <v>2</v>
      </c>
      <c r="BA60" s="483"/>
      <c r="BB60" s="484"/>
      <c r="BC60" s="484"/>
      <c r="BD60" s="485"/>
      <c r="BE60" s="486"/>
      <c r="BF60" s="487"/>
      <c r="BG60" s="106"/>
      <c r="BH60" s="502"/>
      <c r="BI60" s="503"/>
      <c r="BJ60" s="503"/>
      <c r="BK60" s="503"/>
      <c r="BL60" s="503"/>
      <c r="BM60" s="504"/>
      <c r="BN60" s="502"/>
      <c r="BO60" s="503"/>
      <c r="BP60" s="503"/>
      <c r="BQ60" s="503"/>
      <c r="BR60" s="503"/>
      <c r="BS60" s="504"/>
      <c r="BT60" s="502"/>
      <c r="BU60" s="503"/>
      <c r="BV60" s="503"/>
      <c r="BW60" s="503"/>
      <c r="BX60" s="503"/>
      <c r="BY60" s="504"/>
      <c r="BZ60" s="483"/>
      <c r="CA60" s="484"/>
      <c r="CB60" s="484"/>
      <c r="CC60" s="485"/>
      <c r="CD60" s="477"/>
      <c r="CE60" s="478"/>
      <c r="CF60" s="478"/>
      <c r="CG60" s="478"/>
      <c r="CH60" s="479"/>
      <c r="CI60" s="477"/>
      <c r="CJ60" s="478"/>
      <c r="CK60" s="478"/>
      <c r="CL60" s="478"/>
      <c r="CM60" s="479"/>
      <c r="CN60" s="477"/>
      <c r="CO60" s="478"/>
      <c r="CP60" s="478"/>
      <c r="CQ60" s="478"/>
      <c r="CR60" s="479"/>
      <c r="CS60" s="480"/>
      <c r="CT60" s="481"/>
      <c r="CU60" s="481"/>
      <c r="CV60" s="481"/>
      <c r="CW60" s="482"/>
    </row>
    <row r="61" spans="1:101" s="91" customFormat="1" ht="16.5" x14ac:dyDescent="0.15">
      <c r="A61" s="517"/>
      <c r="B61" s="102"/>
      <c r="C61" s="220" t="str">
        <f t="shared" ca="1" si="3"/>
        <v>@</v>
      </c>
      <c r="D61" s="521"/>
      <c r="E61" s="522"/>
      <c r="F61" s="522"/>
      <c r="G61" s="522"/>
      <c r="H61" s="522"/>
      <c r="I61" s="522"/>
      <c r="J61" s="522"/>
      <c r="K61" s="527"/>
      <c r="L61" s="528"/>
      <c r="M61" s="528"/>
      <c r="N61" s="528"/>
      <c r="O61" s="528"/>
      <c r="P61" s="528"/>
      <c r="Q61" s="528"/>
      <c r="R61" s="533"/>
      <c r="S61" s="534"/>
      <c r="T61" s="533"/>
      <c r="U61" s="534"/>
      <c r="V61" s="527"/>
      <c r="W61" s="528"/>
      <c r="X61" s="528"/>
      <c r="Y61" s="528"/>
      <c r="Z61" s="528"/>
      <c r="AA61" s="528"/>
      <c r="AB61" s="541"/>
      <c r="AC61" s="527"/>
      <c r="AD61" s="528"/>
      <c r="AE61" s="528"/>
      <c r="AF61" s="528"/>
      <c r="AG61" s="528"/>
      <c r="AH61" s="528"/>
      <c r="AI61" s="541"/>
      <c r="AJ61" s="527"/>
      <c r="AK61" s="528"/>
      <c r="AL61" s="528"/>
      <c r="AM61" s="528"/>
      <c r="AN61" s="528"/>
      <c r="AO61" s="528"/>
      <c r="AP61" s="541"/>
      <c r="AQ61" s="527"/>
      <c r="AR61" s="528"/>
      <c r="AS61" s="528"/>
      <c r="AT61" s="528"/>
      <c r="AU61" s="528"/>
      <c r="AV61" s="528"/>
      <c r="AW61" s="541"/>
      <c r="AX61" s="493"/>
      <c r="AY61" s="494"/>
      <c r="AZ61" s="105">
        <v>3</v>
      </c>
      <c r="BA61" s="483"/>
      <c r="BB61" s="484"/>
      <c r="BC61" s="484"/>
      <c r="BD61" s="485"/>
      <c r="BE61" s="486"/>
      <c r="BF61" s="487"/>
      <c r="BG61" s="106"/>
      <c r="BH61" s="488"/>
      <c r="BI61" s="489"/>
      <c r="BJ61" s="489"/>
      <c r="BK61" s="489"/>
      <c r="BL61" s="489"/>
      <c r="BM61" s="490"/>
      <c r="BN61" s="488"/>
      <c r="BO61" s="489"/>
      <c r="BP61" s="489"/>
      <c r="BQ61" s="489"/>
      <c r="BR61" s="489"/>
      <c r="BS61" s="490"/>
      <c r="BT61" s="488"/>
      <c r="BU61" s="489"/>
      <c r="BV61" s="489"/>
      <c r="BW61" s="489"/>
      <c r="BX61" s="489"/>
      <c r="BY61" s="490"/>
      <c r="BZ61" s="483"/>
      <c r="CA61" s="484"/>
      <c r="CB61" s="484"/>
      <c r="CC61" s="485"/>
      <c r="CD61" s="477"/>
      <c r="CE61" s="478"/>
      <c r="CF61" s="478"/>
      <c r="CG61" s="478"/>
      <c r="CH61" s="479"/>
      <c r="CI61" s="477"/>
      <c r="CJ61" s="478"/>
      <c r="CK61" s="478"/>
      <c r="CL61" s="478"/>
      <c r="CM61" s="479"/>
      <c r="CN61" s="477"/>
      <c r="CO61" s="478"/>
      <c r="CP61" s="478"/>
      <c r="CQ61" s="478"/>
      <c r="CR61" s="479"/>
      <c r="CS61" s="480"/>
      <c r="CT61" s="481"/>
      <c r="CU61" s="481"/>
      <c r="CV61" s="481"/>
      <c r="CW61" s="482"/>
    </row>
    <row r="62" spans="1:101" s="91" customFormat="1" ht="16.5" x14ac:dyDescent="0.15">
      <c r="A62" s="517"/>
      <c r="B62" s="102"/>
      <c r="C62" s="220" t="str">
        <f t="shared" ca="1" si="3"/>
        <v>@</v>
      </c>
      <c r="D62" s="521"/>
      <c r="E62" s="522"/>
      <c r="F62" s="522"/>
      <c r="G62" s="522"/>
      <c r="H62" s="522"/>
      <c r="I62" s="522"/>
      <c r="J62" s="522"/>
      <c r="K62" s="527"/>
      <c r="L62" s="528"/>
      <c r="M62" s="528"/>
      <c r="N62" s="528"/>
      <c r="O62" s="528"/>
      <c r="P62" s="528"/>
      <c r="Q62" s="528"/>
      <c r="R62" s="533"/>
      <c r="S62" s="534"/>
      <c r="T62" s="533"/>
      <c r="U62" s="534"/>
      <c r="V62" s="527"/>
      <c r="W62" s="528"/>
      <c r="X62" s="528"/>
      <c r="Y62" s="528"/>
      <c r="Z62" s="528"/>
      <c r="AA62" s="528"/>
      <c r="AB62" s="541"/>
      <c r="AC62" s="527"/>
      <c r="AD62" s="528"/>
      <c r="AE62" s="528"/>
      <c r="AF62" s="528"/>
      <c r="AG62" s="528"/>
      <c r="AH62" s="528"/>
      <c r="AI62" s="541"/>
      <c r="AJ62" s="527"/>
      <c r="AK62" s="528"/>
      <c r="AL62" s="528"/>
      <c r="AM62" s="528"/>
      <c r="AN62" s="528"/>
      <c r="AO62" s="528"/>
      <c r="AP62" s="541"/>
      <c r="AQ62" s="527"/>
      <c r="AR62" s="528"/>
      <c r="AS62" s="528"/>
      <c r="AT62" s="528"/>
      <c r="AU62" s="528"/>
      <c r="AV62" s="528"/>
      <c r="AW62" s="541"/>
      <c r="AX62" s="493"/>
      <c r="AY62" s="494"/>
      <c r="AZ62" s="105">
        <v>4</v>
      </c>
      <c r="BA62" s="483"/>
      <c r="BB62" s="484"/>
      <c r="BC62" s="484"/>
      <c r="BD62" s="485"/>
      <c r="BE62" s="486"/>
      <c r="BF62" s="487"/>
      <c r="BG62" s="106"/>
      <c r="BH62" s="488"/>
      <c r="BI62" s="489"/>
      <c r="BJ62" s="489"/>
      <c r="BK62" s="489"/>
      <c r="BL62" s="489"/>
      <c r="BM62" s="490"/>
      <c r="BN62" s="488"/>
      <c r="BO62" s="489"/>
      <c r="BP62" s="489"/>
      <c r="BQ62" s="489"/>
      <c r="BR62" s="489"/>
      <c r="BS62" s="490"/>
      <c r="BT62" s="488"/>
      <c r="BU62" s="489"/>
      <c r="BV62" s="489"/>
      <c r="BW62" s="489"/>
      <c r="BX62" s="489"/>
      <c r="BY62" s="490"/>
      <c r="BZ62" s="483"/>
      <c r="CA62" s="484"/>
      <c r="CB62" s="484"/>
      <c r="CC62" s="485"/>
      <c r="CD62" s="477"/>
      <c r="CE62" s="478"/>
      <c r="CF62" s="478"/>
      <c r="CG62" s="478"/>
      <c r="CH62" s="479"/>
      <c r="CI62" s="477"/>
      <c r="CJ62" s="478"/>
      <c r="CK62" s="478"/>
      <c r="CL62" s="478"/>
      <c r="CM62" s="479"/>
      <c r="CN62" s="477"/>
      <c r="CO62" s="478"/>
      <c r="CP62" s="478"/>
      <c r="CQ62" s="478"/>
      <c r="CR62" s="479"/>
      <c r="CS62" s="480"/>
      <c r="CT62" s="481"/>
      <c r="CU62" s="481"/>
      <c r="CV62" s="481"/>
      <c r="CW62" s="482"/>
    </row>
    <row r="63" spans="1:101" s="91" customFormat="1" ht="16.5" x14ac:dyDescent="0.15">
      <c r="A63" s="517"/>
      <c r="B63" s="102"/>
      <c r="C63" s="220" t="str">
        <f t="shared" ca="1" si="3"/>
        <v>@</v>
      </c>
      <c r="D63" s="521"/>
      <c r="E63" s="522"/>
      <c r="F63" s="522"/>
      <c r="G63" s="522"/>
      <c r="H63" s="522"/>
      <c r="I63" s="522"/>
      <c r="J63" s="522"/>
      <c r="K63" s="527"/>
      <c r="L63" s="528"/>
      <c r="M63" s="528"/>
      <c r="N63" s="528"/>
      <c r="O63" s="528"/>
      <c r="P63" s="528"/>
      <c r="Q63" s="528"/>
      <c r="R63" s="533"/>
      <c r="S63" s="534"/>
      <c r="T63" s="533"/>
      <c r="U63" s="534"/>
      <c r="V63" s="527"/>
      <c r="W63" s="528"/>
      <c r="X63" s="528"/>
      <c r="Y63" s="528"/>
      <c r="Z63" s="528"/>
      <c r="AA63" s="528"/>
      <c r="AB63" s="541"/>
      <c r="AC63" s="527"/>
      <c r="AD63" s="528"/>
      <c r="AE63" s="528"/>
      <c r="AF63" s="528"/>
      <c r="AG63" s="528"/>
      <c r="AH63" s="528"/>
      <c r="AI63" s="541"/>
      <c r="AJ63" s="527"/>
      <c r="AK63" s="528"/>
      <c r="AL63" s="528"/>
      <c r="AM63" s="528"/>
      <c r="AN63" s="528"/>
      <c r="AO63" s="528"/>
      <c r="AP63" s="541"/>
      <c r="AQ63" s="527"/>
      <c r="AR63" s="528"/>
      <c r="AS63" s="528"/>
      <c r="AT63" s="528"/>
      <c r="AU63" s="528"/>
      <c r="AV63" s="528"/>
      <c r="AW63" s="541"/>
      <c r="AX63" s="493"/>
      <c r="AY63" s="494"/>
      <c r="AZ63" s="105">
        <v>5</v>
      </c>
      <c r="BA63" s="483"/>
      <c r="BB63" s="484"/>
      <c r="BC63" s="484"/>
      <c r="BD63" s="485"/>
      <c r="BE63" s="486"/>
      <c r="BF63" s="487"/>
      <c r="BG63" s="106"/>
      <c r="BH63" s="488"/>
      <c r="BI63" s="489"/>
      <c r="BJ63" s="489"/>
      <c r="BK63" s="489"/>
      <c r="BL63" s="489"/>
      <c r="BM63" s="490"/>
      <c r="BN63" s="488"/>
      <c r="BO63" s="489"/>
      <c r="BP63" s="489"/>
      <c r="BQ63" s="489"/>
      <c r="BR63" s="489"/>
      <c r="BS63" s="490"/>
      <c r="BT63" s="488"/>
      <c r="BU63" s="489"/>
      <c r="BV63" s="489"/>
      <c r="BW63" s="489"/>
      <c r="BX63" s="489"/>
      <c r="BY63" s="490"/>
      <c r="BZ63" s="483"/>
      <c r="CA63" s="484"/>
      <c r="CB63" s="484"/>
      <c r="CC63" s="485"/>
      <c r="CD63" s="477"/>
      <c r="CE63" s="478"/>
      <c r="CF63" s="478"/>
      <c r="CG63" s="478"/>
      <c r="CH63" s="479"/>
      <c r="CI63" s="477"/>
      <c r="CJ63" s="478"/>
      <c r="CK63" s="478"/>
      <c r="CL63" s="478"/>
      <c r="CM63" s="479"/>
      <c r="CN63" s="477"/>
      <c r="CO63" s="478"/>
      <c r="CP63" s="478"/>
      <c r="CQ63" s="478"/>
      <c r="CR63" s="479"/>
      <c r="CS63" s="480"/>
      <c r="CT63" s="481"/>
      <c r="CU63" s="481"/>
      <c r="CV63" s="481"/>
      <c r="CW63" s="482"/>
    </row>
    <row r="64" spans="1:101" s="91" customFormat="1" ht="16.5" x14ac:dyDescent="0.15">
      <c r="A64" s="518"/>
      <c r="B64" s="107"/>
      <c r="C64" s="220" t="str">
        <f t="shared" ca="1" si="3"/>
        <v>@</v>
      </c>
      <c r="D64" s="523"/>
      <c r="E64" s="524"/>
      <c r="F64" s="524"/>
      <c r="G64" s="524"/>
      <c r="H64" s="524"/>
      <c r="I64" s="524"/>
      <c r="J64" s="524"/>
      <c r="K64" s="529"/>
      <c r="L64" s="530"/>
      <c r="M64" s="530"/>
      <c r="N64" s="530"/>
      <c r="O64" s="530"/>
      <c r="P64" s="530"/>
      <c r="Q64" s="530"/>
      <c r="R64" s="535"/>
      <c r="S64" s="536"/>
      <c r="T64" s="535"/>
      <c r="U64" s="536"/>
      <c r="V64" s="529"/>
      <c r="W64" s="530"/>
      <c r="X64" s="530"/>
      <c r="Y64" s="530"/>
      <c r="Z64" s="530"/>
      <c r="AA64" s="530"/>
      <c r="AB64" s="555"/>
      <c r="AC64" s="529"/>
      <c r="AD64" s="530"/>
      <c r="AE64" s="530"/>
      <c r="AF64" s="530"/>
      <c r="AG64" s="530"/>
      <c r="AH64" s="530"/>
      <c r="AI64" s="555"/>
      <c r="AJ64" s="529"/>
      <c r="AK64" s="539"/>
      <c r="AL64" s="539"/>
      <c r="AM64" s="539"/>
      <c r="AN64" s="539"/>
      <c r="AO64" s="539"/>
      <c r="AP64" s="542"/>
      <c r="AQ64" s="529"/>
      <c r="AR64" s="539"/>
      <c r="AS64" s="539"/>
      <c r="AT64" s="539"/>
      <c r="AU64" s="539"/>
      <c r="AV64" s="539"/>
      <c r="AW64" s="542"/>
      <c r="AX64" s="495"/>
      <c r="AY64" s="653"/>
      <c r="AZ64" s="108">
        <v>6</v>
      </c>
      <c r="BA64" s="513"/>
      <c r="BB64" s="514"/>
      <c r="BC64" s="514"/>
      <c r="BD64" s="515"/>
      <c r="BE64" s="508"/>
      <c r="BF64" s="509"/>
      <c r="BG64" s="111"/>
      <c r="BH64" s="510"/>
      <c r="BI64" s="511"/>
      <c r="BJ64" s="511"/>
      <c r="BK64" s="511"/>
      <c r="BL64" s="511"/>
      <c r="BM64" s="512"/>
      <c r="BN64" s="510"/>
      <c r="BO64" s="511"/>
      <c r="BP64" s="511"/>
      <c r="BQ64" s="511"/>
      <c r="BR64" s="511"/>
      <c r="BS64" s="512"/>
      <c r="BT64" s="510"/>
      <c r="BU64" s="511"/>
      <c r="BV64" s="511"/>
      <c r="BW64" s="511"/>
      <c r="BX64" s="511"/>
      <c r="BY64" s="512"/>
      <c r="BZ64" s="513"/>
      <c r="CA64" s="514"/>
      <c r="CB64" s="514"/>
      <c r="CC64" s="515"/>
      <c r="CD64" s="477"/>
      <c r="CE64" s="478"/>
      <c r="CF64" s="478"/>
      <c r="CG64" s="478"/>
      <c r="CH64" s="479"/>
      <c r="CI64" s="477"/>
      <c r="CJ64" s="478"/>
      <c r="CK64" s="478"/>
      <c r="CL64" s="478"/>
      <c r="CM64" s="479"/>
      <c r="CN64" s="477"/>
      <c r="CO64" s="478"/>
      <c r="CP64" s="478"/>
      <c r="CQ64" s="478"/>
      <c r="CR64" s="479"/>
      <c r="CS64" s="480"/>
      <c r="CT64" s="481"/>
      <c r="CU64" s="481"/>
      <c r="CV64" s="481"/>
      <c r="CW64" s="482"/>
    </row>
    <row r="65" spans="1:101" s="91" customFormat="1" ht="16.149999999999999" customHeight="1" x14ac:dyDescent="0.15">
      <c r="A65" s="516">
        <v>10</v>
      </c>
      <c r="B65" s="102"/>
      <c r="C65" s="217" t="str">
        <f t="shared" ref="C65:C70" ca="1" si="4">IF(AND(OFFSET($K83,-($AZ65-1),0)&lt;&gt;"",OFFSET($R83,-($AZ65-1),0)&lt;&gt;"x"),"@","")</f>
        <v/>
      </c>
      <c r="D65" s="519"/>
      <c r="E65" s="649"/>
      <c r="F65" s="649"/>
      <c r="G65" s="649"/>
      <c r="H65" s="649"/>
      <c r="I65" s="649"/>
      <c r="J65" s="649"/>
      <c r="K65" s="525"/>
      <c r="L65" s="526"/>
      <c r="M65" s="526"/>
      <c r="N65" s="526"/>
      <c r="O65" s="526"/>
      <c r="P65" s="526"/>
      <c r="Q65" s="526"/>
      <c r="R65" s="531"/>
      <c r="S65" s="532"/>
      <c r="T65" s="531" t="s">
        <v>284</v>
      </c>
      <c r="U65" s="532"/>
      <c r="V65" s="525"/>
      <c r="W65" s="538"/>
      <c r="X65" s="538"/>
      <c r="Y65" s="538"/>
      <c r="Z65" s="538"/>
      <c r="AA65" s="538"/>
      <c r="AB65" s="540"/>
      <c r="AC65" s="525"/>
      <c r="AD65" s="538"/>
      <c r="AE65" s="538"/>
      <c r="AF65" s="538"/>
      <c r="AG65" s="538"/>
      <c r="AH65" s="538"/>
      <c r="AI65" s="540"/>
      <c r="AJ65" s="525"/>
      <c r="AK65" s="538"/>
      <c r="AL65" s="538"/>
      <c r="AM65" s="538"/>
      <c r="AN65" s="538"/>
      <c r="AO65" s="538"/>
      <c r="AP65" s="540"/>
      <c r="AQ65" s="525"/>
      <c r="AR65" s="538"/>
      <c r="AS65" s="538"/>
      <c r="AT65" s="538"/>
      <c r="AU65" s="538"/>
      <c r="AV65" s="538"/>
      <c r="AW65" s="540"/>
      <c r="AX65" s="491"/>
      <c r="AY65" s="492"/>
      <c r="AZ65" s="103">
        <v>1</v>
      </c>
      <c r="BA65" s="497"/>
      <c r="BB65" s="498"/>
      <c r="BC65" s="498"/>
      <c r="BD65" s="499"/>
      <c r="BE65" s="500" t="s">
        <v>568</v>
      </c>
      <c r="BF65" s="501"/>
      <c r="BG65" s="271"/>
      <c r="BH65" s="502"/>
      <c r="BI65" s="503"/>
      <c r="BJ65" s="503"/>
      <c r="BK65" s="503"/>
      <c r="BL65" s="503"/>
      <c r="BM65" s="504"/>
      <c r="BN65" s="502"/>
      <c r="BO65" s="503"/>
      <c r="BP65" s="503"/>
      <c r="BQ65" s="503"/>
      <c r="BR65" s="503"/>
      <c r="BS65" s="504"/>
      <c r="BT65" s="502"/>
      <c r="BU65" s="503"/>
      <c r="BV65" s="503"/>
      <c r="BW65" s="503"/>
      <c r="BX65" s="503"/>
      <c r="BY65" s="504"/>
      <c r="BZ65" s="497"/>
      <c r="CA65" s="498"/>
      <c r="CB65" s="498"/>
      <c r="CC65" s="499"/>
      <c r="CD65" s="477"/>
      <c r="CE65" s="478"/>
      <c r="CF65" s="478"/>
      <c r="CG65" s="478"/>
      <c r="CH65" s="479"/>
      <c r="CI65" s="477"/>
      <c r="CJ65" s="478"/>
      <c r="CK65" s="478"/>
      <c r="CL65" s="478"/>
      <c r="CM65" s="479"/>
      <c r="CN65" s="477"/>
      <c r="CO65" s="478"/>
      <c r="CP65" s="478"/>
      <c r="CQ65" s="478"/>
      <c r="CR65" s="479"/>
      <c r="CS65" s="480"/>
      <c r="CT65" s="481"/>
      <c r="CU65" s="481"/>
      <c r="CV65" s="481"/>
      <c r="CW65" s="482"/>
    </row>
    <row r="66" spans="1:101" s="91" customFormat="1" ht="16.5" x14ac:dyDescent="0.15">
      <c r="A66" s="517"/>
      <c r="B66" s="102"/>
      <c r="C66" s="220" t="str">
        <f t="shared" ca="1" si="4"/>
        <v/>
      </c>
      <c r="D66" s="521"/>
      <c r="E66" s="522"/>
      <c r="F66" s="522"/>
      <c r="G66" s="522"/>
      <c r="H66" s="522"/>
      <c r="I66" s="522"/>
      <c r="J66" s="522"/>
      <c r="K66" s="527"/>
      <c r="L66" s="528"/>
      <c r="M66" s="528"/>
      <c r="N66" s="528"/>
      <c r="O66" s="528"/>
      <c r="P66" s="528"/>
      <c r="Q66" s="528"/>
      <c r="R66" s="533"/>
      <c r="S66" s="534"/>
      <c r="T66" s="533"/>
      <c r="U66" s="534"/>
      <c r="V66" s="527"/>
      <c r="W66" s="528"/>
      <c r="X66" s="528"/>
      <c r="Y66" s="528"/>
      <c r="Z66" s="528"/>
      <c r="AA66" s="528"/>
      <c r="AB66" s="541"/>
      <c r="AC66" s="527"/>
      <c r="AD66" s="528"/>
      <c r="AE66" s="528"/>
      <c r="AF66" s="528"/>
      <c r="AG66" s="528"/>
      <c r="AH66" s="528"/>
      <c r="AI66" s="541"/>
      <c r="AJ66" s="527"/>
      <c r="AK66" s="528"/>
      <c r="AL66" s="528"/>
      <c r="AM66" s="528"/>
      <c r="AN66" s="528"/>
      <c r="AO66" s="528"/>
      <c r="AP66" s="541"/>
      <c r="AQ66" s="527"/>
      <c r="AR66" s="528"/>
      <c r="AS66" s="528"/>
      <c r="AT66" s="528"/>
      <c r="AU66" s="528"/>
      <c r="AV66" s="528"/>
      <c r="AW66" s="541"/>
      <c r="AX66" s="493"/>
      <c r="AY66" s="494"/>
      <c r="AZ66" s="105">
        <v>2</v>
      </c>
      <c r="BA66" s="483"/>
      <c r="BB66" s="484"/>
      <c r="BC66" s="484"/>
      <c r="BD66" s="485"/>
      <c r="BE66" s="486"/>
      <c r="BF66" s="487"/>
      <c r="BG66" s="106"/>
      <c r="BH66" s="488"/>
      <c r="BI66" s="489"/>
      <c r="BJ66" s="489"/>
      <c r="BK66" s="489"/>
      <c r="BL66" s="489"/>
      <c r="BM66" s="490"/>
      <c r="BN66" s="488"/>
      <c r="BO66" s="489"/>
      <c r="BP66" s="489"/>
      <c r="BQ66" s="489"/>
      <c r="BR66" s="489"/>
      <c r="BS66" s="490"/>
      <c r="BT66" s="488"/>
      <c r="BU66" s="489"/>
      <c r="BV66" s="489"/>
      <c r="BW66" s="489"/>
      <c r="BX66" s="489"/>
      <c r="BY66" s="490"/>
      <c r="BZ66" s="483"/>
      <c r="CA66" s="484"/>
      <c r="CB66" s="484"/>
      <c r="CC66" s="485"/>
      <c r="CD66" s="477"/>
      <c r="CE66" s="478"/>
      <c r="CF66" s="478"/>
      <c r="CG66" s="478"/>
      <c r="CH66" s="479"/>
      <c r="CI66" s="477"/>
      <c r="CJ66" s="478"/>
      <c r="CK66" s="478"/>
      <c r="CL66" s="478"/>
      <c r="CM66" s="479"/>
      <c r="CN66" s="477"/>
      <c r="CO66" s="478"/>
      <c r="CP66" s="478"/>
      <c r="CQ66" s="478"/>
      <c r="CR66" s="479"/>
      <c r="CS66" s="480"/>
      <c r="CT66" s="481"/>
      <c r="CU66" s="481"/>
      <c r="CV66" s="481"/>
      <c r="CW66" s="482"/>
    </row>
    <row r="67" spans="1:101" s="91" customFormat="1" ht="16.5" x14ac:dyDescent="0.15">
      <c r="A67" s="517"/>
      <c r="B67" s="102"/>
      <c r="C67" s="220" t="str">
        <f t="shared" ca="1" si="4"/>
        <v/>
      </c>
      <c r="D67" s="521"/>
      <c r="E67" s="522"/>
      <c r="F67" s="522"/>
      <c r="G67" s="522"/>
      <c r="H67" s="522"/>
      <c r="I67" s="522"/>
      <c r="J67" s="522"/>
      <c r="K67" s="527"/>
      <c r="L67" s="528"/>
      <c r="M67" s="528"/>
      <c r="N67" s="528"/>
      <c r="O67" s="528"/>
      <c r="P67" s="528"/>
      <c r="Q67" s="528"/>
      <c r="R67" s="533"/>
      <c r="S67" s="534"/>
      <c r="T67" s="533"/>
      <c r="U67" s="534"/>
      <c r="V67" s="527"/>
      <c r="W67" s="528"/>
      <c r="X67" s="528"/>
      <c r="Y67" s="528"/>
      <c r="Z67" s="528"/>
      <c r="AA67" s="528"/>
      <c r="AB67" s="541"/>
      <c r="AC67" s="527"/>
      <c r="AD67" s="528"/>
      <c r="AE67" s="528"/>
      <c r="AF67" s="528"/>
      <c r="AG67" s="528"/>
      <c r="AH67" s="528"/>
      <c r="AI67" s="541"/>
      <c r="AJ67" s="527"/>
      <c r="AK67" s="528"/>
      <c r="AL67" s="528"/>
      <c r="AM67" s="528"/>
      <c r="AN67" s="528"/>
      <c r="AO67" s="528"/>
      <c r="AP67" s="541"/>
      <c r="AQ67" s="527"/>
      <c r="AR67" s="528"/>
      <c r="AS67" s="528"/>
      <c r="AT67" s="528"/>
      <c r="AU67" s="528"/>
      <c r="AV67" s="528"/>
      <c r="AW67" s="541"/>
      <c r="AX67" s="493"/>
      <c r="AY67" s="494"/>
      <c r="AZ67" s="105">
        <v>3</v>
      </c>
      <c r="BA67" s="483"/>
      <c r="BB67" s="484"/>
      <c r="BC67" s="484"/>
      <c r="BD67" s="485"/>
      <c r="BE67" s="486"/>
      <c r="BF67" s="487"/>
      <c r="BG67" s="106"/>
      <c r="BH67" s="488"/>
      <c r="BI67" s="489"/>
      <c r="BJ67" s="489"/>
      <c r="BK67" s="489"/>
      <c r="BL67" s="489"/>
      <c r="BM67" s="490"/>
      <c r="BN67" s="488"/>
      <c r="BO67" s="489"/>
      <c r="BP67" s="489"/>
      <c r="BQ67" s="489"/>
      <c r="BR67" s="489"/>
      <c r="BS67" s="490"/>
      <c r="BT67" s="488"/>
      <c r="BU67" s="489"/>
      <c r="BV67" s="489"/>
      <c r="BW67" s="489"/>
      <c r="BX67" s="489"/>
      <c r="BY67" s="490"/>
      <c r="BZ67" s="483"/>
      <c r="CA67" s="484"/>
      <c r="CB67" s="484"/>
      <c r="CC67" s="485"/>
      <c r="CD67" s="477"/>
      <c r="CE67" s="478"/>
      <c r="CF67" s="478"/>
      <c r="CG67" s="478"/>
      <c r="CH67" s="479"/>
      <c r="CI67" s="477"/>
      <c r="CJ67" s="478"/>
      <c r="CK67" s="478"/>
      <c r="CL67" s="478"/>
      <c r="CM67" s="479"/>
      <c r="CN67" s="477"/>
      <c r="CO67" s="478"/>
      <c r="CP67" s="478"/>
      <c r="CQ67" s="478"/>
      <c r="CR67" s="479"/>
      <c r="CS67" s="480"/>
      <c r="CT67" s="481"/>
      <c r="CU67" s="481"/>
      <c r="CV67" s="481"/>
      <c r="CW67" s="482"/>
    </row>
    <row r="68" spans="1:101" s="91" customFormat="1" ht="16.5" x14ac:dyDescent="0.15">
      <c r="A68" s="517"/>
      <c r="B68" s="102"/>
      <c r="C68" s="220" t="str">
        <f t="shared" ca="1" si="4"/>
        <v/>
      </c>
      <c r="D68" s="521"/>
      <c r="E68" s="522"/>
      <c r="F68" s="522"/>
      <c r="G68" s="522"/>
      <c r="H68" s="522"/>
      <c r="I68" s="522"/>
      <c r="J68" s="522"/>
      <c r="K68" s="527"/>
      <c r="L68" s="528"/>
      <c r="M68" s="528"/>
      <c r="N68" s="528"/>
      <c r="O68" s="528"/>
      <c r="P68" s="528"/>
      <c r="Q68" s="528"/>
      <c r="R68" s="533"/>
      <c r="S68" s="534"/>
      <c r="T68" s="533"/>
      <c r="U68" s="534"/>
      <c r="V68" s="527"/>
      <c r="W68" s="528"/>
      <c r="X68" s="528"/>
      <c r="Y68" s="528"/>
      <c r="Z68" s="528"/>
      <c r="AA68" s="528"/>
      <c r="AB68" s="541"/>
      <c r="AC68" s="527"/>
      <c r="AD68" s="528"/>
      <c r="AE68" s="528"/>
      <c r="AF68" s="528"/>
      <c r="AG68" s="528"/>
      <c r="AH68" s="528"/>
      <c r="AI68" s="541"/>
      <c r="AJ68" s="527"/>
      <c r="AK68" s="528"/>
      <c r="AL68" s="528"/>
      <c r="AM68" s="528"/>
      <c r="AN68" s="528"/>
      <c r="AO68" s="528"/>
      <c r="AP68" s="541"/>
      <c r="AQ68" s="527"/>
      <c r="AR68" s="528"/>
      <c r="AS68" s="528"/>
      <c r="AT68" s="528"/>
      <c r="AU68" s="528"/>
      <c r="AV68" s="528"/>
      <c r="AW68" s="541"/>
      <c r="AX68" s="493"/>
      <c r="AY68" s="494"/>
      <c r="AZ68" s="105">
        <v>4</v>
      </c>
      <c r="BA68" s="483"/>
      <c r="BB68" s="484"/>
      <c r="BC68" s="484"/>
      <c r="BD68" s="485"/>
      <c r="BE68" s="486"/>
      <c r="BF68" s="487"/>
      <c r="BG68" s="106"/>
      <c r="BH68" s="488"/>
      <c r="BI68" s="489"/>
      <c r="BJ68" s="489"/>
      <c r="BK68" s="489"/>
      <c r="BL68" s="489"/>
      <c r="BM68" s="490"/>
      <c r="BN68" s="488"/>
      <c r="BO68" s="489"/>
      <c r="BP68" s="489"/>
      <c r="BQ68" s="489"/>
      <c r="BR68" s="489"/>
      <c r="BS68" s="490"/>
      <c r="BT68" s="488"/>
      <c r="BU68" s="489"/>
      <c r="BV68" s="489"/>
      <c r="BW68" s="489"/>
      <c r="BX68" s="489"/>
      <c r="BY68" s="490"/>
      <c r="BZ68" s="483"/>
      <c r="CA68" s="484"/>
      <c r="CB68" s="484"/>
      <c r="CC68" s="485"/>
      <c r="CD68" s="477"/>
      <c r="CE68" s="478"/>
      <c r="CF68" s="478"/>
      <c r="CG68" s="478"/>
      <c r="CH68" s="479"/>
      <c r="CI68" s="477"/>
      <c r="CJ68" s="478"/>
      <c r="CK68" s="478"/>
      <c r="CL68" s="478"/>
      <c r="CM68" s="479"/>
      <c r="CN68" s="477"/>
      <c r="CO68" s="478"/>
      <c r="CP68" s="478"/>
      <c r="CQ68" s="478"/>
      <c r="CR68" s="479"/>
      <c r="CS68" s="480"/>
      <c r="CT68" s="481"/>
      <c r="CU68" s="481"/>
      <c r="CV68" s="481"/>
      <c r="CW68" s="482"/>
    </row>
    <row r="69" spans="1:101" s="91" customFormat="1" ht="16.5" x14ac:dyDescent="0.15">
      <c r="A69" s="517"/>
      <c r="B69" s="102"/>
      <c r="C69" s="220" t="str">
        <f t="shared" ca="1" si="4"/>
        <v/>
      </c>
      <c r="D69" s="521"/>
      <c r="E69" s="522"/>
      <c r="F69" s="522"/>
      <c r="G69" s="522"/>
      <c r="H69" s="522"/>
      <c r="I69" s="522"/>
      <c r="J69" s="522"/>
      <c r="K69" s="527"/>
      <c r="L69" s="528"/>
      <c r="M69" s="528"/>
      <c r="N69" s="528"/>
      <c r="O69" s="528"/>
      <c r="P69" s="528"/>
      <c r="Q69" s="528"/>
      <c r="R69" s="533"/>
      <c r="S69" s="534"/>
      <c r="T69" s="533"/>
      <c r="U69" s="534"/>
      <c r="V69" s="527"/>
      <c r="W69" s="528"/>
      <c r="X69" s="528"/>
      <c r="Y69" s="528"/>
      <c r="Z69" s="528"/>
      <c r="AA69" s="528"/>
      <c r="AB69" s="541"/>
      <c r="AC69" s="527"/>
      <c r="AD69" s="528"/>
      <c r="AE69" s="528"/>
      <c r="AF69" s="528"/>
      <c r="AG69" s="528"/>
      <c r="AH69" s="528"/>
      <c r="AI69" s="541"/>
      <c r="AJ69" s="527"/>
      <c r="AK69" s="528"/>
      <c r="AL69" s="528"/>
      <c r="AM69" s="528"/>
      <c r="AN69" s="528"/>
      <c r="AO69" s="528"/>
      <c r="AP69" s="541"/>
      <c r="AQ69" s="527"/>
      <c r="AR69" s="528"/>
      <c r="AS69" s="528"/>
      <c r="AT69" s="528"/>
      <c r="AU69" s="528"/>
      <c r="AV69" s="528"/>
      <c r="AW69" s="541"/>
      <c r="AX69" s="493"/>
      <c r="AY69" s="494"/>
      <c r="AZ69" s="105">
        <v>5</v>
      </c>
      <c r="BA69" s="483"/>
      <c r="BB69" s="484"/>
      <c r="BC69" s="484"/>
      <c r="BD69" s="485"/>
      <c r="BE69" s="486"/>
      <c r="BF69" s="487"/>
      <c r="BG69" s="106"/>
      <c r="BH69" s="488"/>
      <c r="BI69" s="489"/>
      <c r="BJ69" s="489"/>
      <c r="BK69" s="489"/>
      <c r="BL69" s="489"/>
      <c r="BM69" s="490"/>
      <c r="BN69" s="488"/>
      <c r="BO69" s="489"/>
      <c r="BP69" s="489"/>
      <c r="BQ69" s="489"/>
      <c r="BR69" s="489"/>
      <c r="BS69" s="490"/>
      <c r="BT69" s="488"/>
      <c r="BU69" s="489"/>
      <c r="BV69" s="489"/>
      <c r="BW69" s="489"/>
      <c r="BX69" s="489"/>
      <c r="BY69" s="490"/>
      <c r="BZ69" s="483"/>
      <c r="CA69" s="484"/>
      <c r="CB69" s="484"/>
      <c r="CC69" s="485"/>
      <c r="CD69" s="477"/>
      <c r="CE69" s="478"/>
      <c r="CF69" s="478"/>
      <c r="CG69" s="478"/>
      <c r="CH69" s="479"/>
      <c r="CI69" s="477"/>
      <c r="CJ69" s="478"/>
      <c r="CK69" s="478"/>
      <c r="CL69" s="478"/>
      <c r="CM69" s="479"/>
      <c r="CN69" s="477"/>
      <c r="CO69" s="478"/>
      <c r="CP69" s="478"/>
      <c r="CQ69" s="478"/>
      <c r="CR69" s="479"/>
      <c r="CS69" s="480"/>
      <c r="CT69" s="481"/>
      <c r="CU69" s="481"/>
      <c r="CV69" s="481"/>
      <c r="CW69" s="482"/>
    </row>
    <row r="70" spans="1:101" s="91" customFormat="1" ht="16.5" x14ac:dyDescent="0.15">
      <c r="A70" s="518"/>
      <c r="B70" s="107"/>
      <c r="C70" s="220" t="str">
        <f t="shared" ca="1" si="4"/>
        <v/>
      </c>
      <c r="D70" s="523"/>
      <c r="E70" s="650"/>
      <c r="F70" s="650"/>
      <c r="G70" s="650"/>
      <c r="H70" s="650"/>
      <c r="I70" s="650"/>
      <c r="J70" s="650"/>
      <c r="K70" s="529"/>
      <c r="L70" s="530"/>
      <c r="M70" s="530"/>
      <c r="N70" s="530"/>
      <c r="O70" s="530"/>
      <c r="P70" s="530"/>
      <c r="Q70" s="530"/>
      <c r="R70" s="535"/>
      <c r="S70" s="537"/>
      <c r="T70" s="535"/>
      <c r="U70" s="537"/>
      <c r="V70" s="529"/>
      <c r="W70" s="539"/>
      <c r="X70" s="539"/>
      <c r="Y70" s="539"/>
      <c r="Z70" s="539"/>
      <c r="AA70" s="539"/>
      <c r="AB70" s="542"/>
      <c r="AC70" s="529"/>
      <c r="AD70" s="539"/>
      <c r="AE70" s="539"/>
      <c r="AF70" s="539"/>
      <c r="AG70" s="539"/>
      <c r="AH70" s="539"/>
      <c r="AI70" s="542"/>
      <c r="AJ70" s="529"/>
      <c r="AK70" s="539"/>
      <c r="AL70" s="539"/>
      <c r="AM70" s="539"/>
      <c r="AN70" s="539"/>
      <c r="AO70" s="539"/>
      <c r="AP70" s="542"/>
      <c r="AQ70" s="529"/>
      <c r="AR70" s="539"/>
      <c r="AS70" s="539"/>
      <c r="AT70" s="539"/>
      <c r="AU70" s="539"/>
      <c r="AV70" s="539"/>
      <c r="AW70" s="542"/>
      <c r="AX70" s="495"/>
      <c r="AY70" s="496"/>
      <c r="AZ70" s="108">
        <v>6</v>
      </c>
      <c r="BA70" s="513"/>
      <c r="BB70" s="514"/>
      <c r="BC70" s="514"/>
      <c r="BD70" s="515"/>
      <c r="BE70" s="508"/>
      <c r="BF70" s="509"/>
      <c r="BG70" s="111"/>
      <c r="BH70" s="510"/>
      <c r="BI70" s="511"/>
      <c r="BJ70" s="511"/>
      <c r="BK70" s="511"/>
      <c r="BL70" s="511"/>
      <c r="BM70" s="512"/>
      <c r="BN70" s="510"/>
      <c r="BO70" s="511"/>
      <c r="BP70" s="511"/>
      <c r="BQ70" s="511"/>
      <c r="BR70" s="511"/>
      <c r="BS70" s="512"/>
      <c r="BT70" s="510"/>
      <c r="BU70" s="511"/>
      <c r="BV70" s="511"/>
      <c r="BW70" s="511"/>
      <c r="BX70" s="511"/>
      <c r="BY70" s="512"/>
      <c r="BZ70" s="513"/>
      <c r="CA70" s="514"/>
      <c r="CB70" s="514"/>
      <c r="CC70" s="515"/>
      <c r="CD70" s="477"/>
      <c r="CE70" s="478"/>
      <c r="CF70" s="478"/>
      <c r="CG70" s="478"/>
      <c r="CH70" s="479"/>
      <c r="CI70" s="477"/>
      <c r="CJ70" s="478"/>
      <c r="CK70" s="478"/>
      <c r="CL70" s="478"/>
      <c r="CM70" s="479"/>
      <c r="CN70" s="477"/>
      <c r="CO70" s="478"/>
      <c r="CP70" s="478"/>
      <c r="CQ70" s="478"/>
      <c r="CR70" s="479"/>
      <c r="CS70" s="480"/>
      <c r="CT70" s="481"/>
      <c r="CU70" s="481"/>
      <c r="CV70" s="481"/>
      <c r="CW70" s="482"/>
    </row>
    <row r="71" spans="1:101" s="91" customFormat="1" ht="15.75" customHeight="1" x14ac:dyDescent="0.15">
      <c r="A71" s="516">
        <v>11</v>
      </c>
      <c r="B71" s="102"/>
      <c r="C71" s="222" t="str">
        <f t="shared" ref="C71:C76" ca="1" si="5">IF(AND(OFFSET($K71,-($AZ71-1),0)&lt;&gt;"",OFFSET($R71,-($AZ71-1),0)&lt;&gt;"x"),"@","")</f>
        <v/>
      </c>
      <c r="D71" s="519"/>
      <c r="E71" s="649"/>
      <c r="F71" s="649"/>
      <c r="G71" s="649"/>
      <c r="H71" s="649"/>
      <c r="I71" s="649"/>
      <c r="J71" s="649"/>
      <c r="K71" s="525"/>
      <c r="L71" s="526"/>
      <c r="M71" s="526"/>
      <c r="N71" s="526"/>
      <c r="O71" s="526"/>
      <c r="P71" s="526"/>
      <c r="Q71" s="526"/>
      <c r="R71" s="531"/>
      <c r="S71" s="532"/>
      <c r="T71" s="531"/>
      <c r="U71" s="532"/>
      <c r="V71" s="525"/>
      <c r="W71" s="538"/>
      <c r="X71" s="538"/>
      <c r="Y71" s="538"/>
      <c r="Z71" s="538"/>
      <c r="AA71" s="538"/>
      <c r="AB71" s="538"/>
      <c r="AC71" s="525"/>
      <c r="AD71" s="538"/>
      <c r="AE71" s="538"/>
      <c r="AF71" s="538"/>
      <c r="AG71" s="538"/>
      <c r="AH71" s="538"/>
      <c r="AI71" s="538"/>
      <c r="AJ71" s="525"/>
      <c r="AK71" s="538"/>
      <c r="AL71" s="538"/>
      <c r="AM71" s="538"/>
      <c r="AN71" s="538"/>
      <c r="AO71" s="538"/>
      <c r="AP71" s="540"/>
      <c r="AQ71" s="525"/>
      <c r="AR71" s="544"/>
      <c r="AS71" s="544"/>
      <c r="AT71" s="544"/>
      <c r="AU71" s="544"/>
      <c r="AV71" s="544"/>
      <c r="AW71" s="545"/>
      <c r="AX71" s="491"/>
      <c r="AY71" s="492"/>
      <c r="AZ71" s="103">
        <v>1</v>
      </c>
      <c r="BA71" s="497"/>
      <c r="BB71" s="498"/>
      <c r="BC71" s="498"/>
      <c r="BD71" s="499"/>
      <c r="BE71" s="500" t="s">
        <v>568</v>
      </c>
      <c r="BF71" s="501"/>
      <c r="BG71" s="110"/>
      <c r="BH71" s="502"/>
      <c r="BI71" s="503"/>
      <c r="BJ71" s="503"/>
      <c r="BK71" s="503"/>
      <c r="BL71" s="503"/>
      <c r="BM71" s="504"/>
      <c r="BN71" s="502"/>
      <c r="BO71" s="503"/>
      <c r="BP71" s="503"/>
      <c r="BQ71" s="503"/>
      <c r="BR71" s="503"/>
      <c r="BS71" s="504"/>
      <c r="BT71" s="502"/>
      <c r="BU71" s="503"/>
      <c r="BV71" s="503"/>
      <c r="BW71" s="503"/>
      <c r="BX71" s="503"/>
      <c r="BY71" s="504"/>
      <c r="BZ71" s="497"/>
      <c r="CA71" s="498"/>
      <c r="CB71" s="498"/>
      <c r="CC71" s="499"/>
      <c r="CD71" s="477"/>
      <c r="CE71" s="478"/>
      <c r="CF71" s="478"/>
      <c r="CG71" s="478"/>
      <c r="CH71" s="479"/>
      <c r="CI71" s="477"/>
      <c r="CJ71" s="478"/>
      <c r="CK71" s="478"/>
      <c r="CL71" s="478"/>
      <c r="CM71" s="479"/>
      <c r="CN71" s="477"/>
      <c r="CO71" s="478"/>
      <c r="CP71" s="478"/>
      <c r="CQ71" s="478"/>
      <c r="CR71" s="479"/>
      <c r="CS71" s="480"/>
      <c r="CT71" s="481"/>
      <c r="CU71" s="481"/>
      <c r="CV71" s="481"/>
      <c r="CW71" s="482"/>
    </row>
    <row r="72" spans="1:101" s="91" customFormat="1" ht="16.5" x14ac:dyDescent="0.15">
      <c r="A72" s="517"/>
      <c r="B72" s="102"/>
      <c r="C72" s="220" t="str">
        <f t="shared" ca="1" si="5"/>
        <v/>
      </c>
      <c r="D72" s="521"/>
      <c r="E72" s="522"/>
      <c r="F72" s="522"/>
      <c r="G72" s="522"/>
      <c r="H72" s="522"/>
      <c r="I72" s="522"/>
      <c r="J72" s="522"/>
      <c r="K72" s="527"/>
      <c r="L72" s="528"/>
      <c r="M72" s="528"/>
      <c r="N72" s="528"/>
      <c r="O72" s="528"/>
      <c r="P72" s="528"/>
      <c r="Q72" s="528"/>
      <c r="R72" s="533"/>
      <c r="S72" s="534"/>
      <c r="T72" s="533"/>
      <c r="U72" s="534"/>
      <c r="V72" s="527"/>
      <c r="W72" s="528"/>
      <c r="X72" s="528"/>
      <c r="Y72" s="528"/>
      <c r="Z72" s="528"/>
      <c r="AA72" s="528"/>
      <c r="AB72" s="528"/>
      <c r="AC72" s="527"/>
      <c r="AD72" s="528"/>
      <c r="AE72" s="528"/>
      <c r="AF72" s="528"/>
      <c r="AG72" s="528"/>
      <c r="AH72" s="528"/>
      <c r="AI72" s="528"/>
      <c r="AJ72" s="527"/>
      <c r="AK72" s="528"/>
      <c r="AL72" s="528"/>
      <c r="AM72" s="528"/>
      <c r="AN72" s="528"/>
      <c r="AO72" s="528"/>
      <c r="AP72" s="541"/>
      <c r="AQ72" s="546"/>
      <c r="AR72" s="547"/>
      <c r="AS72" s="547"/>
      <c r="AT72" s="547"/>
      <c r="AU72" s="547"/>
      <c r="AV72" s="547"/>
      <c r="AW72" s="548"/>
      <c r="AX72" s="493"/>
      <c r="AY72" s="494"/>
      <c r="AZ72" s="105">
        <v>2</v>
      </c>
      <c r="BA72" s="483"/>
      <c r="BB72" s="484"/>
      <c r="BC72" s="484"/>
      <c r="BD72" s="485"/>
      <c r="BE72" s="486"/>
      <c r="BF72" s="487"/>
      <c r="BG72" s="106"/>
      <c r="BH72" s="488"/>
      <c r="BI72" s="489"/>
      <c r="BJ72" s="489"/>
      <c r="BK72" s="489"/>
      <c r="BL72" s="489"/>
      <c r="BM72" s="490"/>
      <c r="BN72" s="488"/>
      <c r="BO72" s="489"/>
      <c r="BP72" s="489"/>
      <c r="BQ72" s="489"/>
      <c r="BR72" s="489"/>
      <c r="BS72" s="490"/>
      <c r="BT72" s="488"/>
      <c r="BU72" s="489"/>
      <c r="BV72" s="489"/>
      <c r="BW72" s="489"/>
      <c r="BX72" s="489"/>
      <c r="BY72" s="490"/>
      <c r="BZ72" s="483"/>
      <c r="CA72" s="484"/>
      <c r="CB72" s="484"/>
      <c r="CC72" s="485"/>
      <c r="CD72" s="477"/>
      <c r="CE72" s="478"/>
      <c r="CF72" s="478"/>
      <c r="CG72" s="478"/>
      <c r="CH72" s="479"/>
      <c r="CI72" s="477"/>
      <c r="CJ72" s="478"/>
      <c r="CK72" s="478"/>
      <c r="CL72" s="478"/>
      <c r="CM72" s="479"/>
      <c r="CN72" s="477"/>
      <c r="CO72" s="478"/>
      <c r="CP72" s="478"/>
      <c r="CQ72" s="478"/>
      <c r="CR72" s="479"/>
      <c r="CS72" s="480"/>
      <c r="CT72" s="481"/>
      <c r="CU72" s="481"/>
      <c r="CV72" s="481"/>
      <c r="CW72" s="482"/>
    </row>
    <row r="73" spans="1:101" s="91" customFormat="1" ht="16.5" x14ac:dyDescent="0.15">
      <c r="A73" s="517"/>
      <c r="B73" s="102"/>
      <c r="C73" s="220" t="str">
        <f t="shared" ca="1" si="5"/>
        <v/>
      </c>
      <c r="D73" s="521"/>
      <c r="E73" s="522"/>
      <c r="F73" s="522"/>
      <c r="G73" s="522"/>
      <c r="H73" s="522"/>
      <c r="I73" s="522"/>
      <c r="J73" s="522"/>
      <c r="K73" s="527"/>
      <c r="L73" s="528"/>
      <c r="M73" s="528"/>
      <c r="N73" s="528"/>
      <c r="O73" s="528"/>
      <c r="P73" s="528"/>
      <c r="Q73" s="528"/>
      <c r="R73" s="533"/>
      <c r="S73" s="534"/>
      <c r="T73" s="533"/>
      <c r="U73" s="534"/>
      <c r="V73" s="527"/>
      <c r="W73" s="528"/>
      <c r="X73" s="528"/>
      <c r="Y73" s="528"/>
      <c r="Z73" s="528"/>
      <c r="AA73" s="528"/>
      <c r="AB73" s="528"/>
      <c r="AC73" s="527"/>
      <c r="AD73" s="528"/>
      <c r="AE73" s="528"/>
      <c r="AF73" s="528"/>
      <c r="AG73" s="528"/>
      <c r="AH73" s="528"/>
      <c r="AI73" s="528"/>
      <c r="AJ73" s="527"/>
      <c r="AK73" s="528"/>
      <c r="AL73" s="528"/>
      <c r="AM73" s="528"/>
      <c r="AN73" s="528"/>
      <c r="AO73" s="528"/>
      <c r="AP73" s="541"/>
      <c r="AQ73" s="546"/>
      <c r="AR73" s="547"/>
      <c r="AS73" s="547"/>
      <c r="AT73" s="547"/>
      <c r="AU73" s="547"/>
      <c r="AV73" s="547"/>
      <c r="AW73" s="548"/>
      <c r="AX73" s="493"/>
      <c r="AY73" s="494"/>
      <c r="AZ73" s="105">
        <v>3</v>
      </c>
      <c r="BA73" s="483"/>
      <c r="BB73" s="484"/>
      <c r="BC73" s="484"/>
      <c r="BD73" s="485"/>
      <c r="BE73" s="486"/>
      <c r="BF73" s="487"/>
      <c r="BG73" s="106"/>
      <c r="BH73" s="488"/>
      <c r="BI73" s="489"/>
      <c r="BJ73" s="489"/>
      <c r="BK73" s="489"/>
      <c r="BL73" s="489"/>
      <c r="BM73" s="490"/>
      <c r="BN73" s="488"/>
      <c r="BO73" s="489"/>
      <c r="BP73" s="489"/>
      <c r="BQ73" s="489"/>
      <c r="BR73" s="489"/>
      <c r="BS73" s="490"/>
      <c r="BT73" s="488"/>
      <c r="BU73" s="489"/>
      <c r="BV73" s="489"/>
      <c r="BW73" s="489"/>
      <c r="BX73" s="489"/>
      <c r="BY73" s="490"/>
      <c r="BZ73" s="483"/>
      <c r="CA73" s="484"/>
      <c r="CB73" s="484"/>
      <c r="CC73" s="485"/>
      <c r="CD73" s="477"/>
      <c r="CE73" s="478"/>
      <c r="CF73" s="478"/>
      <c r="CG73" s="478"/>
      <c r="CH73" s="479"/>
      <c r="CI73" s="477"/>
      <c r="CJ73" s="478"/>
      <c r="CK73" s="478"/>
      <c r="CL73" s="478"/>
      <c r="CM73" s="479"/>
      <c r="CN73" s="477"/>
      <c r="CO73" s="478"/>
      <c r="CP73" s="478"/>
      <c r="CQ73" s="478"/>
      <c r="CR73" s="479"/>
      <c r="CS73" s="480"/>
      <c r="CT73" s="481"/>
      <c r="CU73" s="481"/>
      <c r="CV73" s="481"/>
      <c r="CW73" s="482"/>
    </row>
    <row r="74" spans="1:101" s="91" customFormat="1" ht="16.5" x14ac:dyDescent="0.15">
      <c r="A74" s="517"/>
      <c r="B74" s="102"/>
      <c r="C74" s="220" t="str">
        <f t="shared" ca="1" si="5"/>
        <v/>
      </c>
      <c r="D74" s="521"/>
      <c r="E74" s="522"/>
      <c r="F74" s="522"/>
      <c r="G74" s="522"/>
      <c r="H74" s="522"/>
      <c r="I74" s="522"/>
      <c r="J74" s="522"/>
      <c r="K74" s="527"/>
      <c r="L74" s="528"/>
      <c r="M74" s="528"/>
      <c r="N74" s="528"/>
      <c r="O74" s="528"/>
      <c r="P74" s="528"/>
      <c r="Q74" s="528"/>
      <c r="R74" s="533"/>
      <c r="S74" s="534"/>
      <c r="T74" s="533"/>
      <c r="U74" s="534"/>
      <c r="V74" s="527"/>
      <c r="W74" s="528"/>
      <c r="X74" s="528"/>
      <c r="Y74" s="528"/>
      <c r="Z74" s="528"/>
      <c r="AA74" s="528"/>
      <c r="AB74" s="528"/>
      <c r="AC74" s="527"/>
      <c r="AD74" s="528"/>
      <c r="AE74" s="528"/>
      <c r="AF74" s="528"/>
      <c r="AG74" s="528"/>
      <c r="AH74" s="528"/>
      <c r="AI74" s="528"/>
      <c r="AJ74" s="527"/>
      <c r="AK74" s="528"/>
      <c r="AL74" s="528"/>
      <c r="AM74" s="528"/>
      <c r="AN74" s="528"/>
      <c r="AO74" s="528"/>
      <c r="AP74" s="541"/>
      <c r="AQ74" s="546"/>
      <c r="AR74" s="547"/>
      <c r="AS74" s="547"/>
      <c r="AT74" s="547"/>
      <c r="AU74" s="547"/>
      <c r="AV74" s="547"/>
      <c r="AW74" s="548"/>
      <c r="AX74" s="493"/>
      <c r="AY74" s="494"/>
      <c r="AZ74" s="105">
        <v>4</v>
      </c>
      <c r="BA74" s="483"/>
      <c r="BB74" s="484"/>
      <c r="BC74" s="484"/>
      <c r="BD74" s="485"/>
      <c r="BE74" s="486"/>
      <c r="BF74" s="487"/>
      <c r="BG74" s="106"/>
      <c r="BH74" s="488"/>
      <c r="BI74" s="489"/>
      <c r="BJ74" s="489"/>
      <c r="BK74" s="489"/>
      <c r="BL74" s="489"/>
      <c r="BM74" s="490"/>
      <c r="BN74" s="488"/>
      <c r="BO74" s="489"/>
      <c r="BP74" s="489"/>
      <c r="BQ74" s="489"/>
      <c r="BR74" s="489"/>
      <c r="BS74" s="490"/>
      <c r="BT74" s="488"/>
      <c r="BU74" s="489"/>
      <c r="BV74" s="489"/>
      <c r="BW74" s="489"/>
      <c r="BX74" s="489"/>
      <c r="BY74" s="490"/>
      <c r="BZ74" s="483"/>
      <c r="CA74" s="484"/>
      <c r="CB74" s="484"/>
      <c r="CC74" s="485"/>
      <c r="CD74" s="477"/>
      <c r="CE74" s="478"/>
      <c r="CF74" s="478"/>
      <c r="CG74" s="478"/>
      <c r="CH74" s="479"/>
      <c r="CI74" s="477"/>
      <c r="CJ74" s="478"/>
      <c r="CK74" s="478"/>
      <c r="CL74" s="478"/>
      <c r="CM74" s="479"/>
      <c r="CN74" s="477"/>
      <c r="CO74" s="478"/>
      <c r="CP74" s="478"/>
      <c r="CQ74" s="478"/>
      <c r="CR74" s="479"/>
      <c r="CS74" s="480"/>
      <c r="CT74" s="481"/>
      <c r="CU74" s="481"/>
      <c r="CV74" s="481"/>
      <c r="CW74" s="482"/>
    </row>
    <row r="75" spans="1:101" s="91" customFormat="1" ht="16.5" x14ac:dyDescent="0.15">
      <c r="A75" s="517"/>
      <c r="B75" s="102"/>
      <c r="C75" s="220" t="str">
        <f t="shared" ca="1" si="5"/>
        <v/>
      </c>
      <c r="D75" s="521"/>
      <c r="E75" s="522"/>
      <c r="F75" s="522"/>
      <c r="G75" s="522"/>
      <c r="H75" s="522"/>
      <c r="I75" s="522"/>
      <c r="J75" s="522"/>
      <c r="K75" s="527"/>
      <c r="L75" s="528"/>
      <c r="M75" s="528"/>
      <c r="N75" s="528"/>
      <c r="O75" s="528"/>
      <c r="P75" s="528"/>
      <c r="Q75" s="528"/>
      <c r="R75" s="533"/>
      <c r="S75" s="534"/>
      <c r="T75" s="533"/>
      <c r="U75" s="534"/>
      <c r="V75" s="527"/>
      <c r="W75" s="528"/>
      <c r="X75" s="528"/>
      <c r="Y75" s="528"/>
      <c r="Z75" s="528"/>
      <c r="AA75" s="528"/>
      <c r="AB75" s="528"/>
      <c r="AC75" s="527"/>
      <c r="AD75" s="528"/>
      <c r="AE75" s="528"/>
      <c r="AF75" s="528"/>
      <c r="AG75" s="528"/>
      <c r="AH75" s="528"/>
      <c r="AI75" s="528"/>
      <c r="AJ75" s="527"/>
      <c r="AK75" s="528"/>
      <c r="AL75" s="528"/>
      <c r="AM75" s="528"/>
      <c r="AN75" s="528"/>
      <c r="AO75" s="528"/>
      <c r="AP75" s="541"/>
      <c r="AQ75" s="546"/>
      <c r="AR75" s="547"/>
      <c r="AS75" s="547"/>
      <c r="AT75" s="547"/>
      <c r="AU75" s="547"/>
      <c r="AV75" s="547"/>
      <c r="AW75" s="548"/>
      <c r="AX75" s="493"/>
      <c r="AY75" s="494"/>
      <c r="AZ75" s="105">
        <v>5</v>
      </c>
      <c r="BA75" s="483"/>
      <c r="BB75" s="484"/>
      <c r="BC75" s="484"/>
      <c r="BD75" s="485"/>
      <c r="BE75" s="486"/>
      <c r="BF75" s="487"/>
      <c r="BG75" s="106"/>
      <c r="BH75" s="488"/>
      <c r="BI75" s="489"/>
      <c r="BJ75" s="489"/>
      <c r="BK75" s="489"/>
      <c r="BL75" s="489"/>
      <c r="BM75" s="490"/>
      <c r="BN75" s="488"/>
      <c r="BO75" s="489"/>
      <c r="BP75" s="489"/>
      <c r="BQ75" s="489"/>
      <c r="BR75" s="489"/>
      <c r="BS75" s="490"/>
      <c r="BT75" s="488"/>
      <c r="BU75" s="489"/>
      <c r="BV75" s="489"/>
      <c r="BW75" s="489"/>
      <c r="BX75" s="489"/>
      <c r="BY75" s="490"/>
      <c r="BZ75" s="483"/>
      <c r="CA75" s="484"/>
      <c r="CB75" s="484"/>
      <c r="CC75" s="485"/>
      <c r="CD75" s="477"/>
      <c r="CE75" s="478"/>
      <c r="CF75" s="478"/>
      <c r="CG75" s="478"/>
      <c r="CH75" s="479"/>
      <c r="CI75" s="477"/>
      <c r="CJ75" s="478"/>
      <c r="CK75" s="478"/>
      <c r="CL75" s="478"/>
      <c r="CM75" s="479"/>
      <c r="CN75" s="477"/>
      <c r="CO75" s="478"/>
      <c r="CP75" s="478"/>
      <c r="CQ75" s="478"/>
      <c r="CR75" s="479"/>
      <c r="CS75" s="480"/>
      <c r="CT75" s="481"/>
      <c r="CU75" s="481"/>
      <c r="CV75" s="481"/>
      <c r="CW75" s="482"/>
    </row>
    <row r="76" spans="1:101" s="91" customFormat="1" ht="16.5" x14ac:dyDescent="0.15">
      <c r="A76" s="518"/>
      <c r="B76" s="107"/>
      <c r="C76" s="219" t="str">
        <f t="shared" ca="1" si="5"/>
        <v/>
      </c>
      <c r="D76" s="523"/>
      <c r="E76" s="650"/>
      <c r="F76" s="650"/>
      <c r="G76" s="650"/>
      <c r="H76" s="650"/>
      <c r="I76" s="650"/>
      <c r="J76" s="650"/>
      <c r="K76" s="529"/>
      <c r="L76" s="530"/>
      <c r="M76" s="530"/>
      <c r="N76" s="530"/>
      <c r="O76" s="530"/>
      <c r="P76" s="530"/>
      <c r="Q76" s="530"/>
      <c r="R76" s="535"/>
      <c r="S76" s="537"/>
      <c r="T76" s="535"/>
      <c r="U76" s="537"/>
      <c r="V76" s="529"/>
      <c r="W76" s="539"/>
      <c r="X76" s="539"/>
      <c r="Y76" s="539"/>
      <c r="Z76" s="539"/>
      <c r="AA76" s="539"/>
      <c r="AB76" s="539"/>
      <c r="AC76" s="529"/>
      <c r="AD76" s="539"/>
      <c r="AE76" s="539"/>
      <c r="AF76" s="539"/>
      <c r="AG76" s="539"/>
      <c r="AH76" s="539"/>
      <c r="AI76" s="539"/>
      <c r="AJ76" s="529"/>
      <c r="AK76" s="539"/>
      <c r="AL76" s="539"/>
      <c r="AM76" s="539"/>
      <c r="AN76" s="539"/>
      <c r="AO76" s="539"/>
      <c r="AP76" s="542"/>
      <c r="AQ76" s="549"/>
      <c r="AR76" s="550"/>
      <c r="AS76" s="550"/>
      <c r="AT76" s="550"/>
      <c r="AU76" s="550"/>
      <c r="AV76" s="550"/>
      <c r="AW76" s="551"/>
      <c r="AX76" s="495"/>
      <c r="AY76" s="496"/>
      <c r="AZ76" s="112">
        <v>6</v>
      </c>
      <c r="BA76" s="513"/>
      <c r="BB76" s="514"/>
      <c r="BC76" s="514"/>
      <c r="BD76" s="515"/>
      <c r="BE76" s="508"/>
      <c r="BF76" s="509"/>
      <c r="BG76" s="111"/>
      <c r="BH76" s="646"/>
      <c r="BI76" s="647"/>
      <c r="BJ76" s="647"/>
      <c r="BK76" s="647"/>
      <c r="BL76" s="647"/>
      <c r="BM76" s="648"/>
      <c r="BN76" s="646"/>
      <c r="BO76" s="647"/>
      <c r="BP76" s="647"/>
      <c r="BQ76" s="647"/>
      <c r="BR76" s="647"/>
      <c r="BS76" s="648"/>
      <c r="BT76" s="646"/>
      <c r="BU76" s="647"/>
      <c r="BV76" s="647"/>
      <c r="BW76" s="647"/>
      <c r="BX76" s="647"/>
      <c r="BY76" s="648"/>
      <c r="BZ76" s="513"/>
      <c r="CA76" s="514"/>
      <c r="CB76" s="514"/>
      <c r="CC76" s="515"/>
      <c r="CD76" s="477"/>
      <c r="CE76" s="478"/>
      <c r="CF76" s="478"/>
      <c r="CG76" s="478"/>
      <c r="CH76" s="479"/>
      <c r="CI76" s="477"/>
      <c r="CJ76" s="478"/>
      <c r="CK76" s="478"/>
      <c r="CL76" s="478"/>
      <c r="CM76" s="479"/>
      <c r="CN76" s="477"/>
      <c r="CO76" s="478"/>
      <c r="CP76" s="478"/>
      <c r="CQ76" s="478"/>
      <c r="CR76" s="479"/>
      <c r="CS76" s="480"/>
      <c r="CT76" s="481"/>
      <c r="CU76" s="481"/>
      <c r="CV76" s="481"/>
      <c r="CW76" s="482"/>
    </row>
    <row r="77" spans="1:101" s="91" customFormat="1" ht="16.149999999999999" customHeight="1" x14ac:dyDescent="0.15">
      <c r="A77" s="516">
        <v>12</v>
      </c>
      <c r="B77" s="102"/>
      <c r="C77" s="220" t="e">
        <f ca="1">IF(AND(OFFSET(#REF!,-($AZ77-1),0)&lt;&gt;"",OFFSET(#REF!,-($AZ77-1),0)&lt;&gt;"x"),"@","")</f>
        <v>#REF!</v>
      </c>
      <c r="D77" s="519"/>
      <c r="E77" s="649"/>
      <c r="F77" s="649"/>
      <c r="G77" s="649"/>
      <c r="H77" s="649"/>
      <c r="I77" s="649"/>
      <c r="J77" s="649"/>
      <c r="K77" s="525"/>
      <c r="L77" s="526"/>
      <c r="M77" s="526"/>
      <c r="N77" s="526"/>
      <c r="O77" s="526"/>
      <c r="P77" s="526"/>
      <c r="Q77" s="526"/>
      <c r="R77" s="531"/>
      <c r="S77" s="532"/>
      <c r="T77" s="531"/>
      <c r="U77" s="532"/>
      <c r="V77" s="525"/>
      <c r="W77" s="526"/>
      <c r="X77" s="526"/>
      <c r="Y77" s="526"/>
      <c r="Z77" s="526"/>
      <c r="AA77" s="526"/>
      <c r="AB77" s="540"/>
      <c r="AC77" s="525"/>
      <c r="AD77" s="538"/>
      <c r="AE77" s="538"/>
      <c r="AF77" s="538"/>
      <c r="AG77" s="538"/>
      <c r="AH77" s="538"/>
      <c r="AI77" s="538"/>
      <c r="AJ77" s="525"/>
      <c r="AK77" s="538"/>
      <c r="AL77" s="538"/>
      <c r="AM77" s="538"/>
      <c r="AN77" s="538"/>
      <c r="AO77" s="538"/>
      <c r="AP77" s="540"/>
      <c r="AQ77" s="525"/>
      <c r="AR77" s="544"/>
      <c r="AS77" s="544"/>
      <c r="AT77" s="544"/>
      <c r="AU77" s="544"/>
      <c r="AV77" s="544"/>
      <c r="AW77" s="545"/>
      <c r="AX77" s="491"/>
      <c r="AY77" s="492"/>
      <c r="AZ77" s="103">
        <v>1</v>
      </c>
      <c r="BA77" s="497"/>
      <c r="BB77" s="498"/>
      <c r="BC77" s="498"/>
      <c r="BD77" s="499"/>
      <c r="BE77" s="500" t="s">
        <v>568</v>
      </c>
      <c r="BF77" s="501"/>
      <c r="BG77" s="110"/>
      <c r="BH77" s="502"/>
      <c r="BI77" s="503"/>
      <c r="BJ77" s="503"/>
      <c r="BK77" s="503"/>
      <c r="BL77" s="503"/>
      <c r="BM77" s="504"/>
      <c r="BN77" s="502"/>
      <c r="BO77" s="503"/>
      <c r="BP77" s="503"/>
      <c r="BQ77" s="503"/>
      <c r="BR77" s="503"/>
      <c r="BS77" s="504"/>
      <c r="BT77" s="502"/>
      <c r="BU77" s="503"/>
      <c r="BV77" s="503"/>
      <c r="BW77" s="503"/>
      <c r="BX77" s="503"/>
      <c r="BY77" s="504"/>
      <c r="BZ77" s="497"/>
      <c r="CA77" s="498"/>
      <c r="CB77" s="498"/>
      <c r="CC77" s="499"/>
      <c r="CD77" s="477"/>
      <c r="CE77" s="478"/>
      <c r="CF77" s="478"/>
      <c r="CG77" s="478"/>
      <c r="CH77" s="479"/>
      <c r="CI77" s="477"/>
      <c r="CJ77" s="478"/>
      <c r="CK77" s="478"/>
      <c r="CL77" s="478"/>
      <c r="CM77" s="479"/>
      <c r="CN77" s="477"/>
      <c r="CO77" s="478"/>
      <c r="CP77" s="478"/>
      <c r="CQ77" s="478"/>
      <c r="CR77" s="479"/>
      <c r="CS77" s="480"/>
      <c r="CT77" s="481"/>
      <c r="CU77" s="481"/>
      <c r="CV77" s="481"/>
      <c r="CW77" s="482"/>
    </row>
    <row r="78" spans="1:101" s="91" customFormat="1" ht="16.5" x14ac:dyDescent="0.15">
      <c r="A78" s="517"/>
      <c r="B78" s="102"/>
      <c r="C78" s="220" t="e">
        <f ca="1">IF(AND(OFFSET(#REF!,-($AZ78-1),0)&lt;&gt;"",OFFSET(#REF!,-($AZ78-1),0)&lt;&gt;"x"),"@","")</f>
        <v>#REF!</v>
      </c>
      <c r="D78" s="521"/>
      <c r="E78" s="522"/>
      <c r="F78" s="522"/>
      <c r="G78" s="522"/>
      <c r="H78" s="522"/>
      <c r="I78" s="522"/>
      <c r="J78" s="522"/>
      <c r="K78" s="527"/>
      <c r="L78" s="528"/>
      <c r="M78" s="528"/>
      <c r="N78" s="528"/>
      <c r="O78" s="528"/>
      <c r="P78" s="528"/>
      <c r="Q78" s="528"/>
      <c r="R78" s="533"/>
      <c r="S78" s="534"/>
      <c r="T78" s="533"/>
      <c r="U78" s="534"/>
      <c r="V78" s="527"/>
      <c r="W78" s="528"/>
      <c r="X78" s="528"/>
      <c r="Y78" s="528"/>
      <c r="Z78" s="528"/>
      <c r="AA78" s="528"/>
      <c r="AB78" s="541"/>
      <c r="AC78" s="527"/>
      <c r="AD78" s="528"/>
      <c r="AE78" s="528"/>
      <c r="AF78" s="528"/>
      <c r="AG78" s="528"/>
      <c r="AH78" s="528"/>
      <c r="AI78" s="528"/>
      <c r="AJ78" s="527"/>
      <c r="AK78" s="528"/>
      <c r="AL78" s="528"/>
      <c r="AM78" s="528"/>
      <c r="AN78" s="528"/>
      <c r="AO78" s="528"/>
      <c r="AP78" s="541"/>
      <c r="AQ78" s="546"/>
      <c r="AR78" s="547"/>
      <c r="AS78" s="547"/>
      <c r="AT78" s="547"/>
      <c r="AU78" s="547"/>
      <c r="AV78" s="547"/>
      <c r="AW78" s="548"/>
      <c r="AX78" s="493"/>
      <c r="AY78" s="494"/>
      <c r="AZ78" s="105">
        <v>2</v>
      </c>
      <c r="BA78" s="483"/>
      <c r="BB78" s="484"/>
      <c r="BC78" s="484"/>
      <c r="BD78" s="485"/>
      <c r="BE78" s="486"/>
      <c r="BF78" s="487"/>
      <c r="BG78" s="106"/>
      <c r="BH78" s="488"/>
      <c r="BI78" s="489"/>
      <c r="BJ78" s="489"/>
      <c r="BK78" s="489"/>
      <c r="BL78" s="489"/>
      <c r="BM78" s="490"/>
      <c r="BN78" s="488"/>
      <c r="BO78" s="489"/>
      <c r="BP78" s="489"/>
      <c r="BQ78" s="489"/>
      <c r="BR78" s="489"/>
      <c r="BS78" s="490"/>
      <c r="BT78" s="488"/>
      <c r="BU78" s="489"/>
      <c r="BV78" s="489"/>
      <c r="BW78" s="489"/>
      <c r="BX78" s="489"/>
      <c r="BY78" s="490"/>
      <c r="BZ78" s="483"/>
      <c r="CA78" s="484"/>
      <c r="CB78" s="484"/>
      <c r="CC78" s="485"/>
      <c r="CD78" s="477"/>
      <c r="CE78" s="478"/>
      <c r="CF78" s="478"/>
      <c r="CG78" s="478"/>
      <c r="CH78" s="479"/>
      <c r="CI78" s="477"/>
      <c r="CJ78" s="478"/>
      <c r="CK78" s="478"/>
      <c r="CL78" s="478"/>
      <c r="CM78" s="479"/>
      <c r="CN78" s="477"/>
      <c r="CO78" s="478"/>
      <c r="CP78" s="478"/>
      <c r="CQ78" s="478"/>
      <c r="CR78" s="479"/>
      <c r="CS78" s="480"/>
      <c r="CT78" s="481"/>
      <c r="CU78" s="481"/>
      <c r="CV78" s="481"/>
      <c r="CW78" s="482"/>
    </row>
    <row r="79" spans="1:101" s="91" customFormat="1" ht="16.5" x14ac:dyDescent="0.15">
      <c r="A79" s="517"/>
      <c r="B79" s="102"/>
      <c r="C79" s="220" t="e">
        <f ca="1">IF(AND(OFFSET(#REF!,-($AZ79-1),0)&lt;&gt;"",OFFSET(#REF!,-($AZ79-1),0)&lt;&gt;"x"),"@","")</f>
        <v>#REF!</v>
      </c>
      <c r="D79" s="521"/>
      <c r="E79" s="522"/>
      <c r="F79" s="522"/>
      <c r="G79" s="522"/>
      <c r="H79" s="522"/>
      <c r="I79" s="522"/>
      <c r="J79" s="522"/>
      <c r="K79" s="527"/>
      <c r="L79" s="528"/>
      <c r="M79" s="528"/>
      <c r="N79" s="528"/>
      <c r="O79" s="528"/>
      <c r="P79" s="528"/>
      <c r="Q79" s="528"/>
      <c r="R79" s="533"/>
      <c r="S79" s="534"/>
      <c r="T79" s="533"/>
      <c r="U79" s="534"/>
      <c r="V79" s="527"/>
      <c r="W79" s="528"/>
      <c r="X79" s="528"/>
      <c r="Y79" s="528"/>
      <c r="Z79" s="528"/>
      <c r="AA79" s="528"/>
      <c r="AB79" s="541"/>
      <c r="AC79" s="527"/>
      <c r="AD79" s="528"/>
      <c r="AE79" s="528"/>
      <c r="AF79" s="528"/>
      <c r="AG79" s="528"/>
      <c r="AH79" s="528"/>
      <c r="AI79" s="528"/>
      <c r="AJ79" s="527"/>
      <c r="AK79" s="528"/>
      <c r="AL79" s="528"/>
      <c r="AM79" s="528"/>
      <c r="AN79" s="528"/>
      <c r="AO79" s="528"/>
      <c r="AP79" s="541"/>
      <c r="AQ79" s="546"/>
      <c r="AR79" s="547"/>
      <c r="AS79" s="547"/>
      <c r="AT79" s="547"/>
      <c r="AU79" s="547"/>
      <c r="AV79" s="547"/>
      <c r="AW79" s="548"/>
      <c r="AX79" s="493"/>
      <c r="AY79" s="494"/>
      <c r="AZ79" s="105">
        <v>3</v>
      </c>
      <c r="BA79" s="483"/>
      <c r="BB79" s="484"/>
      <c r="BC79" s="484"/>
      <c r="BD79" s="485"/>
      <c r="BE79" s="486"/>
      <c r="BF79" s="487"/>
      <c r="BG79" s="106"/>
      <c r="BH79" s="488"/>
      <c r="BI79" s="489"/>
      <c r="BJ79" s="489"/>
      <c r="BK79" s="489"/>
      <c r="BL79" s="489"/>
      <c r="BM79" s="490"/>
      <c r="BN79" s="488"/>
      <c r="BO79" s="489"/>
      <c r="BP79" s="489"/>
      <c r="BQ79" s="489"/>
      <c r="BR79" s="489"/>
      <c r="BS79" s="490"/>
      <c r="BT79" s="488"/>
      <c r="BU79" s="489"/>
      <c r="BV79" s="489"/>
      <c r="BW79" s="489"/>
      <c r="BX79" s="489"/>
      <c r="BY79" s="490"/>
      <c r="BZ79" s="483"/>
      <c r="CA79" s="484"/>
      <c r="CB79" s="484"/>
      <c r="CC79" s="485"/>
      <c r="CD79" s="477"/>
      <c r="CE79" s="478"/>
      <c r="CF79" s="478"/>
      <c r="CG79" s="478"/>
      <c r="CH79" s="479"/>
      <c r="CI79" s="477"/>
      <c r="CJ79" s="478"/>
      <c r="CK79" s="478"/>
      <c r="CL79" s="478"/>
      <c r="CM79" s="479"/>
      <c r="CN79" s="477"/>
      <c r="CO79" s="478"/>
      <c r="CP79" s="478"/>
      <c r="CQ79" s="478"/>
      <c r="CR79" s="479"/>
      <c r="CS79" s="480"/>
      <c r="CT79" s="481"/>
      <c r="CU79" s="481"/>
      <c r="CV79" s="481"/>
      <c r="CW79" s="482"/>
    </row>
    <row r="80" spans="1:101" s="91" customFormat="1" ht="16.5" x14ac:dyDescent="0.15">
      <c r="A80" s="517"/>
      <c r="B80" s="102"/>
      <c r="C80" s="220" t="e">
        <f ca="1">IF(AND(OFFSET(#REF!,-($AZ80-1),0)&lt;&gt;"",OFFSET(#REF!,-($AZ80-1),0)&lt;&gt;"x"),"@","")</f>
        <v>#REF!</v>
      </c>
      <c r="D80" s="521"/>
      <c r="E80" s="522"/>
      <c r="F80" s="522"/>
      <c r="G80" s="522"/>
      <c r="H80" s="522"/>
      <c r="I80" s="522"/>
      <c r="J80" s="522"/>
      <c r="K80" s="527"/>
      <c r="L80" s="528"/>
      <c r="M80" s="528"/>
      <c r="N80" s="528"/>
      <c r="O80" s="528"/>
      <c r="P80" s="528"/>
      <c r="Q80" s="528"/>
      <c r="R80" s="533"/>
      <c r="S80" s="534"/>
      <c r="T80" s="533"/>
      <c r="U80" s="534"/>
      <c r="V80" s="527"/>
      <c r="W80" s="528"/>
      <c r="X80" s="528"/>
      <c r="Y80" s="528"/>
      <c r="Z80" s="528"/>
      <c r="AA80" s="528"/>
      <c r="AB80" s="541"/>
      <c r="AC80" s="527"/>
      <c r="AD80" s="528"/>
      <c r="AE80" s="528"/>
      <c r="AF80" s="528"/>
      <c r="AG80" s="528"/>
      <c r="AH80" s="528"/>
      <c r="AI80" s="528"/>
      <c r="AJ80" s="527"/>
      <c r="AK80" s="528"/>
      <c r="AL80" s="528"/>
      <c r="AM80" s="528"/>
      <c r="AN80" s="528"/>
      <c r="AO80" s="528"/>
      <c r="AP80" s="541"/>
      <c r="AQ80" s="546"/>
      <c r="AR80" s="547"/>
      <c r="AS80" s="547"/>
      <c r="AT80" s="547"/>
      <c r="AU80" s="547"/>
      <c r="AV80" s="547"/>
      <c r="AW80" s="548"/>
      <c r="AX80" s="493"/>
      <c r="AY80" s="494"/>
      <c r="AZ80" s="105">
        <v>4</v>
      </c>
      <c r="BA80" s="483"/>
      <c r="BB80" s="484"/>
      <c r="BC80" s="484"/>
      <c r="BD80" s="485"/>
      <c r="BE80" s="486"/>
      <c r="BF80" s="487"/>
      <c r="BG80" s="106"/>
      <c r="BH80" s="488"/>
      <c r="BI80" s="489"/>
      <c r="BJ80" s="489"/>
      <c r="BK80" s="489"/>
      <c r="BL80" s="489"/>
      <c r="BM80" s="490"/>
      <c r="BN80" s="488"/>
      <c r="BO80" s="489"/>
      <c r="BP80" s="489"/>
      <c r="BQ80" s="489"/>
      <c r="BR80" s="489"/>
      <c r="BS80" s="490"/>
      <c r="BT80" s="488"/>
      <c r="BU80" s="489"/>
      <c r="BV80" s="489"/>
      <c r="BW80" s="489"/>
      <c r="BX80" s="489"/>
      <c r="BY80" s="490"/>
      <c r="BZ80" s="483"/>
      <c r="CA80" s="484"/>
      <c r="CB80" s="484"/>
      <c r="CC80" s="485"/>
      <c r="CD80" s="477"/>
      <c r="CE80" s="478"/>
      <c r="CF80" s="478"/>
      <c r="CG80" s="478"/>
      <c r="CH80" s="479"/>
      <c r="CI80" s="477"/>
      <c r="CJ80" s="478"/>
      <c r="CK80" s="478"/>
      <c r="CL80" s="478"/>
      <c r="CM80" s="479"/>
      <c r="CN80" s="477"/>
      <c r="CO80" s="478"/>
      <c r="CP80" s="478"/>
      <c r="CQ80" s="478"/>
      <c r="CR80" s="479"/>
      <c r="CS80" s="480"/>
      <c r="CT80" s="481"/>
      <c r="CU80" s="481"/>
      <c r="CV80" s="481"/>
      <c r="CW80" s="482"/>
    </row>
    <row r="81" spans="1:101" s="91" customFormat="1" ht="16.5" x14ac:dyDescent="0.15">
      <c r="A81" s="517"/>
      <c r="B81" s="102"/>
      <c r="C81" s="220" t="e">
        <f ca="1">IF(AND(OFFSET(#REF!,-($AZ81-1),0)&lt;&gt;"",OFFSET(#REF!,-($AZ81-1),0)&lt;&gt;"x"),"@","")</f>
        <v>#REF!</v>
      </c>
      <c r="D81" s="521"/>
      <c r="E81" s="522"/>
      <c r="F81" s="522"/>
      <c r="G81" s="522"/>
      <c r="H81" s="522"/>
      <c r="I81" s="522"/>
      <c r="J81" s="522"/>
      <c r="K81" s="527"/>
      <c r="L81" s="528"/>
      <c r="M81" s="528"/>
      <c r="N81" s="528"/>
      <c r="O81" s="528"/>
      <c r="P81" s="528"/>
      <c r="Q81" s="528"/>
      <c r="R81" s="533"/>
      <c r="S81" s="534"/>
      <c r="T81" s="533"/>
      <c r="U81" s="534"/>
      <c r="V81" s="527"/>
      <c r="W81" s="528"/>
      <c r="X81" s="528"/>
      <c r="Y81" s="528"/>
      <c r="Z81" s="528"/>
      <c r="AA81" s="528"/>
      <c r="AB81" s="541"/>
      <c r="AC81" s="527"/>
      <c r="AD81" s="528"/>
      <c r="AE81" s="528"/>
      <c r="AF81" s="528"/>
      <c r="AG81" s="528"/>
      <c r="AH81" s="528"/>
      <c r="AI81" s="528"/>
      <c r="AJ81" s="527"/>
      <c r="AK81" s="528"/>
      <c r="AL81" s="528"/>
      <c r="AM81" s="528"/>
      <c r="AN81" s="528"/>
      <c r="AO81" s="528"/>
      <c r="AP81" s="541"/>
      <c r="AQ81" s="546"/>
      <c r="AR81" s="547"/>
      <c r="AS81" s="547"/>
      <c r="AT81" s="547"/>
      <c r="AU81" s="547"/>
      <c r="AV81" s="547"/>
      <c r="AW81" s="548"/>
      <c r="AX81" s="493"/>
      <c r="AY81" s="494"/>
      <c r="AZ81" s="105">
        <v>5</v>
      </c>
      <c r="BA81" s="483"/>
      <c r="BB81" s="484"/>
      <c r="BC81" s="484"/>
      <c r="BD81" s="485"/>
      <c r="BE81" s="486"/>
      <c r="BF81" s="487"/>
      <c r="BG81" s="106"/>
      <c r="BH81" s="488"/>
      <c r="BI81" s="489"/>
      <c r="BJ81" s="489"/>
      <c r="BK81" s="489"/>
      <c r="BL81" s="489"/>
      <c r="BM81" s="490"/>
      <c r="BN81" s="488"/>
      <c r="BO81" s="489"/>
      <c r="BP81" s="489"/>
      <c r="BQ81" s="489"/>
      <c r="BR81" s="489"/>
      <c r="BS81" s="490"/>
      <c r="BT81" s="488"/>
      <c r="BU81" s="489"/>
      <c r="BV81" s="489"/>
      <c r="BW81" s="489"/>
      <c r="BX81" s="489"/>
      <c r="BY81" s="490"/>
      <c r="BZ81" s="483"/>
      <c r="CA81" s="484"/>
      <c r="CB81" s="484"/>
      <c r="CC81" s="485"/>
      <c r="CD81" s="477"/>
      <c r="CE81" s="478"/>
      <c r="CF81" s="478"/>
      <c r="CG81" s="478"/>
      <c r="CH81" s="479"/>
      <c r="CI81" s="477"/>
      <c r="CJ81" s="478"/>
      <c r="CK81" s="478"/>
      <c r="CL81" s="478"/>
      <c r="CM81" s="479"/>
      <c r="CN81" s="477"/>
      <c r="CO81" s="478"/>
      <c r="CP81" s="478"/>
      <c r="CQ81" s="478"/>
      <c r="CR81" s="479"/>
      <c r="CS81" s="480"/>
      <c r="CT81" s="481"/>
      <c r="CU81" s="481"/>
      <c r="CV81" s="481"/>
      <c r="CW81" s="482"/>
    </row>
    <row r="82" spans="1:101" s="91" customFormat="1" ht="16.5" x14ac:dyDescent="0.15">
      <c r="A82" s="518"/>
      <c r="B82" s="107"/>
      <c r="C82" s="219" t="e">
        <f ca="1">IF(AND(OFFSET(#REF!,-($AZ82-1),0)&lt;&gt;"",OFFSET(#REF!,-($AZ82-1),0)&lt;&gt;"x"),"@","")</f>
        <v>#REF!</v>
      </c>
      <c r="D82" s="523"/>
      <c r="E82" s="650"/>
      <c r="F82" s="650"/>
      <c r="G82" s="650"/>
      <c r="H82" s="650"/>
      <c r="I82" s="650"/>
      <c r="J82" s="650"/>
      <c r="K82" s="529"/>
      <c r="L82" s="530"/>
      <c r="M82" s="530"/>
      <c r="N82" s="530"/>
      <c r="O82" s="530"/>
      <c r="P82" s="530"/>
      <c r="Q82" s="530"/>
      <c r="R82" s="535"/>
      <c r="S82" s="537"/>
      <c r="T82" s="535"/>
      <c r="U82" s="537"/>
      <c r="V82" s="529"/>
      <c r="W82" s="530"/>
      <c r="X82" s="530"/>
      <c r="Y82" s="530"/>
      <c r="Z82" s="530"/>
      <c r="AA82" s="530"/>
      <c r="AB82" s="555"/>
      <c r="AC82" s="529"/>
      <c r="AD82" s="539"/>
      <c r="AE82" s="539"/>
      <c r="AF82" s="539"/>
      <c r="AG82" s="539"/>
      <c r="AH82" s="539"/>
      <c r="AI82" s="539"/>
      <c r="AJ82" s="529"/>
      <c r="AK82" s="539"/>
      <c r="AL82" s="539"/>
      <c r="AM82" s="539"/>
      <c r="AN82" s="539"/>
      <c r="AO82" s="539"/>
      <c r="AP82" s="542"/>
      <c r="AQ82" s="549"/>
      <c r="AR82" s="550"/>
      <c r="AS82" s="550"/>
      <c r="AT82" s="550"/>
      <c r="AU82" s="550"/>
      <c r="AV82" s="550"/>
      <c r="AW82" s="551"/>
      <c r="AX82" s="495"/>
      <c r="AY82" s="496"/>
      <c r="AZ82" s="108">
        <v>6</v>
      </c>
      <c r="BA82" s="513"/>
      <c r="BB82" s="514"/>
      <c r="BC82" s="514"/>
      <c r="BD82" s="515"/>
      <c r="BE82" s="508"/>
      <c r="BF82" s="509"/>
      <c r="BG82" s="111"/>
      <c r="BH82" s="510"/>
      <c r="BI82" s="511"/>
      <c r="BJ82" s="511"/>
      <c r="BK82" s="511"/>
      <c r="BL82" s="511"/>
      <c r="BM82" s="512"/>
      <c r="BN82" s="510"/>
      <c r="BO82" s="511"/>
      <c r="BP82" s="511"/>
      <c r="BQ82" s="511"/>
      <c r="BR82" s="511"/>
      <c r="BS82" s="512"/>
      <c r="BT82" s="510"/>
      <c r="BU82" s="511"/>
      <c r="BV82" s="511"/>
      <c r="BW82" s="511"/>
      <c r="BX82" s="511"/>
      <c r="BY82" s="512"/>
      <c r="BZ82" s="513"/>
      <c r="CA82" s="514"/>
      <c r="CB82" s="514"/>
      <c r="CC82" s="515"/>
      <c r="CD82" s="477"/>
      <c r="CE82" s="478"/>
      <c r="CF82" s="478"/>
      <c r="CG82" s="478"/>
      <c r="CH82" s="479"/>
      <c r="CI82" s="477"/>
      <c r="CJ82" s="478"/>
      <c r="CK82" s="478"/>
      <c r="CL82" s="478"/>
      <c r="CM82" s="479"/>
      <c r="CN82" s="477"/>
      <c r="CO82" s="478"/>
      <c r="CP82" s="478"/>
      <c r="CQ82" s="478"/>
      <c r="CR82" s="479"/>
      <c r="CS82" s="480"/>
      <c r="CT82" s="481"/>
      <c r="CU82" s="481"/>
      <c r="CV82" s="481"/>
      <c r="CW82" s="482"/>
    </row>
    <row r="83" spans="1:101" s="91" customFormat="1" ht="16.149999999999999" customHeight="1" x14ac:dyDescent="0.15">
      <c r="A83" s="516">
        <v>13</v>
      </c>
      <c r="B83" s="102"/>
      <c r="C83" s="222" t="e">
        <f ca="1">IF(AND(OFFSET(#REF!,-($AZ83-1),0)&lt;&gt;"",OFFSET(#REF!,-($AZ83-1),0)&lt;&gt;"x"),"@","")</f>
        <v>#REF!</v>
      </c>
      <c r="D83" s="519"/>
      <c r="E83" s="649"/>
      <c r="F83" s="649"/>
      <c r="G83" s="649"/>
      <c r="H83" s="649"/>
      <c r="I83" s="649"/>
      <c r="J83" s="649"/>
      <c r="K83" s="525"/>
      <c r="L83" s="526"/>
      <c r="M83" s="526"/>
      <c r="N83" s="526"/>
      <c r="O83" s="526"/>
      <c r="P83" s="526"/>
      <c r="Q83" s="526"/>
      <c r="R83" s="531"/>
      <c r="S83" s="532"/>
      <c r="T83" s="531"/>
      <c r="U83" s="532"/>
      <c r="V83" s="525"/>
      <c r="W83" s="538"/>
      <c r="X83" s="538"/>
      <c r="Y83" s="538"/>
      <c r="Z83" s="538"/>
      <c r="AA83" s="538"/>
      <c r="AB83" s="538"/>
      <c r="AC83" s="525"/>
      <c r="AD83" s="538"/>
      <c r="AE83" s="538"/>
      <c r="AF83" s="538"/>
      <c r="AG83" s="538"/>
      <c r="AH83" s="538"/>
      <c r="AI83" s="538"/>
      <c r="AJ83" s="525"/>
      <c r="AK83" s="538"/>
      <c r="AL83" s="538"/>
      <c r="AM83" s="538"/>
      <c r="AN83" s="538"/>
      <c r="AO83" s="538"/>
      <c r="AP83" s="540"/>
      <c r="AQ83" s="525"/>
      <c r="AR83" s="544"/>
      <c r="AS83" s="544"/>
      <c r="AT83" s="544"/>
      <c r="AU83" s="544"/>
      <c r="AV83" s="544"/>
      <c r="AW83" s="545"/>
      <c r="AX83" s="491"/>
      <c r="AY83" s="492"/>
      <c r="AZ83" s="103">
        <v>1</v>
      </c>
      <c r="BA83" s="497"/>
      <c r="BB83" s="498"/>
      <c r="BC83" s="498"/>
      <c r="BD83" s="499"/>
      <c r="BE83" s="500" t="s">
        <v>568</v>
      </c>
      <c r="BF83" s="501"/>
      <c r="BG83" s="104"/>
      <c r="BH83" s="502"/>
      <c r="BI83" s="503"/>
      <c r="BJ83" s="503"/>
      <c r="BK83" s="503"/>
      <c r="BL83" s="503"/>
      <c r="BM83" s="504"/>
      <c r="BN83" s="502"/>
      <c r="BO83" s="503"/>
      <c r="BP83" s="503"/>
      <c r="BQ83" s="503"/>
      <c r="BR83" s="503"/>
      <c r="BS83" s="504"/>
      <c r="BT83" s="502"/>
      <c r="BU83" s="503"/>
      <c r="BV83" s="503"/>
      <c r="BW83" s="503"/>
      <c r="BX83" s="503"/>
      <c r="BY83" s="504"/>
      <c r="BZ83" s="552"/>
      <c r="CA83" s="553"/>
      <c r="CB83" s="553"/>
      <c r="CC83" s="554"/>
      <c r="CD83" s="477"/>
      <c r="CE83" s="478"/>
      <c r="CF83" s="478"/>
      <c r="CG83" s="478"/>
      <c r="CH83" s="479"/>
      <c r="CI83" s="477"/>
      <c r="CJ83" s="478"/>
      <c r="CK83" s="478"/>
      <c r="CL83" s="478"/>
      <c r="CM83" s="479"/>
      <c r="CN83" s="477"/>
      <c r="CO83" s="478"/>
      <c r="CP83" s="478"/>
      <c r="CQ83" s="478"/>
      <c r="CR83" s="479"/>
      <c r="CS83" s="480"/>
      <c r="CT83" s="481"/>
      <c r="CU83" s="481"/>
      <c r="CV83" s="481"/>
      <c r="CW83" s="482"/>
    </row>
    <row r="84" spans="1:101" s="91" customFormat="1" ht="16.5" x14ac:dyDescent="0.15">
      <c r="A84" s="517"/>
      <c r="B84" s="102"/>
      <c r="C84" s="220" t="e">
        <f ca="1">IF(AND(OFFSET(#REF!,-($AZ84-1),0)&lt;&gt;"",OFFSET(#REF!,-($AZ84-1),0)&lt;&gt;"x"),"@","")</f>
        <v>#REF!</v>
      </c>
      <c r="D84" s="521"/>
      <c r="E84" s="522"/>
      <c r="F84" s="522"/>
      <c r="G84" s="522"/>
      <c r="H84" s="522"/>
      <c r="I84" s="522"/>
      <c r="J84" s="522"/>
      <c r="K84" s="527"/>
      <c r="L84" s="528"/>
      <c r="M84" s="528"/>
      <c r="N84" s="528"/>
      <c r="O84" s="528"/>
      <c r="P84" s="528"/>
      <c r="Q84" s="528"/>
      <c r="R84" s="533"/>
      <c r="S84" s="534"/>
      <c r="T84" s="533"/>
      <c r="U84" s="534"/>
      <c r="V84" s="527"/>
      <c r="W84" s="528"/>
      <c r="X84" s="528"/>
      <c r="Y84" s="528"/>
      <c r="Z84" s="528"/>
      <c r="AA84" s="528"/>
      <c r="AB84" s="528"/>
      <c r="AC84" s="527"/>
      <c r="AD84" s="528"/>
      <c r="AE84" s="528"/>
      <c r="AF84" s="528"/>
      <c r="AG84" s="528"/>
      <c r="AH84" s="528"/>
      <c r="AI84" s="528"/>
      <c r="AJ84" s="527"/>
      <c r="AK84" s="528"/>
      <c r="AL84" s="528"/>
      <c r="AM84" s="528"/>
      <c r="AN84" s="528"/>
      <c r="AO84" s="528"/>
      <c r="AP84" s="541"/>
      <c r="AQ84" s="546"/>
      <c r="AR84" s="547"/>
      <c r="AS84" s="547"/>
      <c r="AT84" s="547"/>
      <c r="AU84" s="547"/>
      <c r="AV84" s="547"/>
      <c r="AW84" s="548"/>
      <c r="AX84" s="493"/>
      <c r="AY84" s="494"/>
      <c r="AZ84" s="105">
        <v>2</v>
      </c>
      <c r="BA84" s="483"/>
      <c r="BB84" s="484"/>
      <c r="BC84" s="484"/>
      <c r="BD84" s="485"/>
      <c r="BE84" s="486"/>
      <c r="BF84" s="487"/>
      <c r="BG84" s="106"/>
      <c r="BH84" s="488"/>
      <c r="BI84" s="489"/>
      <c r="BJ84" s="489"/>
      <c r="BK84" s="489"/>
      <c r="BL84" s="489"/>
      <c r="BM84" s="490"/>
      <c r="BN84" s="488"/>
      <c r="BO84" s="489"/>
      <c r="BP84" s="489"/>
      <c r="BQ84" s="489"/>
      <c r="BR84" s="489"/>
      <c r="BS84" s="490"/>
      <c r="BT84" s="488"/>
      <c r="BU84" s="489"/>
      <c r="BV84" s="489"/>
      <c r="BW84" s="489"/>
      <c r="BX84" s="489"/>
      <c r="BY84" s="490"/>
      <c r="BZ84" s="483"/>
      <c r="CA84" s="484"/>
      <c r="CB84" s="484"/>
      <c r="CC84" s="485"/>
      <c r="CD84" s="477"/>
      <c r="CE84" s="478"/>
      <c r="CF84" s="478"/>
      <c r="CG84" s="478"/>
      <c r="CH84" s="479"/>
      <c r="CI84" s="477"/>
      <c r="CJ84" s="478"/>
      <c r="CK84" s="478"/>
      <c r="CL84" s="478"/>
      <c r="CM84" s="479"/>
      <c r="CN84" s="477"/>
      <c r="CO84" s="478"/>
      <c r="CP84" s="478"/>
      <c r="CQ84" s="478"/>
      <c r="CR84" s="479"/>
      <c r="CS84" s="480"/>
      <c r="CT84" s="481"/>
      <c r="CU84" s="481"/>
      <c r="CV84" s="481"/>
      <c r="CW84" s="482"/>
    </row>
    <row r="85" spans="1:101" s="91" customFormat="1" ht="16.5" x14ac:dyDescent="0.15">
      <c r="A85" s="517"/>
      <c r="B85" s="102"/>
      <c r="C85" s="220" t="e">
        <f ca="1">IF(AND(OFFSET(#REF!,-($AZ85-1),0)&lt;&gt;"",OFFSET(#REF!,-($AZ85-1),0)&lt;&gt;"x"),"@","")</f>
        <v>#REF!</v>
      </c>
      <c r="D85" s="521"/>
      <c r="E85" s="522"/>
      <c r="F85" s="522"/>
      <c r="G85" s="522"/>
      <c r="H85" s="522"/>
      <c r="I85" s="522"/>
      <c r="J85" s="522"/>
      <c r="K85" s="527"/>
      <c r="L85" s="528"/>
      <c r="M85" s="528"/>
      <c r="N85" s="528"/>
      <c r="O85" s="528"/>
      <c r="P85" s="528"/>
      <c r="Q85" s="528"/>
      <c r="R85" s="533"/>
      <c r="S85" s="534"/>
      <c r="T85" s="533"/>
      <c r="U85" s="534"/>
      <c r="V85" s="527"/>
      <c r="W85" s="528"/>
      <c r="X85" s="528"/>
      <c r="Y85" s="528"/>
      <c r="Z85" s="528"/>
      <c r="AA85" s="528"/>
      <c r="AB85" s="528"/>
      <c r="AC85" s="527"/>
      <c r="AD85" s="528"/>
      <c r="AE85" s="528"/>
      <c r="AF85" s="528"/>
      <c r="AG85" s="528"/>
      <c r="AH85" s="528"/>
      <c r="AI85" s="528"/>
      <c r="AJ85" s="527"/>
      <c r="AK85" s="528"/>
      <c r="AL85" s="528"/>
      <c r="AM85" s="528"/>
      <c r="AN85" s="528"/>
      <c r="AO85" s="528"/>
      <c r="AP85" s="541"/>
      <c r="AQ85" s="546"/>
      <c r="AR85" s="547"/>
      <c r="AS85" s="547"/>
      <c r="AT85" s="547"/>
      <c r="AU85" s="547"/>
      <c r="AV85" s="547"/>
      <c r="AW85" s="548"/>
      <c r="AX85" s="493"/>
      <c r="AY85" s="494"/>
      <c r="AZ85" s="105">
        <v>3</v>
      </c>
      <c r="BA85" s="483"/>
      <c r="BB85" s="484"/>
      <c r="BC85" s="484"/>
      <c r="BD85" s="485"/>
      <c r="BE85" s="486"/>
      <c r="BF85" s="487"/>
      <c r="BG85" s="106"/>
      <c r="BH85" s="488"/>
      <c r="BI85" s="489"/>
      <c r="BJ85" s="489"/>
      <c r="BK85" s="489"/>
      <c r="BL85" s="489"/>
      <c r="BM85" s="490"/>
      <c r="BN85" s="488"/>
      <c r="BO85" s="489"/>
      <c r="BP85" s="489"/>
      <c r="BQ85" s="489"/>
      <c r="BR85" s="489"/>
      <c r="BS85" s="490"/>
      <c r="BT85" s="488"/>
      <c r="BU85" s="489"/>
      <c r="BV85" s="489"/>
      <c r="BW85" s="489"/>
      <c r="BX85" s="489"/>
      <c r="BY85" s="490"/>
      <c r="BZ85" s="483"/>
      <c r="CA85" s="484"/>
      <c r="CB85" s="484"/>
      <c r="CC85" s="485"/>
      <c r="CD85" s="477"/>
      <c r="CE85" s="478"/>
      <c r="CF85" s="478"/>
      <c r="CG85" s="478"/>
      <c r="CH85" s="479"/>
      <c r="CI85" s="477"/>
      <c r="CJ85" s="478"/>
      <c r="CK85" s="478"/>
      <c r="CL85" s="478"/>
      <c r="CM85" s="479"/>
      <c r="CN85" s="477"/>
      <c r="CO85" s="478"/>
      <c r="CP85" s="478"/>
      <c r="CQ85" s="478"/>
      <c r="CR85" s="479"/>
      <c r="CS85" s="480"/>
      <c r="CT85" s="481"/>
      <c r="CU85" s="481"/>
      <c r="CV85" s="481"/>
      <c r="CW85" s="482"/>
    </row>
    <row r="86" spans="1:101" s="91" customFormat="1" ht="16.5" x14ac:dyDescent="0.15">
      <c r="A86" s="517"/>
      <c r="B86" s="102"/>
      <c r="C86" s="220" t="e">
        <f ca="1">IF(AND(OFFSET(#REF!,-($AZ86-1),0)&lt;&gt;"",OFFSET(#REF!,-($AZ86-1),0)&lt;&gt;"x"),"@","")</f>
        <v>#REF!</v>
      </c>
      <c r="D86" s="521"/>
      <c r="E86" s="522"/>
      <c r="F86" s="522"/>
      <c r="G86" s="522"/>
      <c r="H86" s="522"/>
      <c r="I86" s="522"/>
      <c r="J86" s="522"/>
      <c r="K86" s="527"/>
      <c r="L86" s="528"/>
      <c r="M86" s="528"/>
      <c r="N86" s="528"/>
      <c r="O86" s="528"/>
      <c r="P86" s="528"/>
      <c r="Q86" s="528"/>
      <c r="R86" s="533"/>
      <c r="S86" s="534"/>
      <c r="T86" s="533"/>
      <c r="U86" s="534"/>
      <c r="V86" s="527"/>
      <c r="W86" s="528"/>
      <c r="X86" s="528"/>
      <c r="Y86" s="528"/>
      <c r="Z86" s="528"/>
      <c r="AA86" s="528"/>
      <c r="AB86" s="528"/>
      <c r="AC86" s="527"/>
      <c r="AD86" s="528"/>
      <c r="AE86" s="528"/>
      <c r="AF86" s="528"/>
      <c r="AG86" s="528"/>
      <c r="AH86" s="528"/>
      <c r="AI86" s="528"/>
      <c r="AJ86" s="527"/>
      <c r="AK86" s="528"/>
      <c r="AL86" s="528"/>
      <c r="AM86" s="528"/>
      <c r="AN86" s="528"/>
      <c r="AO86" s="528"/>
      <c r="AP86" s="541"/>
      <c r="AQ86" s="546"/>
      <c r="AR86" s="547"/>
      <c r="AS86" s="547"/>
      <c r="AT86" s="547"/>
      <c r="AU86" s="547"/>
      <c r="AV86" s="547"/>
      <c r="AW86" s="548"/>
      <c r="AX86" s="493"/>
      <c r="AY86" s="494"/>
      <c r="AZ86" s="105">
        <v>4</v>
      </c>
      <c r="BA86" s="483"/>
      <c r="BB86" s="484"/>
      <c r="BC86" s="484"/>
      <c r="BD86" s="485"/>
      <c r="BE86" s="486"/>
      <c r="BF86" s="487"/>
      <c r="BG86" s="106"/>
      <c r="BH86" s="488"/>
      <c r="BI86" s="489"/>
      <c r="BJ86" s="489"/>
      <c r="BK86" s="489"/>
      <c r="BL86" s="489"/>
      <c r="BM86" s="490"/>
      <c r="BN86" s="488"/>
      <c r="BO86" s="489"/>
      <c r="BP86" s="489"/>
      <c r="BQ86" s="489"/>
      <c r="BR86" s="489"/>
      <c r="BS86" s="490"/>
      <c r="BT86" s="488"/>
      <c r="BU86" s="489"/>
      <c r="BV86" s="489"/>
      <c r="BW86" s="489"/>
      <c r="BX86" s="489"/>
      <c r="BY86" s="490"/>
      <c r="BZ86" s="483"/>
      <c r="CA86" s="484"/>
      <c r="CB86" s="484"/>
      <c r="CC86" s="485"/>
      <c r="CD86" s="477"/>
      <c r="CE86" s="478"/>
      <c r="CF86" s="478"/>
      <c r="CG86" s="478"/>
      <c r="CH86" s="479"/>
      <c r="CI86" s="477"/>
      <c r="CJ86" s="478"/>
      <c r="CK86" s="478"/>
      <c r="CL86" s="478"/>
      <c r="CM86" s="479"/>
      <c r="CN86" s="477"/>
      <c r="CO86" s="478"/>
      <c r="CP86" s="478"/>
      <c r="CQ86" s="478"/>
      <c r="CR86" s="479"/>
      <c r="CS86" s="480"/>
      <c r="CT86" s="481"/>
      <c r="CU86" s="481"/>
      <c r="CV86" s="481"/>
      <c r="CW86" s="482"/>
    </row>
    <row r="87" spans="1:101" s="91" customFormat="1" ht="16.5" x14ac:dyDescent="0.15">
      <c r="A87" s="517"/>
      <c r="B87" s="102"/>
      <c r="C87" s="220" t="e">
        <f ca="1">IF(AND(OFFSET(#REF!,-($AZ87-1),0)&lt;&gt;"",OFFSET(#REF!,-($AZ87-1),0)&lt;&gt;"x"),"@","")</f>
        <v>#REF!</v>
      </c>
      <c r="D87" s="521"/>
      <c r="E87" s="522"/>
      <c r="F87" s="522"/>
      <c r="G87" s="522"/>
      <c r="H87" s="522"/>
      <c r="I87" s="522"/>
      <c r="J87" s="522"/>
      <c r="K87" s="527"/>
      <c r="L87" s="528"/>
      <c r="M87" s="528"/>
      <c r="N87" s="528"/>
      <c r="O87" s="528"/>
      <c r="P87" s="528"/>
      <c r="Q87" s="528"/>
      <c r="R87" s="533"/>
      <c r="S87" s="534"/>
      <c r="T87" s="533"/>
      <c r="U87" s="534"/>
      <c r="V87" s="527"/>
      <c r="W87" s="528"/>
      <c r="X87" s="528"/>
      <c r="Y87" s="528"/>
      <c r="Z87" s="528"/>
      <c r="AA87" s="528"/>
      <c r="AB87" s="528"/>
      <c r="AC87" s="527"/>
      <c r="AD87" s="528"/>
      <c r="AE87" s="528"/>
      <c r="AF87" s="528"/>
      <c r="AG87" s="528"/>
      <c r="AH87" s="528"/>
      <c r="AI87" s="528"/>
      <c r="AJ87" s="527"/>
      <c r="AK87" s="528"/>
      <c r="AL87" s="528"/>
      <c r="AM87" s="528"/>
      <c r="AN87" s="528"/>
      <c r="AO87" s="528"/>
      <c r="AP87" s="541"/>
      <c r="AQ87" s="546"/>
      <c r="AR87" s="547"/>
      <c r="AS87" s="547"/>
      <c r="AT87" s="547"/>
      <c r="AU87" s="547"/>
      <c r="AV87" s="547"/>
      <c r="AW87" s="548"/>
      <c r="AX87" s="493"/>
      <c r="AY87" s="494"/>
      <c r="AZ87" s="105">
        <v>5</v>
      </c>
      <c r="BA87" s="483"/>
      <c r="BB87" s="484"/>
      <c r="BC87" s="484"/>
      <c r="BD87" s="485"/>
      <c r="BE87" s="486"/>
      <c r="BF87" s="487"/>
      <c r="BG87" s="106"/>
      <c r="BH87" s="488"/>
      <c r="BI87" s="489"/>
      <c r="BJ87" s="489"/>
      <c r="BK87" s="489"/>
      <c r="BL87" s="489"/>
      <c r="BM87" s="490"/>
      <c r="BN87" s="488"/>
      <c r="BO87" s="489"/>
      <c r="BP87" s="489"/>
      <c r="BQ87" s="489"/>
      <c r="BR87" s="489"/>
      <c r="BS87" s="490"/>
      <c r="BT87" s="488"/>
      <c r="BU87" s="489"/>
      <c r="BV87" s="489"/>
      <c r="BW87" s="489"/>
      <c r="BX87" s="489"/>
      <c r="BY87" s="490"/>
      <c r="BZ87" s="483"/>
      <c r="CA87" s="484"/>
      <c r="CB87" s="484"/>
      <c r="CC87" s="485"/>
      <c r="CD87" s="477"/>
      <c r="CE87" s="478"/>
      <c r="CF87" s="478"/>
      <c r="CG87" s="478"/>
      <c r="CH87" s="479"/>
      <c r="CI87" s="477"/>
      <c r="CJ87" s="478"/>
      <c r="CK87" s="478"/>
      <c r="CL87" s="478"/>
      <c r="CM87" s="479"/>
      <c r="CN87" s="477"/>
      <c r="CO87" s="478"/>
      <c r="CP87" s="478"/>
      <c r="CQ87" s="478"/>
      <c r="CR87" s="479"/>
      <c r="CS87" s="480"/>
      <c r="CT87" s="481"/>
      <c r="CU87" s="481"/>
      <c r="CV87" s="481"/>
      <c r="CW87" s="482"/>
    </row>
    <row r="88" spans="1:101" s="91" customFormat="1" ht="16.5" x14ac:dyDescent="0.15">
      <c r="A88" s="518"/>
      <c r="B88" s="107"/>
      <c r="C88" s="220" t="e">
        <f ca="1">IF(AND(OFFSET(#REF!,-($AZ88-1),0)&lt;&gt;"",OFFSET(#REF!,-($AZ88-1),0)&lt;&gt;"x"),"@","")</f>
        <v>#REF!</v>
      </c>
      <c r="D88" s="523"/>
      <c r="E88" s="650"/>
      <c r="F88" s="650"/>
      <c r="G88" s="650"/>
      <c r="H88" s="650"/>
      <c r="I88" s="650"/>
      <c r="J88" s="650"/>
      <c r="K88" s="529"/>
      <c r="L88" s="530"/>
      <c r="M88" s="530"/>
      <c r="N88" s="530"/>
      <c r="O88" s="530"/>
      <c r="P88" s="530"/>
      <c r="Q88" s="530"/>
      <c r="R88" s="535"/>
      <c r="S88" s="537"/>
      <c r="T88" s="535"/>
      <c r="U88" s="537"/>
      <c r="V88" s="529"/>
      <c r="W88" s="539"/>
      <c r="X88" s="539"/>
      <c r="Y88" s="539"/>
      <c r="Z88" s="539"/>
      <c r="AA88" s="539"/>
      <c r="AB88" s="539"/>
      <c r="AC88" s="529"/>
      <c r="AD88" s="539"/>
      <c r="AE88" s="539"/>
      <c r="AF88" s="539"/>
      <c r="AG88" s="539"/>
      <c r="AH88" s="539"/>
      <c r="AI88" s="539"/>
      <c r="AJ88" s="529"/>
      <c r="AK88" s="539"/>
      <c r="AL88" s="539"/>
      <c r="AM88" s="539"/>
      <c r="AN88" s="539"/>
      <c r="AO88" s="539"/>
      <c r="AP88" s="542"/>
      <c r="AQ88" s="549"/>
      <c r="AR88" s="550"/>
      <c r="AS88" s="550"/>
      <c r="AT88" s="550"/>
      <c r="AU88" s="550"/>
      <c r="AV88" s="550"/>
      <c r="AW88" s="551"/>
      <c r="AX88" s="495"/>
      <c r="AY88" s="496"/>
      <c r="AZ88" s="108">
        <v>6</v>
      </c>
      <c r="BA88" s="513"/>
      <c r="BB88" s="514"/>
      <c r="BC88" s="514"/>
      <c r="BD88" s="515"/>
      <c r="BE88" s="486"/>
      <c r="BF88" s="487"/>
      <c r="BG88" s="109"/>
      <c r="BH88" s="510"/>
      <c r="BI88" s="511"/>
      <c r="BJ88" s="511"/>
      <c r="BK88" s="511"/>
      <c r="BL88" s="511"/>
      <c r="BM88" s="512"/>
      <c r="BN88" s="510"/>
      <c r="BO88" s="511"/>
      <c r="BP88" s="511"/>
      <c r="BQ88" s="511"/>
      <c r="BR88" s="511"/>
      <c r="BS88" s="512"/>
      <c r="BT88" s="510"/>
      <c r="BU88" s="511"/>
      <c r="BV88" s="511"/>
      <c r="BW88" s="511"/>
      <c r="BX88" s="511"/>
      <c r="BY88" s="512"/>
      <c r="BZ88" s="505"/>
      <c r="CA88" s="506"/>
      <c r="CB88" s="506"/>
      <c r="CC88" s="507"/>
      <c r="CD88" s="477"/>
      <c r="CE88" s="478"/>
      <c r="CF88" s="478"/>
      <c r="CG88" s="478"/>
      <c r="CH88" s="479"/>
      <c r="CI88" s="477"/>
      <c r="CJ88" s="478"/>
      <c r="CK88" s="478"/>
      <c r="CL88" s="478"/>
      <c r="CM88" s="479"/>
      <c r="CN88" s="477"/>
      <c r="CO88" s="478"/>
      <c r="CP88" s="478"/>
      <c r="CQ88" s="478"/>
      <c r="CR88" s="479"/>
      <c r="CS88" s="480"/>
      <c r="CT88" s="481"/>
      <c r="CU88" s="481"/>
      <c r="CV88" s="481"/>
      <c r="CW88" s="482"/>
    </row>
    <row r="89" spans="1:101" s="91" customFormat="1" ht="16.149999999999999" customHeight="1" x14ac:dyDescent="0.15">
      <c r="A89" s="516">
        <v>14</v>
      </c>
      <c r="B89" s="102"/>
      <c r="C89" s="216" t="str">
        <f t="shared" ref="C89:C152" ca="1" si="6">IF(AND(OFFSET($K89,-($AZ89-1),0)&lt;&gt;"",OFFSET($R89,-($AZ89-1),0)&lt;&gt;"x"),"@","")</f>
        <v/>
      </c>
      <c r="D89" s="519"/>
      <c r="E89" s="649"/>
      <c r="F89" s="649"/>
      <c r="G89" s="649"/>
      <c r="H89" s="649"/>
      <c r="I89" s="649"/>
      <c r="J89" s="649"/>
      <c r="K89" s="525"/>
      <c r="L89" s="526"/>
      <c r="M89" s="526"/>
      <c r="N89" s="526"/>
      <c r="O89" s="526"/>
      <c r="P89" s="526"/>
      <c r="Q89" s="526"/>
      <c r="R89" s="531"/>
      <c r="S89" s="532"/>
      <c r="T89" s="531"/>
      <c r="U89" s="532"/>
      <c r="V89" s="525"/>
      <c r="W89" s="538"/>
      <c r="X89" s="538"/>
      <c r="Y89" s="538"/>
      <c r="Z89" s="538"/>
      <c r="AA89" s="538"/>
      <c r="AB89" s="538"/>
      <c r="AC89" s="525"/>
      <c r="AD89" s="526"/>
      <c r="AE89" s="526"/>
      <c r="AF89" s="526"/>
      <c r="AG89" s="526"/>
      <c r="AH89" s="526"/>
      <c r="AI89" s="526"/>
      <c r="AJ89" s="525"/>
      <c r="AK89" s="538"/>
      <c r="AL89" s="538"/>
      <c r="AM89" s="538"/>
      <c r="AN89" s="538"/>
      <c r="AO89" s="538"/>
      <c r="AP89" s="540"/>
      <c r="AQ89" s="525"/>
      <c r="AR89" s="544"/>
      <c r="AS89" s="544"/>
      <c r="AT89" s="544"/>
      <c r="AU89" s="544"/>
      <c r="AV89" s="544"/>
      <c r="AW89" s="545"/>
      <c r="AX89" s="491"/>
      <c r="AY89" s="492"/>
      <c r="AZ89" s="103">
        <v>1</v>
      </c>
      <c r="BA89" s="497"/>
      <c r="BB89" s="498"/>
      <c r="BC89" s="498"/>
      <c r="BD89" s="499"/>
      <c r="BE89" s="500"/>
      <c r="BF89" s="501"/>
      <c r="BG89" s="110"/>
      <c r="BH89" s="502"/>
      <c r="BI89" s="503"/>
      <c r="BJ89" s="503"/>
      <c r="BK89" s="503"/>
      <c r="BL89" s="503"/>
      <c r="BM89" s="504"/>
      <c r="BN89" s="502"/>
      <c r="BO89" s="503"/>
      <c r="BP89" s="503"/>
      <c r="BQ89" s="503"/>
      <c r="BR89" s="503"/>
      <c r="BS89" s="504"/>
      <c r="BT89" s="502"/>
      <c r="BU89" s="503"/>
      <c r="BV89" s="503"/>
      <c r="BW89" s="503"/>
      <c r="BX89" s="503"/>
      <c r="BY89" s="504"/>
      <c r="BZ89" s="497"/>
      <c r="CA89" s="498"/>
      <c r="CB89" s="498"/>
      <c r="CC89" s="499"/>
      <c r="CD89" s="477"/>
      <c r="CE89" s="478"/>
      <c r="CF89" s="478"/>
      <c r="CG89" s="478"/>
      <c r="CH89" s="479"/>
      <c r="CI89" s="477"/>
      <c r="CJ89" s="478"/>
      <c r="CK89" s="478"/>
      <c r="CL89" s="478"/>
      <c r="CM89" s="479"/>
      <c r="CN89" s="477"/>
      <c r="CO89" s="478"/>
      <c r="CP89" s="478"/>
      <c r="CQ89" s="478"/>
      <c r="CR89" s="479"/>
      <c r="CS89" s="480"/>
      <c r="CT89" s="481"/>
      <c r="CU89" s="481"/>
      <c r="CV89" s="481"/>
      <c r="CW89" s="482"/>
    </row>
    <row r="90" spans="1:101" s="91" customFormat="1" ht="16.5" x14ac:dyDescent="0.15">
      <c r="A90" s="517"/>
      <c r="B90" s="102"/>
      <c r="C90" s="220" t="str">
        <f t="shared" ca="1" si="6"/>
        <v/>
      </c>
      <c r="D90" s="521"/>
      <c r="E90" s="522"/>
      <c r="F90" s="522"/>
      <c r="G90" s="522"/>
      <c r="H90" s="522"/>
      <c r="I90" s="522"/>
      <c r="J90" s="522"/>
      <c r="K90" s="527"/>
      <c r="L90" s="528"/>
      <c r="M90" s="528"/>
      <c r="N90" s="528"/>
      <c r="O90" s="528"/>
      <c r="P90" s="528"/>
      <c r="Q90" s="528"/>
      <c r="R90" s="533"/>
      <c r="S90" s="534"/>
      <c r="T90" s="533"/>
      <c r="U90" s="534"/>
      <c r="V90" s="527"/>
      <c r="W90" s="528"/>
      <c r="X90" s="528"/>
      <c r="Y90" s="528"/>
      <c r="Z90" s="528"/>
      <c r="AA90" s="528"/>
      <c r="AB90" s="528"/>
      <c r="AC90" s="527"/>
      <c r="AD90" s="528"/>
      <c r="AE90" s="528"/>
      <c r="AF90" s="528"/>
      <c r="AG90" s="528"/>
      <c r="AH90" s="528"/>
      <c r="AI90" s="528"/>
      <c r="AJ90" s="527"/>
      <c r="AK90" s="528"/>
      <c r="AL90" s="528"/>
      <c r="AM90" s="528"/>
      <c r="AN90" s="528"/>
      <c r="AO90" s="528"/>
      <c r="AP90" s="541"/>
      <c r="AQ90" s="546"/>
      <c r="AR90" s="547"/>
      <c r="AS90" s="547"/>
      <c r="AT90" s="547"/>
      <c r="AU90" s="547"/>
      <c r="AV90" s="547"/>
      <c r="AW90" s="548"/>
      <c r="AX90" s="493"/>
      <c r="AY90" s="494"/>
      <c r="AZ90" s="105">
        <v>2</v>
      </c>
      <c r="BA90" s="483"/>
      <c r="BB90" s="484"/>
      <c r="BC90" s="484"/>
      <c r="BD90" s="485"/>
      <c r="BE90" s="486"/>
      <c r="BF90" s="487"/>
      <c r="BG90" s="106"/>
      <c r="BH90" s="488"/>
      <c r="BI90" s="489"/>
      <c r="BJ90" s="489"/>
      <c r="BK90" s="489"/>
      <c r="BL90" s="489"/>
      <c r="BM90" s="490"/>
      <c r="BN90" s="488"/>
      <c r="BO90" s="489"/>
      <c r="BP90" s="489"/>
      <c r="BQ90" s="489"/>
      <c r="BR90" s="489"/>
      <c r="BS90" s="490"/>
      <c r="BT90" s="488"/>
      <c r="BU90" s="489"/>
      <c r="BV90" s="489"/>
      <c r="BW90" s="489"/>
      <c r="BX90" s="489"/>
      <c r="BY90" s="490"/>
      <c r="BZ90" s="483"/>
      <c r="CA90" s="484"/>
      <c r="CB90" s="484"/>
      <c r="CC90" s="485"/>
      <c r="CD90" s="477"/>
      <c r="CE90" s="478"/>
      <c r="CF90" s="478"/>
      <c r="CG90" s="478"/>
      <c r="CH90" s="479"/>
      <c r="CI90" s="477"/>
      <c r="CJ90" s="478"/>
      <c r="CK90" s="478"/>
      <c r="CL90" s="478"/>
      <c r="CM90" s="479"/>
      <c r="CN90" s="477"/>
      <c r="CO90" s="478"/>
      <c r="CP90" s="478"/>
      <c r="CQ90" s="478"/>
      <c r="CR90" s="479"/>
      <c r="CS90" s="480"/>
      <c r="CT90" s="481"/>
      <c r="CU90" s="481"/>
      <c r="CV90" s="481"/>
      <c r="CW90" s="482"/>
    </row>
    <row r="91" spans="1:101" s="91" customFormat="1" ht="16.5" x14ac:dyDescent="0.15">
      <c r="A91" s="517"/>
      <c r="B91" s="102"/>
      <c r="C91" s="220" t="str">
        <f t="shared" ca="1" si="6"/>
        <v/>
      </c>
      <c r="D91" s="521"/>
      <c r="E91" s="522"/>
      <c r="F91" s="522"/>
      <c r="G91" s="522"/>
      <c r="H91" s="522"/>
      <c r="I91" s="522"/>
      <c r="J91" s="522"/>
      <c r="K91" s="527"/>
      <c r="L91" s="528"/>
      <c r="M91" s="528"/>
      <c r="N91" s="528"/>
      <c r="O91" s="528"/>
      <c r="P91" s="528"/>
      <c r="Q91" s="528"/>
      <c r="R91" s="533"/>
      <c r="S91" s="534"/>
      <c r="T91" s="533"/>
      <c r="U91" s="534"/>
      <c r="V91" s="527"/>
      <c r="W91" s="528"/>
      <c r="X91" s="528"/>
      <c r="Y91" s="528"/>
      <c r="Z91" s="528"/>
      <c r="AA91" s="528"/>
      <c r="AB91" s="528"/>
      <c r="AC91" s="527"/>
      <c r="AD91" s="528"/>
      <c r="AE91" s="528"/>
      <c r="AF91" s="528"/>
      <c r="AG91" s="528"/>
      <c r="AH91" s="528"/>
      <c r="AI91" s="528"/>
      <c r="AJ91" s="527"/>
      <c r="AK91" s="528"/>
      <c r="AL91" s="528"/>
      <c r="AM91" s="528"/>
      <c r="AN91" s="528"/>
      <c r="AO91" s="528"/>
      <c r="AP91" s="541"/>
      <c r="AQ91" s="546"/>
      <c r="AR91" s="547"/>
      <c r="AS91" s="547"/>
      <c r="AT91" s="547"/>
      <c r="AU91" s="547"/>
      <c r="AV91" s="547"/>
      <c r="AW91" s="548"/>
      <c r="AX91" s="493"/>
      <c r="AY91" s="494"/>
      <c r="AZ91" s="105">
        <v>3</v>
      </c>
      <c r="BA91" s="483"/>
      <c r="BB91" s="484"/>
      <c r="BC91" s="484"/>
      <c r="BD91" s="485"/>
      <c r="BE91" s="486"/>
      <c r="BF91" s="487"/>
      <c r="BG91" s="106"/>
      <c r="BH91" s="488"/>
      <c r="BI91" s="489"/>
      <c r="BJ91" s="489"/>
      <c r="BK91" s="489"/>
      <c r="BL91" s="489"/>
      <c r="BM91" s="490"/>
      <c r="BN91" s="488"/>
      <c r="BO91" s="489"/>
      <c r="BP91" s="489"/>
      <c r="BQ91" s="489"/>
      <c r="BR91" s="489"/>
      <c r="BS91" s="490"/>
      <c r="BT91" s="488"/>
      <c r="BU91" s="489"/>
      <c r="BV91" s="489"/>
      <c r="BW91" s="489"/>
      <c r="BX91" s="489"/>
      <c r="BY91" s="490"/>
      <c r="BZ91" s="483"/>
      <c r="CA91" s="484"/>
      <c r="CB91" s="484"/>
      <c r="CC91" s="485"/>
      <c r="CD91" s="477"/>
      <c r="CE91" s="478"/>
      <c r="CF91" s="478"/>
      <c r="CG91" s="478"/>
      <c r="CH91" s="479"/>
      <c r="CI91" s="477"/>
      <c r="CJ91" s="478"/>
      <c r="CK91" s="478"/>
      <c r="CL91" s="478"/>
      <c r="CM91" s="479"/>
      <c r="CN91" s="477"/>
      <c r="CO91" s="478"/>
      <c r="CP91" s="478"/>
      <c r="CQ91" s="478"/>
      <c r="CR91" s="479"/>
      <c r="CS91" s="480"/>
      <c r="CT91" s="481"/>
      <c r="CU91" s="481"/>
      <c r="CV91" s="481"/>
      <c r="CW91" s="482"/>
    </row>
    <row r="92" spans="1:101" s="91" customFormat="1" ht="16.5" x14ac:dyDescent="0.15">
      <c r="A92" s="517"/>
      <c r="B92" s="102"/>
      <c r="C92" s="220" t="str">
        <f t="shared" ca="1" si="6"/>
        <v/>
      </c>
      <c r="D92" s="521"/>
      <c r="E92" s="522"/>
      <c r="F92" s="522"/>
      <c r="G92" s="522"/>
      <c r="H92" s="522"/>
      <c r="I92" s="522"/>
      <c r="J92" s="522"/>
      <c r="K92" s="527"/>
      <c r="L92" s="528"/>
      <c r="M92" s="528"/>
      <c r="N92" s="528"/>
      <c r="O92" s="528"/>
      <c r="P92" s="528"/>
      <c r="Q92" s="528"/>
      <c r="R92" s="533"/>
      <c r="S92" s="534"/>
      <c r="T92" s="533"/>
      <c r="U92" s="534"/>
      <c r="V92" s="527"/>
      <c r="W92" s="528"/>
      <c r="X92" s="528"/>
      <c r="Y92" s="528"/>
      <c r="Z92" s="528"/>
      <c r="AA92" s="528"/>
      <c r="AB92" s="528"/>
      <c r="AC92" s="527"/>
      <c r="AD92" s="528"/>
      <c r="AE92" s="528"/>
      <c r="AF92" s="528"/>
      <c r="AG92" s="528"/>
      <c r="AH92" s="528"/>
      <c r="AI92" s="528"/>
      <c r="AJ92" s="527"/>
      <c r="AK92" s="528"/>
      <c r="AL92" s="528"/>
      <c r="AM92" s="528"/>
      <c r="AN92" s="528"/>
      <c r="AO92" s="528"/>
      <c r="AP92" s="541"/>
      <c r="AQ92" s="546"/>
      <c r="AR92" s="547"/>
      <c r="AS92" s="547"/>
      <c r="AT92" s="547"/>
      <c r="AU92" s="547"/>
      <c r="AV92" s="547"/>
      <c r="AW92" s="548"/>
      <c r="AX92" s="493"/>
      <c r="AY92" s="494"/>
      <c r="AZ92" s="105">
        <v>4</v>
      </c>
      <c r="BA92" s="483"/>
      <c r="BB92" s="484"/>
      <c r="BC92" s="484"/>
      <c r="BD92" s="485"/>
      <c r="BE92" s="486"/>
      <c r="BF92" s="487"/>
      <c r="BG92" s="106"/>
      <c r="BH92" s="488"/>
      <c r="BI92" s="489"/>
      <c r="BJ92" s="489"/>
      <c r="BK92" s="489"/>
      <c r="BL92" s="489"/>
      <c r="BM92" s="490"/>
      <c r="BN92" s="488"/>
      <c r="BO92" s="489"/>
      <c r="BP92" s="489"/>
      <c r="BQ92" s="489"/>
      <c r="BR92" s="489"/>
      <c r="BS92" s="490"/>
      <c r="BT92" s="488"/>
      <c r="BU92" s="489"/>
      <c r="BV92" s="489"/>
      <c r="BW92" s="489"/>
      <c r="BX92" s="489"/>
      <c r="BY92" s="490"/>
      <c r="BZ92" s="483"/>
      <c r="CA92" s="484"/>
      <c r="CB92" s="484"/>
      <c r="CC92" s="485"/>
      <c r="CD92" s="477"/>
      <c r="CE92" s="478"/>
      <c r="CF92" s="478"/>
      <c r="CG92" s="478"/>
      <c r="CH92" s="479"/>
      <c r="CI92" s="477"/>
      <c r="CJ92" s="478"/>
      <c r="CK92" s="478"/>
      <c r="CL92" s="478"/>
      <c r="CM92" s="479"/>
      <c r="CN92" s="477"/>
      <c r="CO92" s="478"/>
      <c r="CP92" s="478"/>
      <c r="CQ92" s="478"/>
      <c r="CR92" s="479"/>
      <c r="CS92" s="480"/>
      <c r="CT92" s="481"/>
      <c r="CU92" s="481"/>
      <c r="CV92" s="481"/>
      <c r="CW92" s="482"/>
    </row>
    <row r="93" spans="1:101" s="91" customFormat="1" ht="16.5" x14ac:dyDescent="0.15">
      <c r="A93" s="517"/>
      <c r="B93" s="102"/>
      <c r="C93" s="220" t="str">
        <f t="shared" ca="1" si="6"/>
        <v/>
      </c>
      <c r="D93" s="521"/>
      <c r="E93" s="522"/>
      <c r="F93" s="522"/>
      <c r="G93" s="522"/>
      <c r="H93" s="522"/>
      <c r="I93" s="522"/>
      <c r="J93" s="522"/>
      <c r="K93" s="527"/>
      <c r="L93" s="528"/>
      <c r="M93" s="528"/>
      <c r="N93" s="528"/>
      <c r="O93" s="528"/>
      <c r="P93" s="528"/>
      <c r="Q93" s="528"/>
      <c r="R93" s="533"/>
      <c r="S93" s="534"/>
      <c r="T93" s="533"/>
      <c r="U93" s="534"/>
      <c r="V93" s="527"/>
      <c r="W93" s="528"/>
      <c r="X93" s="528"/>
      <c r="Y93" s="528"/>
      <c r="Z93" s="528"/>
      <c r="AA93" s="528"/>
      <c r="AB93" s="528"/>
      <c r="AC93" s="527"/>
      <c r="AD93" s="528"/>
      <c r="AE93" s="528"/>
      <c r="AF93" s="528"/>
      <c r="AG93" s="528"/>
      <c r="AH93" s="528"/>
      <c r="AI93" s="528"/>
      <c r="AJ93" s="527"/>
      <c r="AK93" s="528"/>
      <c r="AL93" s="528"/>
      <c r="AM93" s="528"/>
      <c r="AN93" s="528"/>
      <c r="AO93" s="528"/>
      <c r="AP93" s="541"/>
      <c r="AQ93" s="546"/>
      <c r="AR93" s="547"/>
      <c r="AS93" s="547"/>
      <c r="AT93" s="547"/>
      <c r="AU93" s="547"/>
      <c r="AV93" s="547"/>
      <c r="AW93" s="548"/>
      <c r="AX93" s="493"/>
      <c r="AY93" s="494"/>
      <c r="AZ93" s="105">
        <v>5</v>
      </c>
      <c r="BA93" s="483"/>
      <c r="BB93" s="484"/>
      <c r="BC93" s="484"/>
      <c r="BD93" s="485"/>
      <c r="BE93" s="486"/>
      <c r="BF93" s="487"/>
      <c r="BG93" s="106"/>
      <c r="BH93" s="488"/>
      <c r="BI93" s="489"/>
      <c r="BJ93" s="489"/>
      <c r="BK93" s="489"/>
      <c r="BL93" s="489"/>
      <c r="BM93" s="490"/>
      <c r="BN93" s="488"/>
      <c r="BO93" s="489"/>
      <c r="BP93" s="489"/>
      <c r="BQ93" s="489"/>
      <c r="BR93" s="489"/>
      <c r="BS93" s="490"/>
      <c r="BT93" s="488"/>
      <c r="BU93" s="489"/>
      <c r="BV93" s="489"/>
      <c r="BW93" s="489"/>
      <c r="BX93" s="489"/>
      <c r="BY93" s="490"/>
      <c r="BZ93" s="483"/>
      <c r="CA93" s="484"/>
      <c r="CB93" s="484"/>
      <c r="CC93" s="485"/>
      <c r="CD93" s="477"/>
      <c r="CE93" s="478"/>
      <c r="CF93" s="478"/>
      <c r="CG93" s="478"/>
      <c r="CH93" s="479"/>
      <c r="CI93" s="477"/>
      <c r="CJ93" s="478"/>
      <c r="CK93" s="478"/>
      <c r="CL93" s="478"/>
      <c r="CM93" s="479"/>
      <c r="CN93" s="477"/>
      <c r="CO93" s="478"/>
      <c r="CP93" s="478"/>
      <c r="CQ93" s="478"/>
      <c r="CR93" s="479"/>
      <c r="CS93" s="480"/>
      <c r="CT93" s="481"/>
      <c r="CU93" s="481"/>
      <c r="CV93" s="481"/>
      <c r="CW93" s="482"/>
    </row>
    <row r="94" spans="1:101" s="91" customFormat="1" ht="16.5" x14ac:dyDescent="0.15">
      <c r="A94" s="518"/>
      <c r="B94" s="107"/>
      <c r="C94" s="220" t="str">
        <f t="shared" ca="1" si="6"/>
        <v/>
      </c>
      <c r="D94" s="523"/>
      <c r="E94" s="650"/>
      <c r="F94" s="650"/>
      <c r="G94" s="650"/>
      <c r="H94" s="650"/>
      <c r="I94" s="650"/>
      <c r="J94" s="650"/>
      <c r="K94" s="529"/>
      <c r="L94" s="530"/>
      <c r="M94" s="530"/>
      <c r="N94" s="530"/>
      <c r="O94" s="530"/>
      <c r="P94" s="530"/>
      <c r="Q94" s="530"/>
      <c r="R94" s="535"/>
      <c r="S94" s="537"/>
      <c r="T94" s="535"/>
      <c r="U94" s="537"/>
      <c r="V94" s="529"/>
      <c r="W94" s="539"/>
      <c r="X94" s="539"/>
      <c r="Y94" s="539"/>
      <c r="Z94" s="539"/>
      <c r="AA94" s="539"/>
      <c r="AB94" s="539"/>
      <c r="AC94" s="529"/>
      <c r="AD94" s="530"/>
      <c r="AE94" s="530"/>
      <c r="AF94" s="530"/>
      <c r="AG94" s="530"/>
      <c r="AH94" s="530"/>
      <c r="AI94" s="530"/>
      <c r="AJ94" s="529"/>
      <c r="AK94" s="539"/>
      <c r="AL94" s="539"/>
      <c r="AM94" s="539"/>
      <c r="AN94" s="539"/>
      <c r="AO94" s="539"/>
      <c r="AP94" s="542"/>
      <c r="AQ94" s="549"/>
      <c r="AR94" s="550"/>
      <c r="AS94" s="550"/>
      <c r="AT94" s="550"/>
      <c r="AU94" s="550"/>
      <c r="AV94" s="550"/>
      <c r="AW94" s="551"/>
      <c r="AX94" s="495"/>
      <c r="AY94" s="496"/>
      <c r="AZ94" s="108">
        <v>6</v>
      </c>
      <c r="BA94" s="513"/>
      <c r="BB94" s="514"/>
      <c r="BC94" s="514"/>
      <c r="BD94" s="515"/>
      <c r="BE94" s="644"/>
      <c r="BF94" s="645"/>
      <c r="BG94" s="111"/>
      <c r="BH94" s="510"/>
      <c r="BI94" s="511"/>
      <c r="BJ94" s="511"/>
      <c r="BK94" s="511"/>
      <c r="BL94" s="511"/>
      <c r="BM94" s="512"/>
      <c r="BN94" s="510"/>
      <c r="BO94" s="511"/>
      <c r="BP94" s="511"/>
      <c r="BQ94" s="511"/>
      <c r="BR94" s="511"/>
      <c r="BS94" s="512"/>
      <c r="BT94" s="510"/>
      <c r="BU94" s="511"/>
      <c r="BV94" s="511"/>
      <c r="BW94" s="511"/>
      <c r="BX94" s="511"/>
      <c r="BY94" s="512"/>
      <c r="BZ94" s="513"/>
      <c r="CA94" s="514"/>
      <c r="CB94" s="514"/>
      <c r="CC94" s="515"/>
      <c r="CD94" s="477"/>
      <c r="CE94" s="478"/>
      <c r="CF94" s="478"/>
      <c r="CG94" s="478"/>
      <c r="CH94" s="479"/>
      <c r="CI94" s="477"/>
      <c r="CJ94" s="478"/>
      <c r="CK94" s="478"/>
      <c r="CL94" s="478"/>
      <c r="CM94" s="479"/>
      <c r="CN94" s="477"/>
      <c r="CO94" s="478"/>
      <c r="CP94" s="478"/>
      <c r="CQ94" s="478"/>
      <c r="CR94" s="479"/>
      <c r="CS94" s="480"/>
      <c r="CT94" s="481"/>
      <c r="CU94" s="481"/>
      <c r="CV94" s="481"/>
      <c r="CW94" s="482"/>
    </row>
    <row r="95" spans="1:101" s="91" customFormat="1" ht="16.149999999999999" customHeight="1" x14ac:dyDescent="0.15">
      <c r="A95" s="516">
        <v>15</v>
      </c>
      <c r="B95" s="102"/>
      <c r="C95" s="222" t="str">
        <f t="shared" ca="1" si="6"/>
        <v/>
      </c>
      <c r="D95" s="519"/>
      <c r="E95" s="649"/>
      <c r="F95" s="649"/>
      <c r="G95" s="649"/>
      <c r="H95" s="649"/>
      <c r="I95" s="649"/>
      <c r="J95" s="649"/>
      <c r="K95" s="525"/>
      <c r="L95" s="526"/>
      <c r="M95" s="526"/>
      <c r="N95" s="526"/>
      <c r="O95" s="526"/>
      <c r="P95" s="526"/>
      <c r="Q95" s="526"/>
      <c r="R95" s="531"/>
      <c r="S95" s="532"/>
      <c r="T95" s="531"/>
      <c r="U95" s="532"/>
      <c r="V95" s="525"/>
      <c r="W95" s="538"/>
      <c r="X95" s="538"/>
      <c r="Y95" s="538"/>
      <c r="Z95" s="538"/>
      <c r="AA95" s="538"/>
      <c r="AB95" s="538"/>
      <c r="AC95" s="525"/>
      <c r="AD95" s="526"/>
      <c r="AE95" s="526"/>
      <c r="AF95" s="526"/>
      <c r="AG95" s="526"/>
      <c r="AH95" s="526"/>
      <c r="AI95" s="526"/>
      <c r="AJ95" s="525"/>
      <c r="AK95" s="538"/>
      <c r="AL95" s="538"/>
      <c r="AM95" s="538"/>
      <c r="AN95" s="538"/>
      <c r="AO95" s="538"/>
      <c r="AP95" s="540"/>
      <c r="AQ95" s="525"/>
      <c r="AR95" s="544"/>
      <c r="AS95" s="544"/>
      <c r="AT95" s="544"/>
      <c r="AU95" s="544"/>
      <c r="AV95" s="544"/>
      <c r="AW95" s="545"/>
      <c r="AX95" s="491"/>
      <c r="AY95" s="492"/>
      <c r="AZ95" s="103">
        <v>1</v>
      </c>
      <c r="BA95" s="497"/>
      <c r="BB95" s="498"/>
      <c r="BC95" s="498"/>
      <c r="BD95" s="499"/>
      <c r="BE95" s="500"/>
      <c r="BF95" s="501"/>
      <c r="BG95" s="271"/>
      <c r="BH95" s="502"/>
      <c r="BI95" s="503"/>
      <c r="BJ95" s="503"/>
      <c r="BK95" s="503"/>
      <c r="BL95" s="503"/>
      <c r="BM95" s="504"/>
      <c r="BN95" s="502"/>
      <c r="BO95" s="503"/>
      <c r="BP95" s="503"/>
      <c r="BQ95" s="503"/>
      <c r="BR95" s="503"/>
      <c r="BS95" s="504"/>
      <c r="BT95" s="502"/>
      <c r="BU95" s="503"/>
      <c r="BV95" s="503"/>
      <c r="BW95" s="503"/>
      <c r="BX95" s="503"/>
      <c r="BY95" s="504"/>
      <c r="BZ95" s="497"/>
      <c r="CA95" s="498"/>
      <c r="CB95" s="498"/>
      <c r="CC95" s="499"/>
      <c r="CD95" s="477"/>
      <c r="CE95" s="478"/>
      <c r="CF95" s="478"/>
      <c r="CG95" s="478"/>
      <c r="CH95" s="479"/>
      <c r="CI95" s="477"/>
      <c r="CJ95" s="478"/>
      <c r="CK95" s="478"/>
      <c r="CL95" s="478"/>
      <c r="CM95" s="479"/>
      <c r="CN95" s="477"/>
      <c r="CO95" s="478"/>
      <c r="CP95" s="478"/>
      <c r="CQ95" s="478"/>
      <c r="CR95" s="479"/>
      <c r="CS95" s="480"/>
      <c r="CT95" s="481"/>
      <c r="CU95" s="481"/>
      <c r="CV95" s="481"/>
      <c r="CW95" s="482"/>
    </row>
    <row r="96" spans="1:101" s="91" customFormat="1" ht="16.5" x14ac:dyDescent="0.15">
      <c r="A96" s="517"/>
      <c r="B96" s="102"/>
      <c r="C96" s="220" t="str">
        <f t="shared" ca="1" si="6"/>
        <v/>
      </c>
      <c r="D96" s="521"/>
      <c r="E96" s="522"/>
      <c r="F96" s="522"/>
      <c r="G96" s="522"/>
      <c r="H96" s="522"/>
      <c r="I96" s="522"/>
      <c r="J96" s="522"/>
      <c r="K96" s="527"/>
      <c r="L96" s="528"/>
      <c r="M96" s="528"/>
      <c r="N96" s="528"/>
      <c r="O96" s="528"/>
      <c r="P96" s="528"/>
      <c r="Q96" s="528"/>
      <c r="R96" s="533"/>
      <c r="S96" s="534"/>
      <c r="T96" s="533"/>
      <c r="U96" s="534"/>
      <c r="V96" s="527"/>
      <c r="W96" s="528"/>
      <c r="X96" s="528"/>
      <c r="Y96" s="528"/>
      <c r="Z96" s="528"/>
      <c r="AA96" s="528"/>
      <c r="AB96" s="528"/>
      <c r="AC96" s="527"/>
      <c r="AD96" s="528"/>
      <c r="AE96" s="528"/>
      <c r="AF96" s="528"/>
      <c r="AG96" s="528"/>
      <c r="AH96" s="528"/>
      <c r="AI96" s="528"/>
      <c r="AJ96" s="527"/>
      <c r="AK96" s="528"/>
      <c r="AL96" s="528"/>
      <c r="AM96" s="528"/>
      <c r="AN96" s="528"/>
      <c r="AO96" s="528"/>
      <c r="AP96" s="541"/>
      <c r="AQ96" s="546"/>
      <c r="AR96" s="547"/>
      <c r="AS96" s="547"/>
      <c r="AT96" s="547"/>
      <c r="AU96" s="547"/>
      <c r="AV96" s="547"/>
      <c r="AW96" s="548"/>
      <c r="AX96" s="493"/>
      <c r="AY96" s="494"/>
      <c r="AZ96" s="105">
        <v>2</v>
      </c>
      <c r="BA96" s="483"/>
      <c r="BB96" s="484"/>
      <c r="BC96" s="484"/>
      <c r="BD96" s="485"/>
      <c r="BE96" s="486"/>
      <c r="BF96" s="487"/>
      <c r="BG96" s="106"/>
      <c r="BH96" s="488"/>
      <c r="BI96" s="489"/>
      <c r="BJ96" s="489"/>
      <c r="BK96" s="489"/>
      <c r="BL96" s="489"/>
      <c r="BM96" s="490"/>
      <c r="BN96" s="488"/>
      <c r="BO96" s="489"/>
      <c r="BP96" s="489"/>
      <c r="BQ96" s="489"/>
      <c r="BR96" s="489"/>
      <c r="BS96" s="490"/>
      <c r="BT96" s="488"/>
      <c r="BU96" s="489"/>
      <c r="BV96" s="489"/>
      <c r="BW96" s="489"/>
      <c r="BX96" s="489"/>
      <c r="BY96" s="490"/>
      <c r="BZ96" s="483"/>
      <c r="CA96" s="484"/>
      <c r="CB96" s="484"/>
      <c r="CC96" s="485"/>
      <c r="CD96" s="477"/>
      <c r="CE96" s="478"/>
      <c r="CF96" s="478"/>
      <c r="CG96" s="478"/>
      <c r="CH96" s="479"/>
      <c r="CI96" s="477"/>
      <c r="CJ96" s="478"/>
      <c r="CK96" s="478"/>
      <c r="CL96" s="478"/>
      <c r="CM96" s="479"/>
      <c r="CN96" s="477"/>
      <c r="CO96" s="478"/>
      <c r="CP96" s="478"/>
      <c r="CQ96" s="478"/>
      <c r="CR96" s="479"/>
      <c r="CS96" s="480"/>
      <c r="CT96" s="481"/>
      <c r="CU96" s="481"/>
      <c r="CV96" s="481"/>
      <c r="CW96" s="482"/>
    </row>
    <row r="97" spans="1:101" s="91" customFormat="1" ht="16.5" x14ac:dyDescent="0.15">
      <c r="A97" s="517"/>
      <c r="B97" s="102"/>
      <c r="C97" s="220" t="str">
        <f t="shared" ca="1" si="6"/>
        <v/>
      </c>
      <c r="D97" s="521"/>
      <c r="E97" s="522"/>
      <c r="F97" s="522"/>
      <c r="G97" s="522"/>
      <c r="H97" s="522"/>
      <c r="I97" s="522"/>
      <c r="J97" s="522"/>
      <c r="K97" s="527"/>
      <c r="L97" s="528"/>
      <c r="M97" s="528"/>
      <c r="N97" s="528"/>
      <c r="O97" s="528"/>
      <c r="P97" s="528"/>
      <c r="Q97" s="528"/>
      <c r="R97" s="533"/>
      <c r="S97" s="534"/>
      <c r="T97" s="533"/>
      <c r="U97" s="534"/>
      <c r="V97" s="527"/>
      <c r="W97" s="528"/>
      <c r="X97" s="528"/>
      <c r="Y97" s="528"/>
      <c r="Z97" s="528"/>
      <c r="AA97" s="528"/>
      <c r="AB97" s="528"/>
      <c r="AC97" s="527"/>
      <c r="AD97" s="528"/>
      <c r="AE97" s="528"/>
      <c r="AF97" s="528"/>
      <c r="AG97" s="528"/>
      <c r="AH97" s="528"/>
      <c r="AI97" s="528"/>
      <c r="AJ97" s="527"/>
      <c r="AK97" s="528"/>
      <c r="AL97" s="528"/>
      <c r="AM97" s="528"/>
      <c r="AN97" s="528"/>
      <c r="AO97" s="528"/>
      <c r="AP97" s="541"/>
      <c r="AQ97" s="546"/>
      <c r="AR97" s="547"/>
      <c r="AS97" s="547"/>
      <c r="AT97" s="547"/>
      <c r="AU97" s="547"/>
      <c r="AV97" s="547"/>
      <c r="AW97" s="548"/>
      <c r="AX97" s="493"/>
      <c r="AY97" s="494"/>
      <c r="AZ97" s="105">
        <v>3</v>
      </c>
      <c r="BA97" s="483"/>
      <c r="BB97" s="484"/>
      <c r="BC97" s="484"/>
      <c r="BD97" s="485"/>
      <c r="BE97" s="486"/>
      <c r="BF97" s="487"/>
      <c r="BG97" s="106"/>
      <c r="BH97" s="488"/>
      <c r="BI97" s="489"/>
      <c r="BJ97" s="489"/>
      <c r="BK97" s="489"/>
      <c r="BL97" s="489"/>
      <c r="BM97" s="490"/>
      <c r="BN97" s="488"/>
      <c r="BO97" s="489"/>
      <c r="BP97" s="489"/>
      <c r="BQ97" s="489"/>
      <c r="BR97" s="489"/>
      <c r="BS97" s="490"/>
      <c r="BT97" s="488"/>
      <c r="BU97" s="489"/>
      <c r="BV97" s="489"/>
      <c r="BW97" s="489"/>
      <c r="BX97" s="489"/>
      <c r="BY97" s="490"/>
      <c r="BZ97" s="483"/>
      <c r="CA97" s="484"/>
      <c r="CB97" s="484"/>
      <c r="CC97" s="485"/>
      <c r="CD97" s="477"/>
      <c r="CE97" s="478"/>
      <c r="CF97" s="478"/>
      <c r="CG97" s="478"/>
      <c r="CH97" s="479"/>
      <c r="CI97" s="477"/>
      <c r="CJ97" s="478"/>
      <c r="CK97" s="478"/>
      <c r="CL97" s="478"/>
      <c r="CM97" s="479"/>
      <c r="CN97" s="477"/>
      <c r="CO97" s="478"/>
      <c r="CP97" s="478"/>
      <c r="CQ97" s="478"/>
      <c r="CR97" s="479"/>
      <c r="CS97" s="480"/>
      <c r="CT97" s="481"/>
      <c r="CU97" s="481"/>
      <c r="CV97" s="481"/>
      <c r="CW97" s="482"/>
    </row>
    <row r="98" spans="1:101" s="91" customFormat="1" ht="16.5" x14ac:dyDescent="0.15">
      <c r="A98" s="517"/>
      <c r="B98" s="102"/>
      <c r="C98" s="220" t="str">
        <f t="shared" ca="1" si="6"/>
        <v/>
      </c>
      <c r="D98" s="521"/>
      <c r="E98" s="522"/>
      <c r="F98" s="522"/>
      <c r="G98" s="522"/>
      <c r="H98" s="522"/>
      <c r="I98" s="522"/>
      <c r="J98" s="522"/>
      <c r="K98" s="527"/>
      <c r="L98" s="528"/>
      <c r="M98" s="528"/>
      <c r="N98" s="528"/>
      <c r="O98" s="528"/>
      <c r="P98" s="528"/>
      <c r="Q98" s="528"/>
      <c r="R98" s="533"/>
      <c r="S98" s="534"/>
      <c r="T98" s="533"/>
      <c r="U98" s="534"/>
      <c r="V98" s="527"/>
      <c r="W98" s="528"/>
      <c r="X98" s="528"/>
      <c r="Y98" s="528"/>
      <c r="Z98" s="528"/>
      <c r="AA98" s="528"/>
      <c r="AB98" s="528"/>
      <c r="AC98" s="527"/>
      <c r="AD98" s="528"/>
      <c r="AE98" s="528"/>
      <c r="AF98" s="528"/>
      <c r="AG98" s="528"/>
      <c r="AH98" s="528"/>
      <c r="AI98" s="528"/>
      <c r="AJ98" s="527"/>
      <c r="AK98" s="528"/>
      <c r="AL98" s="528"/>
      <c r="AM98" s="528"/>
      <c r="AN98" s="528"/>
      <c r="AO98" s="528"/>
      <c r="AP98" s="541"/>
      <c r="AQ98" s="546"/>
      <c r="AR98" s="547"/>
      <c r="AS98" s="547"/>
      <c r="AT98" s="547"/>
      <c r="AU98" s="547"/>
      <c r="AV98" s="547"/>
      <c r="AW98" s="548"/>
      <c r="AX98" s="493"/>
      <c r="AY98" s="494"/>
      <c r="AZ98" s="105">
        <v>4</v>
      </c>
      <c r="BA98" s="483"/>
      <c r="BB98" s="484"/>
      <c r="BC98" s="484"/>
      <c r="BD98" s="485"/>
      <c r="BE98" s="486"/>
      <c r="BF98" s="487"/>
      <c r="BG98" s="106"/>
      <c r="BH98" s="488"/>
      <c r="BI98" s="489"/>
      <c r="BJ98" s="489"/>
      <c r="BK98" s="489"/>
      <c r="BL98" s="489"/>
      <c r="BM98" s="490"/>
      <c r="BN98" s="488"/>
      <c r="BO98" s="489"/>
      <c r="BP98" s="489"/>
      <c r="BQ98" s="489"/>
      <c r="BR98" s="489"/>
      <c r="BS98" s="490"/>
      <c r="BT98" s="488"/>
      <c r="BU98" s="489"/>
      <c r="BV98" s="489"/>
      <c r="BW98" s="489"/>
      <c r="BX98" s="489"/>
      <c r="BY98" s="490"/>
      <c r="BZ98" s="483"/>
      <c r="CA98" s="484"/>
      <c r="CB98" s="484"/>
      <c r="CC98" s="485"/>
      <c r="CD98" s="477"/>
      <c r="CE98" s="478"/>
      <c r="CF98" s="478"/>
      <c r="CG98" s="478"/>
      <c r="CH98" s="479"/>
      <c r="CI98" s="477"/>
      <c r="CJ98" s="478"/>
      <c r="CK98" s="478"/>
      <c r="CL98" s="478"/>
      <c r="CM98" s="479"/>
      <c r="CN98" s="477"/>
      <c r="CO98" s="478"/>
      <c r="CP98" s="478"/>
      <c r="CQ98" s="478"/>
      <c r="CR98" s="479"/>
      <c r="CS98" s="480"/>
      <c r="CT98" s="481"/>
      <c r="CU98" s="481"/>
      <c r="CV98" s="481"/>
      <c r="CW98" s="482"/>
    </row>
    <row r="99" spans="1:101" s="91" customFormat="1" ht="16.5" x14ac:dyDescent="0.15">
      <c r="A99" s="517"/>
      <c r="B99" s="102"/>
      <c r="C99" s="220" t="str">
        <f t="shared" ca="1" si="6"/>
        <v/>
      </c>
      <c r="D99" s="521"/>
      <c r="E99" s="522"/>
      <c r="F99" s="522"/>
      <c r="G99" s="522"/>
      <c r="H99" s="522"/>
      <c r="I99" s="522"/>
      <c r="J99" s="522"/>
      <c r="K99" s="527"/>
      <c r="L99" s="528"/>
      <c r="M99" s="528"/>
      <c r="N99" s="528"/>
      <c r="O99" s="528"/>
      <c r="P99" s="528"/>
      <c r="Q99" s="528"/>
      <c r="R99" s="533"/>
      <c r="S99" s="534"/>
      <c r="T99" s="533"/>
      <c r="U99" s="534"/>
      <c r="V99" s="527"/>
      <c r="W99" s="528"/>
      <c r="X99" s="528"/>
      <c r="Y99" s="528"/>
      <c r="Z99" s="528"/>
      <c r="AA99" s="528"/>
      <c r="AB99" s="528"/>
      <c r="AC99" s="527"/>
      <c r="AD99" s="528"/>
      <c r="AE99" s="528"/>
      <c r="AF99" s="528"/>
      <c r="AG99" s="528"/>
      <c r="AH99" s="528"/>
      <c r="AI99" s="528"/>
      <c r="AJ99" s="527"/>
      <c r="AK99" s="528"/>
      <c r="AL99" s="528"/>
      <c r="AM99" s="528"/>
      <c r="AN99" s="528"/>
      <c r="AO99" s="528"/>
      <c r="AP99" s="541"/>
      <c r="AQ99" s="546"/>
      <c r="AR99" s="547"/>
      <c r="AS99" s="547"/>
      <c r="AT99" s="547"/>
      <c r="AU99" s="547"/>
      <c r="AV99" s="547"/>
      <c r="AW99" s="548"/>
      <c r="AX99" s="493"/>
      <c r="AY99" s="494"/>
      <c r="AZ99" s="105">
        <v>5</v>
      </c>
      <c r="BA99" s="483"/>
      <c r="BB99" s="484"/>
      <c r="BC99" s="484"/>
      <c r="BD99" s="485"/>
      <c r="BE99" s="486"/>
      <c r="BF99" s="487"/>
      <c r="BG99" s="106"/>
      <c r="BH99" s="488"/>
      <c r="BI99" s="489"/>
      <c r="BJ99" s="489"/>
      <c r="BK99" s="489"/>
      <c r="BL99" s="489"/>
      <c r="BM99" s="490"/>
      <c r="BN99" s="488"/>
      <c r="BO99" s="489"/>
      <c r="BP99" s="489"/>
      <c r="BQ99" s="489"/>
      <c r="BR99" s="489"/>
      <c r="BS99" s="490"/>
      <c r="BT99" s="488"/>
      <c r="BU99" s="489"/>
      <c r="BV99" s="489"/>
      <c r="BW99" s="489"/>
      <c r="BX99" s="489"/>
      <c r="BY99" s="490"/>
      <c r="BZ99" s="483"/>
      <c r="CA99" s="484"/>
      <c r="CB99" s="484"/>
      <c r="CC99" s="485"/>
      <c r="CD99" s="477"/>
      <c r="CE99" s="478"/>
      <c r="CF99" s="478"/>
      <c r="CG99" s="478"/>
      <c r="CH99" s="479"/>
      <c r="CI99" s="477"/>
      <c r="CJ99" s="478"/>
      <c r="CK99" s="478"/>
      <c r="CL99" s="478"/>
      <c r="CM99" s="479"/>
      <c r="CN99" s="477"/>
      <c r="CO99" s="478"/>
      <c r="CP99" s="478"/>
      <c r="CQ99" s="478"/>
      <c r="CR99" s="479"/>
      <c r="CS99" s="480"/>
      <c r="CT99" s="481"/>
      <c r="CU99" s="481"/>
      <c r="CV99" s="481"/>
      <c r="CW99" s="482"/>
    </row>
    <row r="100" spans="1:101" s="91" customFormat="1" ht="16.5" x14ac:dyDescent="0.15">
      <c r="A100" s="518"/>
      <c r="B100" s="107"/>
      <c r="C100" s="219" t="str">
        <f t="shared" ca="1" si="6"/>
        <v/>
      </c>
      <c r="D100" s="523"/>
      <c r="E100" s="650"/>
      <c r="F100" s="650"/>
      <c r="G100" s="650"/>
      <c r="H100" s="650"/>
      <c r="I100" s="650"/>
      <c r="J100" s="650"/>
      <c r="K100" s="529"/>
      <c r="L100" s="530"/>
      <c r="M100" s="530"/>
      <c r="N100" s="530"/>
      <c r="O100" s="530"/>
      <c r="P100" s="530"/>
      <c r="Q100" s="530"/>
      <c r="R100" s="535"/>
      <c r="S100" s="537"/>
      <c r="T100" s="535"/>
      <c r="U100" s="537"/>
      <c r="V100" s="529"/>
      <c r="W100" s="539"/>
      <c r="X100" s="539"/>
      <c r="Y100" s="539"/>
      <c r="Z100" s="539"/>
      <c r="AA100" s="539"/>
      <c r="AB100" s="539"/>
      <c r="AC100" s="529"/>
      <c r="AD100" s="530"/>
      <c r="AE100" s="530"/>
      <c r="AF100" s="530"/>
      <c r="AG100" s="530"/>
      <c r="AH100" s="530"/>
      <c r="AI100" s="530"/>
      <c r="AJ100" s="529"/>
      <c r="AK100" s="539"/>
      <c r="AL100" s="539"/>
      <c r="AM100" s="539"/>
      <c r="AN100" s="539"/>
      <c r="AO100" s="539"/>
      <c r="AP100" s="542"/>
      <c r="AQ100" s="549"/>
      <c r="AR100" s="550"/>
      <c r="AS100" s="550"/>
      <c r="AT100" s="550"/>
      <c r="AU100" s="550"/>
      <c r="AV100" s="550"/>
      <c r="AW100" s="551"/>
      <c r="AX100" s="495"/>
      <c r="AY100" s="496"/>
      <c r="AZ100" s="108">
        <v>6</v>
      </c>
      <c r="BA100" s="513"/>
      <c r="BB100" s="514"/>
      <c r="BC100" s="514"/>
      <c r="BD100" s="515"/>
      <c r="BE100" s="486"/>
      <c r="BF100" s="487"/>
      <c r="BG100" s="111"/>
      <c r="BH100" s="510"/>
      <c r="BI100" s="511"/>
      <c r="BJ100" s="511"/>
      <c r="BK100" s="511"/>
      <c r="BL100" s="511"/>
      <c r="BM100" s="512"/>
      <c r="BN100" s="510"/>
      <c r="BO100" s="511"/>
      <c r="BP100" s="511"/>
      <c r="BQ100" s="511"/>
      <c r="BR100" s="511"/>
      <c r="BS100" s="512"/>
      <c r="BT100" s="510"/>
      <c r="BU100" s="511"/>
      <c r="BV100" s="511"/>
      <c r="BW100" s="511"/>
      <c r="BX100" s="511"/>
      <c r="BY100" s="512"/>
      <c r="BZ100" s="513"/>
      <c r="CA100" s="514"/>
      <c r="CB100" s="514"/>
      <c r="CC100" s="515"/>
      <c r="CD100" s="477"/>
      <c r="CE100" s="478"/>
      <c r="CF100" s="478"/>
      <c r="CG100" s="478"/>
      <c r="CH100" s="479"/>
      <c r="CI100" s="477"/>
      <c r="CJ100" s="478"/>
      <c r="CK100" s="478"/>
      <c r="CL100" s="478"/>
      <c r="CM100" s="479"/>
      <c r="CN100" s="477"/>
      <c r="CO100" s="478"/>
      <c r="CP100" s="478"/>
      <c r="CQ100" s="478"/>
      <c r="CR100" s="479"/>
      <c r="CS100" s="480"/>
      <c r="CT100" s="481"/>
      <c r="CU100" s="481"/>
      <c r="CV100" s="481"/>
      <c r="CW100" s="482"/>
    </row>
    <row r="101" spans="1:101" s="91" customFormat="1" ht="16.149999999999999" customHeight="1" x14ac:dyDescent="0.15">
      <c r="A101" s="516">
        <v>16</v>
      </c>
      <c r="B101" s="102"/>
      <c r="C101" s="222" t="str">
        <f t="shared" ca="1" si="6"/>
        <v/>
      </c>
      <c r="D101" s="519"/>
      <c r="E101" s="649"/>
      <c r="F101" s="649"/>
      <c r="G101" s="649"/>
      <c r="H101" s="649"/>
      <c r="I101" s="649"/>
      <c r="J101" s="649"/>
      <c r="K101" s="525"/>
      <c r="L101" s="526"/>
      <c r="M101" s="526"/>
      <c r="N101" s="526"/>
      <c r="O101" s="526"/>
      <c r="P101" s="526"/>
      <c r="Q101" s="526"/>
      <c r="R101" s="531"/>
      <c r="S101" s="532"/>
      <c r="T101" s="531"/>
      <c r="U101" s="532"/>
      <c r="V101" s="525"/>
      <c r="W101" s="538"/>
      <c r="X101" s="538"/>
      <c r="Y101" s="538"/>
      <c r="Z101" s="538"/>
      <c r="AA101" s="538"/>
      <c r="AB101" s="538"/>
      <c r="AC101" s="525"/>
      <c r="AD101" s="526"/>
      <c r="AE101" s="526"/>
      <c r="AF101" s="526"/>
      <c r="AG101" s="526"/>
      <c r="AH101" s="526"/>
      <c r="AI101" s="526"/>
      <c r="AJ101" s="525"/>
      <c r="AK101" s="538"/>
      <c r="AL101" s="538"/>
      <c r="AM101" s="538"/>
      <c r="AN101" s="538"/>
      <c r="AO101" s="538"/>
      <c r="AP101" s="540"/>
      <c r="AQ101" s="525"/>
      <c r="AR101" s="544"/>
      <c r="AS101" s="544"/>
      <c r="AT101" s="544"/>
      <c r="AU101" s="544"/>
      <c r="AV101" s="544"/>
      <c r="AW101" s="545"/>
      <c r="AX101" s="491"/>
      <c r="AY101" s="492"/>
      <c r="AZ101" s="103">
        <v>1</v>
      </c>
      <c r="BA101" s="497"/>
      <c r="BB101" s="498"/>
      <c r="BC101" s="498"/>
      <c r="BD101" s="499"/>
      <c r="BE101" s="500"/>
      <c r="BF101" s="501"/>
      <c r="BG101" s="104"/>
      <c r="BH101" s="502"/>
      <c r="BI101" s="503"/>
      <c r="BJ101" s="503"/>
      <c r="BK101" s="503"/>
      <c r="BL101" s="503"/>
      <c r="BM101" s="504"/>
      <c r="BN101" s="502"/>
      <c r="BO101" s="503"/>
      <c r="BP101" s="503"/>
      <c r="BQ101" s="503"/>
      <c r="BR101" s="503"/>
      <c r="BS101" s="504"/>
      <c r="BT101" s="502"/>
      <c r="BU101" s="503"/>
      <c r="BV101" s="503"/>
      <c r="BW101" s="503"/>
      <c r="BX101" s="503"/>
      <c r="BY101" s="504"/>
      <c r="BZ101" s="552"/>
      <c r="CA101" s="553"/>
      <c r="CB101" s="553"/>
      <c r="CC101" s="554"/>
      <c r="CD101" s="477"/>
      <c r="CE101" s="478"/>
      <c r="CF101" s="478"/>
      <c r="CG101" s="478"/>
      <c r="CH101" s="479"/>
      <c r="CI101" s="477"/>
      <c r="CJ101" s="478"/>
      <c r="CK101" s="478"/>
      <c r="CL101" s="478"/>
      <c r="CM101" s="479"/>
      <c r="CN101" s="477"/>
      <c r="CO101" s="478"/>
      <c r="CP101" s="478"/>
      <c r="CQ101" s="478"/>
      <c r="CR101" s="479"/>
      <c r="CS101" s="480"/>
      <c r="CT101" s="481"/>
      <c r="CU101" s="481"/>
      <c r="CV101" s="481"/>
      <c r="CW101" s="482"/>
    </row>
    <row r="102" spans="1:101" s="91" customFormat="1" ht="16.5" x14ac:dyDescent="0.15">
      <c r="A102" s="517"/>
      <c r="B102" s="102"/>
      <c r="C102" s="220" t="str">
        <f t="shared" ca="1" si="6"/>
        <v/>
      </c>
      <c r="D102" s="521"/>
      <c r="E102" s="522"/>
      <c r="F102" s="522"/>
      <c r="G102" s="522"/>
      <c r="H102" s="522"/>
      <c r="I102" s="522"/>
      <c r="J102" s="522"/>
      <c r="K102" s="527"/>
      <c r="L102" s="528"/>
      <c r="M102" s="528"/>
      <c r="N102" s="528"/>
      <c r="O102" s="528"/>
      <c r="P102" s="528"/>
      <c r="Q102" s="528"/>
      <c r="R102" s="533"/>
      <c r="S102" s="534"/>
      <c r="T102" s="533"/>
      <c r="U102" s="534"/>
      <c r="V102" s="527"/>
      <c r="W102" s="528"/>
      <c r="X102" s="528"/>
      <c r="Y102" s="528"/>
      <c r="Z102" s="528"/>
      <c r="AA102" s="528"/>
      <c r="AB102" s="528"/>
      <c r="AC102" s="527"/>
      <c r="AD102" s="528"/>
      <c r="AE102" s="528"/>
      <c r="AF102" s="528"/>
      <c r="AG102" s="528"/>
      <c r="AH102" s="528"/>
      <c r="AI102" s="528"/>
      <c r="AJ102" s="527"/>
      <c r="AK102" s="528"/>
      <c r="AL102" s="528"/>
      <c r="AM102" s="528"/>
      <c r="AN102" s="528"/>
      <c r="AO102" s="528"/>
      <c r="AP102" s="541"/>
      <c r="AQ102" s="546"/>
      <c r="AR102" s="547"/>
      <c r="AS102" s="547"/>
      <c r="AT102" s="547"/>
      <c r="AU102" s="547"/>
      <c r="AV102" s="547"/>
      <c r="AW102" s="548"/>
      <c r="AX102" s="493"/>
      <c r="AY102" s="494"/>
      <c r="AZ102" s="105">
        <v>2</v>
      </c>
      <c r="BA102" s="483"/>
      <c r="BB102" s="484"/>
      <c r="BC102" s="484"/>
      <c r="BD102" s="485"/>
      <c r="BE102" s="486"/>
      <c r="BF102" s="487"/>
      <c r="BG102" s="106"/>
      <c r="BH102" s="488"/>
      <c r="BI102" s="489"/>
      <c r="BJ102" s="489"/>
      <c r="BK102" s="489"/>
      <c r="BL102" s="489"/>
      <c r="BM102" s="490"/>
      <c r="BN102" s="488"/>
      <c r="BO102" s="489"/>
      <c r="BP102" s="489"/>
      <c r="BQ102" s="489"/>
      <c r="BR102" s="489"/>
      <c r="BS102" s="490"/>
      <c r="BT102" s="488"/>
      <c r="BU102" s="489"/>
      <c r="BV102" s="489"/>
      <c r="BW102" s="489"/>
      <c r="BX102" s="489"/>
      <c r="BY102" s="490"/>
      <c r="BZ102" s="483"/>
      <c r="CA102" s="484"/>
      <c r="CB102" s="484"/>
      <c r="CC102" s="485"/>
      <c r="CD102" s="477"/>
      <c r="CE102" s="478"/>
      <c r="CF102" s="478"/>
      <c r="CG102" s="478"/>
      <c r="CH102" s="479"/>
      <c r="CI102" s="477"/>
      <c r="CJ102" s="478"/>
      <c r="CK102" s="478"/>
      <c r="CL102" s="478"/>
      <c r="CM102" s="479"/>
      <c r="CN102" s="477"/>
      <c r="CO102" s="478"/>
      <c r="CP102" s="478"/>
      <c r="CQ102" s="478"/>
      <c r="CR102" s="479"/>
      <c r="CS102" s="480"/>
      <c r="CT102" s="481"/>
      <c r="CU102" s="481"/>
      <c r="CV102" s="481"/>
      <c r="CW102" s="482"/>
    </row>
    <row r="103" spans="1:101" s="91" customFormat="1" ht="16.5" x14ac:dyDescent="0.15">
      <c r="A103" s="517"/>
      <c r="B103" s="102"/>
      <c r="C103" s="220" t="str">
        <f t="shared" ca="1" si="6"/>
        <v/>
      </c>
      <c r="D103" s="521"/>
      <c r="E103" s="522"/>
      <c r="F103" s="522"/>
      <c r="G103" s="522"/>
      <c r="H103" s="522"/>
      <c r="I103" s="522"/>
      <c r="J103" s="522"/>
      <c r="K103" s="527"/>
      <c r="L103" s="528"/>
      <c r="M103" s="528"/>
      <c r="N103" s="528"/>
      <c r="O103" s="528"/>
      <c r="P103" s="528"/>
      <c r="Q103" s="528"/>
      <c r="R103" s="533"/>
      <c r="S103" s="534"/>
      <c r="T103" s="533"/>
      <c r="U103" s="534"/>
      <c r="V103" s="527"/>
      <c r="W103" s="528"/>
      <c r="X103" s="528"/>
      <c r="Y103" s="528"/>
      <c r="Z103" s="528"/>
      <c r="AA103" s="528"/>
      <c r="AB103" s="528"/>
      <c r="AC103" s="527"/>
      <c r="AD103" s="528"/>
      <c r="AE103" s="528"/>
      <c r="AF103" s="528"/>
      <c r="AG103" s="528"/>
      <c r="AH103" s="528"/>
      <c r="AI103" s="528"/>
      <c r="AJ103" s="527"/>
      <c r="AK103" s="528"/>
      <c r="AL103" s="528"/>
      <c r="AM103" s="528"/>
      <c r="AN103" s="528"/>
      <c r="AO103" s="528"/>
      <c r="AP103" s="541"/>
      <c r="AQ103" s="546"/>
      <c r="AR103" s="547"/>
      <c r="AS103" s="547"/>
      <c r="AT103" s="547"/>
      <c r="AU103" s="547"/>
      <c r="AV103" s="547"/>
      <c r="AW103" s="548"/>
      <c r="AX103" s="493"/>
      <c r="AY103" s="494"/>
      <c r="AZ103" s="105">
        <v>3</v>
      </c>
      <c r="BA103" s="483"/>
      <c r="BB103" s="484"/>
      <c r="BC103" s="484"/>
      <c r="BD103" s="485"/>
      <c r="BE103" s="486"/>
      <c r="BF103" s="487"/>
      <c r="BG103" s="106"/>
      <c r="BH103" s="488"/>
      <c r="BI103" s="489"/>
      <c r="BJ103" s="489"/>
      <c r="BK103" s="489"/>
      <c r="BL103" s="489"/>
      <c r="BM103" s="490"/>
      <c r="BN103" s="488"/>
      <c r="BO103" s="489"/>
      <c r="BP103" s="489"/>
      <c r="BQ103" s="489"/>
      <c r="BR103" s="489"/>
      <c r="BS103" s="490"/>
      <c r="BT103" s="488"/>
      <c r="BU103" s="489"/>
      <c r="BV103" s="489"/>
      <c r="BW103" s="489"/>
      <c r="BX103" s="489"/>
      <c r="BY103" s="490"/>
      <c r="BZ103" s="483"/>
      <c r="CA103" s="484"/>
      <c r="CB103" s="484"/>
      <c r="CC103" s="485"/>
      <c r="CD103" s="477"/>
      <c r="CE103" s="478"/>
      <c r="CF103" s="478"/>
      <c r="CG103" s="478"/>
      <c r="CH103" s="479"/>
      <c r="CI103" s="477"/>
      <c r="CJ103" s="478"/>
      <c r="CK103" s="478"/>
      <c r="CL103" s="478"/>
      <c r="CM103" s="479"/>
      <c r="CN103" s="477"/>
      <c r="CO103" s="478"/>
      <c r="CP103" s="478"/>
      <c r="CQ103" s="478"/>
      <c r="CR103" s="479"/>
      <c r="CS103" s="480"/>
      <c r="CT103" s="481"/>
      <c r="CU103" s="481"/>
      <c r="CV103" s="481"/>
      <c r="CW103" s="482"/>
    </row>
    <row r="104" spans="1:101" s="91" customFormat="1" ht="16.5" x14ac:dyDescent="0.15">
      <c r="A104" s="517"/>
      <c r="B104" s="102"/>
      <c r="C104" s="220" t="str">
        <f t="shared" ca="1" si="6"/>
        <v/>
      </c>
      <c r="D104" s="521"/>
      <c r="E104" s="522"/>
      <c r="F104" s="522"/>
      <c r="G104" s="522"/>
      <c r="H104" s="522"/>
      <c r="I104" s="522"/>
      <c r="J104" s="522"/>
      <c r="K104" s="527"/>
      <c r="L104" s="528"/>
      <c r="M104" s="528"/>
      <c r="N104" s="528"/>
      <c r="O104" s="528"/>
      <c r="P104" s="528"/>
      <c r="Q104" s="528"/>
      <c r="R104" s="533"/>
      <c r="S104" s="534"/>
      <c r="T104" s="533"/>
      <c r="U104" s="534"/>
      <c r="V104" s="527"/>
      <c r="W104" s="528"/>
      <c r="X104" s="528"/>
      <c r="Y104" s="528"/>
      <c r="Z104" s="528"/>
      <c r="AA104" s="528"/>
      <c r="AB104" s="528"/>
      <c r="AC104" s="527"/>
      <c r="AD104" s="528"/>
      <c r="AE104" s="528"/>
      <c r="AF104" s="528"/>
      <c r="AG104" s="528"/>
      <c r="AH104" s="528"/>
      <c r="AI104" s="528"/>
      <c r="AJ104" s="527"/>
      <c r="AK104" s="528"/>
      <c r="AL104" s="528"/>
      <c r="AM104" s="528"/>
      <c r="AN104" s="528"/>
      <c r="AO104" s="528"/>
      <c r="AP104" s="541"/>
      <c r="AQ104" s="546"/>
      <c r="AR104" s="547"/>
      <c r="AS104" s="547"/>
      <c r="AT104" s="547"/>
      <c r="AU104" s="547"/>
      <c r="AV104" s="547"/>
      <c r="AW104" s="548"/>
      <c r="AX104" s="493"/>
      <c r="AY104" s="494"/>
      <c r="AZ104" s="105">
        <v>4</v>
      </c>
      <c r="BA104" s="483"/>
      <c r="BB104" s="484"/>
      <c r="BC104" s="484"/>
      <c r="BD104" s="485"/>
      <c r="BE104" s="486"/>
      <c r="BF104" s="487"/>
      <c r="BG104" s="106"/>
      <c r="BH104" s="488"/>
      <c r="BI104" s="489"/>
      <c r="BJ104" s="489"/>
      <c r="BK104" s="489"/>
      <c r="BL104" s="489"/>
      <c r="BM104" s="490"/>
      <c r="BN104" s="488"/>
      <c r="BO104" s="489"/>
      <c r="BP104" s="489"/>
      <c r="BQ104" s="489"/>
      <c r="BR104" s="489"/>
      <c r="BS104" s="490"/>
      <c r="BT104" s="488"/>
      <c r="BU104" s="489"/>
      <c r="BV104" s="489"/>
      <c r="BW104" s="489"/>
      <c r="BX104" s="489"/>
      <c r="BY104" s="490"/>
      <c r="BZ104" s="483"/>
      <c r="CA104" s="484"/>
      <c r="CB104" s="484"/>
      <c r="CC104" s="485"/>
      <c r="CD104" s="477"/>
      <c r="CE104" s="478"/>
      <c r="CF104" s="478"/>
      <c r="CG104" s="478"/>
      <c r="CH104" s="479"/>
      <c r="CI104" s="477"/>
      <c r="CJ104" s="478"/>
      <c r="CK104" s="478"/>
      <c r="CL104" s="478"/>
      <c r="CM104" s="479"/>
      <c r="CN104" s="477"/>
      <c r="CO104" s="478"/>
      <c r="CP104" s="478"/>
      <c r="CQ104" s="478"/>
      <c r="CR104" s="479"/>
      <c r="CS104" s="480"/>
      <c r="CT104" s="481"/>
      <c r="CU104" s="481"/>
      <c r="CV104" s="481"/>
      <c r="CW104" s="482"/>
    </row>
    <row r="105" spans="1:101" s="91" customFormat="1" ht="16.5" x14ac:dyDescent="0.15">
      <c r="A105" s="517"/>
      <c r="B105" s="102"/>
      <c r="C105" s="220" t="str">
        <f t="shared" ca="1" si="6"/>
        <v/>
      </c>
      <c r="D105" s="521"/>
      <c r="E105" s="522"/>
      <c r="F105" s="522"/>
      <c r="G105" s="522"/>
      <c r="H105" s="522"/>
      <c r="I105" s="522"/>
      <c r="J105" s="522"/>
      <c r="K105" s="527"/>
      <c r="L105" s="528"/>
      <c r="M105" s="528"/>
      <c r="N105" s="528"/>
      <c r="O105" s="528"/>
      <c r="P105" s="528"/>
      <c r="Q105" s="528"/>
      <c r="R105" s="533"/>
      <c r="S105" s="534"/>
      <c r="T105" s="533"/>
      <c r="U105" s="534"/>
      <c r="V105" s="527"/>
      <c r="W105" s="528"/>
      <c r="X105" s="528"/>
      <c r="Y105" s="528"/>
      <c r="Z105" s="528"/>
      <c r="AA105" s="528"/>
      <c r="AB105" s="528"/>
      <c r="AC105" s="527"/>
      <c r="AD105" s="528"/>
      <c r="AE105" s="528"/>
      <c r="AF105" s="528"/>
      <c r="AG105" s="528"/>
      <c r="AH105" s="528"/>
      <c r="AI105" s="528"/>
      <c r="AJ105" s="527"/>
      <c r="AK105" s="528"/>
      <c r="AL105" s="528"/>
      <c r="AM105" s="528"/>
      <c r="AN105" s="528"/>
      <c r="AO105" s="528"/>
      <c r="AP105" s="541"/>
      <c r="AQ105" s="546"/>
      <c r="AR105" s="547"/>
      <c r="AS105" s="547"/>
      <c r="AT105" s="547"/>
      <c r="AU105" s="547"/>
      <c r="AV105" s="547"/>
      <c r="AW105" s="548"/>
      <c r="AX105" s="493"/>
      <c r="AY105" s="494"/>
      <c r="AZ105" s="105">
        <v>5</v>
      </c>
      <c r="BA105" s="483"/>
      <c r="BB105" s="484"/>
      <c r="BC105" s="484"/>
      <c r="BD105" s="485"/>
      <c r="BE105" s="486"/>
      <c r="BF105" s="487"/>
      <c r="BG105" s="106"/>
      <c r="BH105" s="488"/>
      <c r="BI105" s="489"/>
      <c r="BJ105" s="489"/>
      <c r="BK105" s="489"/>
      <c r="BL105" s="489"/>
      <c r="BM105" s="490"/>
      <c r="BN105" s="488"/>
      <c r="BO105" s="489"/>
      <c r="BP105" s="489"/>
      <c r="BQ105" s="489"/>
      <c r="BR105" s="489"/>
      <c r="BS105" s="490"/>
      <c r="BT105" s="488"/>
      <c r="BU105" s="489"/>
      <c r="BV105" s="489"/>
      <c r="BW105" s="489"/>
      <c r="BX105" s="489"/>
      <c r="BY105" s="490"/>
      <c r="BZ105" s="483"/>
      <c r="CA105" s="484"/>
      <c r="CB105" s="484"/>
      <c r="CC105" s="485"/>
      <c r="CD105" s="477"/>
      <c r="CE105" s="478"/>
      <c r="CF105" s="478"/>
      <c r="CG105" s="478"/>
      <c r="CH105" s="479"/>
      <c r="CI105" s="477"/>
      <c r="CJ105" s="478"/>
      <c r="CK105" s="478"/>
      <c r="CL105" s="478"/>
      <c r="CM105" s="479"/>
      <c r="CN105" s="477"/>
      <c r="CO105" s="478"/>
      <c r="CP105" s="478"/>
      <c r="CQ105" s="478"/>
      <c r="CR105" s="479"/>
      <c r="CS105" s="480"/>
      <c r="CT105" s="481"/>
      <c r="CU105" s="481"/>
      <c r="CV105" s="481"/>
      <c r="CW105" s="482"/>
    </row>
    <row r="106" spans="1:101" s="91" customFormat="1" ht="16.5" x14ac:dyDescent="0.15">
      <c r="A106" s="518"/>
      <c r="B106" s="107"/>
      <c r="C106" s="221" t="str">
        <f t="shared" ca="1" si="6"/>
        <v/>
      </c>
      <c r="D106" s="523"/>
      <c r="E106" s="650"/>
      <c r="F106" s="650"/>
      <c r="G106" s="650"/>
      <c r="H106" s="650"/>
      <c r="I106" s="650"/>
      <c r="J106" s="650"/>
      <c r="K106" s="529"/>
      <c r="L106" s="530"/>
      <c r="M106" s="530"/>
      <c r="N106" s="530"/>
      <c r="O106" s="530"/>
      <c r="P106" s="530"/>
      <c r="Q106" s="530"/>
      <c r="R106" s="535"/>
      <c r="S106" s="537"/>
      <c r="T106" s="535"/>
      <c r="U106" s="537"/>
      <c r="V106" s="529"/>
      <c r="W106" s="539"/>
      <c r="X106" s="539"/>
      <c r="Y106" s="539"/>
      <c r="Z106" s="539"/>
      <c r="AA106" s="539"/>
      <c r="AB106" s="539"/>
      <c r="AC106" s="529"/>
      <c r="AD106" s="530"/>
      <c r="AE106" s="530"/>
      <c r="AF106" s="530"/>
      <c r="AG106" s="530"/>
      <c r="AH106" s="530"/>
      <c r="AI106" s="530"/>
      <c r="AJ106" s="529"/>
      <c r="AK106" s="539"/>
      <c r="AL106" s="539"/>
      <c r="AM106" s="539"/>
      <c r="AN106" s="539"/>
      <c r="AO106" s="539"/>
      <c r="AP106" s="542"/>
      <c r="AQ106" s="549"/>
      <c r="AR106" s="550"/>
      <c r="AS106" s="550"/>
      <c r="AT106" s="550"/>
      <c r="AU106" s="550"/>
      <c r="AV106" s="550"/>
      <c r="AW106" s="551"/>
      <c r="AX106" s="495"/>
      <c r="AY106" s="496"/>
      <c r="AZ106" s="108">
        <v>6</v>
      </c>
      <c r="BA106" s="505"/>
      <c r="BB106" s="506"/>
      <c r="BC106" s="506"/>
      <c r="BD106" s="507"/>
      <c r="BE106" s="644"/>
      <c r="BF106" s="645"/>
      <c r="BG106" s="109"/>
      <c r="BH106" s="510"/>
      <c r="BI106" s="511"/>
      <c r="BJ106" s="511"/>
      <c r="BK106" s="511"/>
      <c r="BL106" s="511"/>
      <c r="BM106" s="512"/>
      <c r="BN106" s="510"/>
      <c r="BO106" s="511"/>
      <c r="BP106" s="511"/>
      <c r="BQ106" s="511"/>
      <c r="BR106" s="511"/>
      <c r="BS106" s="512"/>
      <c r="BT106" s="510"/>
      <c r="BU106" s="511"/>
      <c r="BV106" s="511"/>
      <c r="BW106" s="511"/>
      <c r="BX106" s="511"/>
      <c r="BY106" s="512"/>
      <c r="BZ106" s="505"/>
      <c r="CA106" s="506"/>
      <c r="CB106" s="506"/>
      <c r="CC106" s="507"/>
      <c r="CD106" s="477"/>
      <c r="CE106" s="478"/>
      <c r="CF106" s="478"/>
      <c r="CG106" s="478"/>
      <c r="CH106" s="479"/>
      <c r="CI106" s="477"/>
      <c r="CJ106" s="478"/>
      <c r="CK106" s="478"/>
      <c r="CL106" s="478"/>
      <c r="CM106" s="479"/>
      <c r="CN106" s="477"/>
      <c r="CO106" s="478"/>
      <c r="CP106" s="478"/>
      <c r="CQ106" s="478"/>
      <c r="CR106" s="479"/>
      <c r="CS106" s="480"/>
      <c r="CT106" s="481"/>
      <c r="CU106" s="481"/>
      <c r="CV106" s="481"/>
      <c r="CW106" s="482"/>
    </row>
    <row r="107" spans="1:101" s="91" customFormat="1" ht="15.75" customHeight="1" x14ac:dyDescent="0.15">
      <c r="A107" s="516">
        <v>17</v>
      </c>
      <c r="B107" s="102"/>
      <c r="C107" s="222" t="str">
        <f t="shared" ca="1" si="6"/>
        <v/>
      </c>
      <c r="D107" s="519"/>
      <c r="E107" s="649"/>
      <c r="F107" s="649"/>
      <c r="G107" s="649"/>
      <c r="H107" s="649"/>
      <c r="I107" s="649"/>
      <c r="J107" s="649"/>
      <c r="K107" s="525"/>
      <c r="L107" s="526"/>
      <c r="M107" s="526"/>
      <c r="N107" s="526"/>
      <c r="O107" s="526"/>
      <c r="P107" s="526"/>
      <c r="Q107" s="526"/>
      <c r="R107" s="531"/>
      <c r="S107" s="532"/>
      <c r="T107" s="531"/>
      <c r="U107" s="532"/>
      <c r="V107" s="525"/>
      <c r="W107" s="538"/>
      <c r="X107" s="538"/>
      <c r="Y107" s="538"/>
      <c r="Z107" s="538"/>
      <c r="AA107" s="538"/>
      <c r="AB107" s="538"/>
      <c r="AC107" s="525"/>
      <c r="AD107" s="538"/>
      <c r="AE107" s="538"/>
      <c r="AF107" s="538"/>
      <c r="AG107" s="538"/>
      <c r="AH107" s="538"/>
      <c r="AI107" s="538"/>
      <c r="AJ107" s="525"/>
      <c r="AK107" s="538"/>
      <c r="AL107" s="538"/>
      <c r="AM107" s="538"/>
      <c r="AN107" s="538"/>
      <c r="AO107" s="538"/>
      <c r="AP107" s="540"/>
      <c r="AQ107" s="525"/>
      <c r="AR107" s="544"/>
      <c r="AS107" s="544"/>
      <c r="AT107" s="544"/>
      <c r="AU107" s="544"/>
      <c r="AV107" s="544"/>
      <c r="AW107" s="545"/>
      <c r="AX107" s="491"/>
      <c r="AY107" s="492"/>
      <c r="AZ107" s="103">
        <v>1</v>
      </c>
      <c r="BA107" s="497"/>
      <c r="BB107" s="498"/>
      <c r="BC107" s="498"/>
      <c r="BD107" s="499"/>
      <c r="BE107" s="500"/>
      <c r="BF107" s="501"/>
      <c r="BG107" s="110"/>
      <c r="BH107" s="502"/>
      <c r="BI107" s="503"/>
      <c r="BJ107" s="503"/>
      <c r="BK107" s="503"/>
      <c r="BL107" s="503"/>
      <c r="BM107" s="504"/>
      <c r="BN107" s="502"/>
      <c r="BO107" s="503"/>
      <c r="BP107" s="503"/>
      <c r="BQ107" s="503"/>
      <c r="BR107" s="503"/>
      <c r="BS107" s="504"/>
      <c r="BT107" s="502"/>
      <c r="BU107" s="503"/>
      <c r="BV107" s="503"/>
      <c r="BW107" s="503"/>
      <c r="BX107" s="503"/>
      <c r="BY107" s="504"/>
      <c r="BZ107" s="497"/>
      <c r="CA107" s="498"/>
      <c r="CB107" s="498"/>
      <c r="CC107" s="499"/>
      <c r="CD107" s="477"/>
      <c r="CE107" s="478"/>
      <c r="CF107" s="478"/>
      <c r="CG107" s="478"/>
      <c r="CH107" s="479"/>
      <c r="CI107" s="477"/>
      <c r="CJ107" s="478"/>
      <c r="CK107" s="478"/>
      <c r="CL107" s="478"/>
      <c r="CM107" s="479"/>
      <c r="CN107" s="477"/>
      <c r="CO107" s="478"/>
      <c r="CP107" s="478"/>
      <c r="CQ107" s="478"/>
      <c r="CR107" s="479"/>
      <c r="CS107" s="480"/>
      <c r="CT107" s="481"/>
      <c r="CU107" s="481"/>
      <c r="CV107" s="481"/>
      <c r="CW107" s="482"/>
    </row>
    <row r="108" spans="1:101" s="91" customFormat="1" ht="16.5" x14ac:dyDescent="0.15">
      <c r="A108" s="517"/>
      <c r="B108" s="102"/>
      <c r="C108" s="220" t="str">
        <f t="shared" ca="1" si="6"/>
        <v/>
      </c>
      <c r="D108" s="521"/>
      <c r="E108" s="522"/>
      <c r="F108" s="522"/>
      <c r="G108" s="522"/>
      <c r="H108" s="522"/>
      <c r="I108" s="522"/>
      <c r="J108" s="522"/>
      <c r="K108" s="527"/>
      <c r="L108" s="528"/>
      <c r="M108" s="528"/>
      <c r="N108" s="528"/>
      <c r="O108" s="528"/>
      <c r="P108" s="528"/>
      <c r="Q108" s="528"/>
      <c r="R108" s="533"/>
      <c r="S108" s="534"/>
      <c r="T108" s="533"/>
      <c r="U108" s="534"/>
      <c r="V108" s="527"/>
      <c r="W108" s="528"/>
      <c r="X108" s="528"/>
      <c r="Y108" s="528"/>
      <c r="Z108" s="528"/>
      <c r="AA108" s="528"/>
      <c r="AB108" s="528"/>
      <c r="AC108" s="527"/>
      <c r="AD108" s="528"/>
      <c r="AE108" s="528"/>
      <c r="AF108" s="528"/>
      <c r="AG108" s="528"/>
      <c r="AH108" s="528"/>
      <c r="AI108" s="528"/>
      <c r="AJ108" s="527"/>
      <c r="AK108" s="528"/>
      <c r="AL108" s="528"/>
      <c r="AM108" s="528"/>
      <c r="AN108" s="528"/>
      <c r="AO108" s="528"/>
      <c r="AP108" s="541"/>
      <c r="AQ108" s="546"/>
      <c r="AR108" s="547"/>
      <c r="AS108" s="547"/>
      <c r="AT108" s="547"/>
      <c r="AU108" s="547"/>
      <c r="AV108" s="547"/>
      <c r="AW108" s="548"/>
      <c r="AX108" s="493"/>
      <c r="AY108" s="494"/>
      <c r="AZ108" s="105">
        <v>2</v>
      </c>
      <c r="BA108" s="483"/>
      <c r="BB108" s="484"/>
      <c r="BC108" s="484"/>
      <c r="BD108" s="485"/>
      <c r="BE108" s="486"/>
      <c r="BF108" s="487"/>
      <c r="BG108" s="106"/>
      <c r="BH108" s="488"/>
      <c r="BI108" s="489"/>
      <c r="BJ108" s="489"/>
      <c r="BK108" s="489"/>
      <c r="BL108" s="489"/>
      <c r="BM108" s="490"/>
      <c r="BN108" s="488"/>
      <c r="BO108" s="489"/>
      <c r="BP108" s="489"/>
      <c r="BQ108" s="489"/>
      <c r="BR108" s="489"/>
      <c r="BS108" s="490"/>
      <c r="BT108" s="488"/>
      <c r="BU108" s="489"/>
      <c r="BV108" s="489"/>
      <c r="BW108" s="489"/>
      <c r="BX108" s="489"/>
      <c r="BY108" s="490"/>
      <c r="BZ108" s="483"/>
      <c r="CA108" s="484"/>
      <c r="CB108" s="484"/>
      <c r="CC108" s="485"/>
      <c r="CD108" s="477"/>
      <c r="CE108" s="478"/>
      <c r="CF108" s="478"/>
      <c r="CG108" s="478"/>
      <c r="CH108" s="479"/>
      <c r="CI108" s="477"/>
      <c r="CJ108" s="478"/>
      <c r="CK108" s="478"/>
      <c r="CL108" s="478"/>
      <c r="CM108" s="479"/>
      <c r="CN108" s="477"/>
      <c r="CO108" s="478"/>
      <c r="CP108" s="478"/>
      <c r="CQ108" s="478"/>
      <c r="CR108" s="479"/>
      <c r="CS108" s="480"/>
      <c r="CT108" s="481"/>
      <c r="CU108" s="481"/>
      <c r="CV108" s="481"/>
      <c r="CW108" s="482"/>
    </row>
    <row r="109" spans="1:101" s="91" customFormat="1" ht="16.5" x14ac:dyDescent="0.15">
      <c r="A109" s="517"/>
      <c r="B109" s="102"/>
      <c r="C109" s="220" t="str">
        <f t="shared" ca="1" si="6"/>
        <v/>
      </c>
      <c r="D109" s="521"/>
      <c r="E109" s="522"/>
      <c r="F109" s="522"/>
      <c r="G109" s="522"/>
      <c r="H109" s="522"/>
      <c r="I109" s="522"/>
      <c r="J109" s="522"/>
      <c r="K109" s="527"/>
      <c r="L109" s="528"/>
      <c r="M109" s="528"/>
      <c r="N109" s="528"/>
      <c r="O109" s="528"/>
      <c r="P109" s="528"/>
      <c r="Q109" s="528"/>
      <c r="R109" s="533"/>
      <c r="S109" s="534"/>
      <c r="T109" s="533"/>
      <c r="U109" s="534"/>
      <c r="V109" s="527"/>
      <c r="W109" s="528"/>
      <c r="X109" s="528"/>
      <c r="Y109" s="528"/>
      <c r="Z109" s="528"/>
      <c r="AA109" s="528"/>
      <c r="AB109" s="528"/>
      <c r="AC109" s="527"/>
      <c r="AD109" s="528"/>
      <c r="AE109" s="528"/>
      <c r="AF109" s="528"/>
      <c r="AG109" s="528"/>
      <c r="AH109" s="528"/>
      <c r="AI109" s="528"/>
      <c r="AJ109" s="527"/>
      <c r="AK109" s="528"/>
      <c r="AL109" s="528"/>
      <c r="AM109" s="528"/>
      <c r="AN109" s="528"/>
      <c r="AO109" s="528"/>
      <c r="AP109" s="541"/>
      <c r="AQ109" s="546"/>
      <c r="AR109" s="547"/>
      <c r="AS109" s="547"/>
      <c r="AT109" s="547"/>
      <c r="AU109" s="547"/>
      <c r="AV109" s="547"/>
      <c r="AW109" s="548"/>
      <c r="AX109" s="493"/>
      <c r="AY109" s="494"/>
      <c r="AZ109" s="105">
        <v>3</v>
      </c>
      <c r="BA109" s="483"/>
      <c r="BB109" s="484"/>
      <c r="BC109" s="484"/>
      <c r="BD109" s="485"/>
      <c r="BE109" s="486"/>
      <c r="BF109" s="487"/>
      <c r="BG109" s="106"/>
      <c r="BH109" s="488"/>
      <c r="BI109" s="489"/>
      <c r="BJ109" s="489"/>
      <c r="BK109" s="489"/>
      <c r="BL109" s="489"/>
      <c r="BM109" s="490"/>
      <c r="BN109" s="488"/>
      <c r="BO109" s="489"/>
      <c r="BP109" s="489"/>
      <c r="BQ109" s="489"/>
      <c r="BR109" s="489"/>
      <c r="BS109" s="490"/>
      <c r="BT109" s="488"/>
      <c r="BU109" s="489"/>
      <c r="BV109" s="489"/>
      <c r="BW109" s="489"/>
      <c r="BX109" s="489"/>
      <c r="BY109" s="490"/>
      <c r="BZ109" s="483"/>
      <c r="CA109" s="484"/>
      <c r="CB109" s="484"/>
      <c r="CC109" s="485"/>
      <c r="CD109" s="477"/>
      <c r="CE109" s="478"/>
      <c r="CF109" s="478"/>
      <c r="CG109" s="478"/>
      <c r="CH109" s="479"/>
      <c r="CI109" s="477"/>
      <c r="CJ109" s="478"/>
      <c r="CK109" s="478"/>
      <c r="CL109" s="478"/>
      <c r="CM109" s="479"/>
      <c r="CN109" s="477"/>
      <c r="CO109" s="478"/>
      <c r="CP109" s="478"/>
      <c r="CQ109" s="478"/>
      <c r="CR109" s="479"/>
      <c r="CS109" s="480"/>
      <c r="CT109" s="481"/>
      <c r="CU109" s="481"/>
      <c r="CV109" s="481"/>
      <c r="CW109" s="482"/>
    </row>
    <row r="110" spans="1:101" s="91" customFormat="1" ht="16.5" x14ac:dyDescent="0.15">
      <c r="A110" s="517"/>
      <c r="B110" s="102"/>
      <c r="C110" s="220" t="str">
        <f t="shared" ca="1" si="6"/>
        <v/>
      </c>
      <c r="D110" s="521"/>
      <c r="E110" s="522"/>
      <c r="F110" s="522"/>
      <c r="G110" s="522"/>
      <c r="H110" s="522"/>
      <c r="I110" s="522"/>
      <c r="J110" s="522"/>
      <c r="K110" s="527"/>
      <c r="L110" s="528"/>
      <c r="M110" s="528"/>
      <c r="N110" s="528"/>
      <c r="O110" s="528"/>
      <c r="P110" s="528"/>
      <c r="Q110" s="528"/>
      <c r="R110" s="533"/>
      <c r="S110" s="534"/>
      <c r="T110" s="533"/>
      <c r="U110" s="534"/>
      <c r="V110" s="527"/>
      <c r="W110" s="528"/>
      <c r="X110" s="528"/>
      <c r="Y110" s="528"/>
      <c r="Z110" s="528"/>
      <c r="AA110" s="528"/>
      <c r="AB110" s="528"/>
      <c r="AC110" s="527"/>
      <c r="AD110" s="528"/>
      <c r="AE110" s="528"/>
      <c r="AF110" s="528"/>
      <c r="AG110" s="528"/>
      <c r="AH110" s="528"/>
      <c r="AI110" s="528"/>
      <c r="AJ110" s="527"/>
      <c r="AK110" s="528"/>
      <c r="AL110" s="528"/>
      <c r="AM110" s="528"/>
      <c r="AN110" s="528"/>
      <c r="AO110" s="528"/>
      <c r="AP110" s="541"/>
      <c r="AQ110" s="546"/>
      <c r="AR110" s="547"/>
      <c r="AS110" s="547"/>
      <c r="AT110" s="547"/>
      <c r="AU110" s="547"/>
      <c r="AV110" s="547"/>
      <c r="AW110" s="548"/>
      <c r="AX110" s="493"/>
      <c r="AY110" s="494"/>
      <c r="AZ110" s="105">
        <v>4</v>
      </c>
      <c r="BA110" s="483"/>
      <c r="BB110" s="484"/>
      <c r="BC110" s="484"/>
      <c r="BD110" s="485"/>
      <c r="BE110" s="486"/>
      <c r="BF110" s="487"/>
      <c r="BG110" s="106"/>
      <c r="BH110" s="488"/>
      <c r="BI110" s="489"/>
      <c r="BJ110" s="489"/>
      <c r="BK110" s="489"/>
      <c r="BL110" s="489"/>
      <c r="BM110" s="490"/>
      <c r="BN110" s="488"/>
      <c r="BO110" s="489"/>
      <c r="BP110" s="489"/>
      <c r="BQ110" s="489"/>
      <c r="BR110" s="489"/>
      <c r="BS110" s="490"/>
      <c r="BT110" s="488"/>
      <c r="BU110" s="489"/>
      <c r="BV110" s="489"/>
      <c r="BW110" s="489"/>
      <c r="BX110" s="489"/>
      <c r="BY110" s="490"/>
      <c r="BZ110" s="483"/>
      <c r="CA110" s="484"/>
      <c r="CB110" s="484"/>
      <c r="CC110" s="485"/>
      <c r="CD110" s="477"/>
      <c r="CE110" s="478"/>
      <c r="CF110" s="478"/>
      <c r="CG110" s="478"/>
      <c r="CH110" s="479"/>
      <c r="CI110" s="477"/>
      <c r="CJ110" s="478"/>
      <c r="CK110" s="478"/>
      <c r="CL110" s="478"/>
      <c r="CM110" s="479"/>
      <c r="CN110" s="477"/>
      <c r="CO110" s="478"/>
      <c r="CP110" s="478"/>
      <c r="CQ110" s="478"/>
      <c r="CR110" s="479"/>
      <c r="CS110" s="480"/>
      <c r="CT110" s="481"/>
      <c r="CU110" s="481"/>
      <c r="CV110" s="481"/>
      <c r="CW110" s="482"/>
    </row>
    <row r="111" spans="1:101" s="91" customFormat="1" ht="16.5" x14ac:dyDescent="0.15">
      <c r="A111" s="517"/>
      <c r="B111" s="102"/>
      <c r="C111" s="220" t="str">
        <f t="shared" ca="1" si="6"/>
        <v/>
      </c>
      <c r="D111" s="521"/>
      <c r="E111" s="522"/>
      <c r="F111" s="522"/>
      <c r="G111" s="522"/>
      <c r="H111" s="522"/>
      <c r="I111" s="522"/>
      <c r="J111" s="522"/>
      <c r="K111" s="527"/>
      <c r="L111" s="528"/>
      <c r="M111" s="528"/>
      <c r="N111" s="528"/>
      <c r="O111" s="528"/>
      <c r="P111" s="528"/>
      <c r="Q111" s="528"/>
      <c r="R111" s="533"/>
      <c r="S111" s="534"/>
      <c r="T111" s="533"/>
      <c r="U111" s="534"/>
      <c r="V111" s="527"/>
      <c r="W111" s="528"/>
      <c r="X111" s="528"/>
      <c r="Y111" s="528"/>
      <c r="Z111" s="528"/>
      <c r="AA111" s="528"/>
      <c r="AB111" s="528"/>
      <c r="AC111" s="527"/>
      <c r="AD111" s="528"/>
      <c r="AE111" s="528"/>
      <c r="AF111" s="528"/>
      <c r="AG111" s="528"/>
      <c r="AH111" s="528"/>
      <c r="AI111" s="528"/>
      <c r="AJ111" s="527"/>
      <c r="AK111" s="528"/>
      <c r="AL111" s="528"/>
      <c r="AM111" s="528"/>
      <c r="AN111" s="528"/>
      <c r="AO111" s="528"/>
      <c r="AP111" s="541"/>
      <c r="AQ111" s="546"/>
      <c r="AR111" s="547"/>
      <c r="AS111" s="547"/>
      <c r="AT111" s="547"/>
      <c r="AU111" s="547"/>
      <c r="AV111" s="547"/>
      <c r="AW111" s="548"/>
      <c r="AX111" s="493"/>
      <c r="AY111" s="494"/>
      <c r="AZ111" s="105">
        <v>5</v>
      </c>
      <c r="BA111" s="483"/>
      <c r="BB111" s="484"/>
      <c r="BC111" s="484"/>
      <c r="BD111" s="485"/>
      <c r="BE111" s="486"/>
      <c r="BF111" s="487"/>
      <c r="BG111" s="106"/>
      <c r="BH111" s="488"/>
      <c r="BI111" s="489"/>
      <c r="BJ111" s="489"/>
      <c r="BK111" s="489"/>
      <c r="BL111" s="489"/>
      <c r="BM111" s="490"/>
      <c r="BN111" s="488"/>
      <c r="BO111" s="489"/>
      <c r="BP111" s="489"/>
      <c r="BQ111" s="489"/>
      <c r="BR111" s="489"/>
      <c r="BS111" s="490"/>
      <c r="BT111" s="488"/>
      <c r="BU111" s="489"/>
      <c r="BV111" s="489"/>
      <c r="BW111" s="489"/>
      <c r="BX111" s="489"/>
      <c r="BY111" s="490"/>
      <c r="BZ111" s="483"/>
      <c r="CA111" s="484"/>
      <c r="CB111" s="484"/>
      <c r="CC111" s="485"/>
      <c r="CD111" s="477"/>
      <c r="CE111" s="478"/>
      <c r="CF111" s="478"/>
      <c r="CG111" s="478"/>
      <c r="CH111" s="479"/>
      <c r="CI111" s="477"/>
      <c r="CJ111" s="478"/>
      <c r="CK111" s="478"/>
      <c r="CL111" s="478"/>
      <c r="CM111" s="479"/>
      <c r="CN111" s="477"/>
      <c r="CO111" s="478"/>
      <c r="CP111" s="478"/>
      <c r="CQ111" s="478"/>
      <c r="CR111" s="479"/>
      <c r="CS111" s="480"/>
      <c r="CT111" s="481"/>
      <c r="CU111" s="481"/>
      <c r="CV111" s="481"/>
      <c r="CW111" s="482"/>
    </row>
    <row r="112" spans="1:101" s="91" customFormat="1" ht="16.5" x14ac:dyDescent="0.15">
      <c r="A112" s="518"/>
      <c r="B112" s="107"/>
      <c r="C112" s="220" t="str">
        <f t="shared" ca="1" si="6"/>
        <v/>
      </c>
      <c r="D112" s="523"/>
      <c r="E112" s="650"/>
      <c r="F112" s="650"/>
      <c r="G112" s="650"/>
      <c r="H112" s="650"/>
      <c r="I112" s="650"/>
      <c r="J112" s="650"/>
      <c r="K112" s="529"/>
      <c r="L112" s="530"/>
      <c r="M112" s="530"/>
      <c r="N112" s="530"/>
      <c r="O112" s="530"/>
      <c r="P112" s="530"/>
      <c r="Q112" s="530"/>
      <c r="R112" s="535"/>
      <c r="S112" s="537"/>
      <c r="T112" s="535"/>
      <c r="U112" s="537"/>
      <c r="V112" s="529"/>
      <c r="W112" s="539"/>
      <c r="X112" s="539"/>
      <c r="Y112" s="539"/>
      <c r="Z112" s="539"/>
      <c r="AA112" s="539"/>
      <c r="AB112" s="539"/>
      <c r="AC112" s="529"/>
      <c r="AD112" s="539"/>
      <c r="AE112" s="539"/>
      <c r="AF112" s="539"/>
      <c r="AG112" s="539"/>
      <c r="AH112" s="539"/>
      <c r="AI112" s="539"/>
      <c r="AJ112" s="529"/>
      <c r="AK112" s="539"/>
      <c r="AL112" s="539"/>
      <c r="AM112" s="539"/>
      <c r="AN112" s="539"/>
      <c r="AO112" s="539"/>
      <c r="AP112" s="542"/>
      <c r="AQ112" s="549"/>
      <c r="AR112" s="550"/>
      <c r="AS112" s="550"/>
      <c r="AT112" s="550"/>
      <c r="AU112" s="550"/>
      <c r="AV112" s="550"/>
      <c r="AW112" s="551"/>
      <c r="AX112" s="495"/>
      <c r="AY112" s="496"/>
      <c r="AZ112" s="108">
        <v>6</v>
      </c>
      <c r="BA112" s="513"/>
      <c r="BB112" s="514"/>
      <c r="BC112" s="514"/>
      <c r="BD112" s="515"/>
      <c r="BE112" s="644"/>
      <c r="BF112" s="645"/>
      <c r="BG112" s="111"/>
      <c r="BH112" s="510"/>
      <c r="BI112" s="511"/>
      <c r="BJ112" s="511"/>
      <c r="BK112" s="511"/>
      <c r="BL112" s="511"/>
      <c r="BM112" s="512"/>
      <c r="BN112" s="510"/>
      <c r="BO112" s="511"/>
      <c r="BP112" s="511"/>
      <c r="BQ112" s="511"/>
      <c r="BR112" s="511"/>
      <c r="BS112" s="512"/>
      <c r="BT112" s="510"/>
      <c r="BU112" s="511"/>
      <c r="BV112" s="511"/>
      <c r="BW112" s="511"/>
      <c r="BX112" s="511"/>
      <c r="BY112" s="512"/>
      <c r="BZ112" s="513"/>
      <c r="CA112" s="514"/>
      <c r="CB112" s="514"/>
      <c r="CC112" s="515"/>
      <c r="CD112" s="477"/>
      <c r="CE112" s="478"/>
      <c r="CF112" s="478"/>
      <c r="CG112" s="478"/>
      <c r="CH112" s="479"/>
      <c r="CI112" s="477"/>
      <c r="CJ112" s="478"/>
      <c r="CK112" s="478"/>
      <c r="CL112" s="478"/>
      <c r="CM112" s="479"/>
      <c r="CN112" s="477"/>
      <c r="CO112" s="478"/>
      <c r="CP112" s="478"/>
      <c r="CQ112" s="478"/>
      <c r="CR112" s="479"/>
      <c r="CS112" s="480"/>
      <c r="CT112" s="481"/>
      <c r="CU112" s="481"/>
      <c r="CV112" s="481"/>
      <c r="CW112" s="482"/>
    </row>
    <row r="113" spans="1:101" s="91" customFormat="1" ht="16.149999999999999" customHeight="1" x14ac:dyDescent="0.15">
      <c r="A113" s="516">
        <v>18</v>
      </c>
      <c r="B113" s="102"/>
      <c r="C113" s="216" t="str">
        <f t="shared" ca="1" si="6"/>
        <v/>
      </c>
      <c r="D113" s="519"/>
      <c r="E113" s="649"/>
      <c r="F113" s="649"/>
      <c r="G113" s="649"/>
      <c r="H113" s="649"/>
      <c r="I113" s="649"/>
      <c r="J113" s="649"/>
      <c r="K113" s="525"/>
      <c r="L113" s="526"/>
      <c r="M113" s="526"/>
      <c r="N113" s="526"/>
      <c r="O113" s="526"/>
      <c r="P113" s="526"/>
      <c r="Q113" s="526"/>
      <c r="R113" s="531"/>
      <c r="S113" s="532"/>
      <c r="T113" s="531"/>
      <c r="U113" s="532"/>
      <c r="V113" s="525"/>
      <c r="W113" s="538"/>
      <c r="X113" s="538"/>
      <c r="Y113" s="538"/>
      <c r="Z113" s="538"/>
      <c r="AA113" s="538"/>
      <c r="AB113" s="538"/>
      <c r="AC113" s="525"/>
      <c r="AD113" s="526"/>
      <c r="AE113" s="526"/>
      <c r="AF113" s="526"/>
      <c r="AG113" s="526"/>
      <c r="AH113" s="526"/>
      <c r="AI113" s="526"/>
      <c r="AJ113" s="525"/>
      <c r="AK113" s="538"/>
      <c r="AL113" s="538"/>
      <c r="AM113" s="538"/>
      <c r="AN113" s="538"/>
      <c r="AO113" s="538"/>
      <c r="AP113" s="540"/>
      <c r="AQ113" s="525"/>
      <c r="AR113" s="544"/>
      <c r="AS113" s="544"/>
      <c r="AT113" s="544"/>
      <c r="AU113" s="544"/>
      <c r="AV113" s="544"/>
      <c r="AW113" s="545"/>
      <c r="AX113" s="491"/>
      <c r="AY113" s="492"/>
      <c r="AZ113" s="103">
        <v>1</v>
      </c>
      <c r="BA113" s="497"/>
      <c r="BB113" s="498"/>
      <c r="BC113" s="498"/>
      <c r="BD113" s="499"/>
      <c r="BE113" s="500"/>
      <c r="BF113" s="501"/>
      <c r="BG113" s="110"/>
      <c r="BH113" s="502"/>
      <c r="BI113" s="503"/>
      <c r="BJ113" s="503"/>
      <c r="BK113" s="503"/>
      <c r="BL113" s="503"/>
      <c r="BM113" s="504"/>
      <c r="BN113" s="502"/>
      <c r="BO113" s="503"/>
      <c r="BP113" s="503"/>
      <c r="BQ113" s="503"/>
      <c r="BR113" s="503"/>
      <c r="BS113" s="504"/>
      <c r="BT113" s="502"/>
      <c r="BU113" s="503"/>
      <c r="BV113" s="503"/>
      <c r="BW113" s="503"/>
      <c r="BX113" s="503"/>
      <c r="BY113" s="504"/>
      <c r="BZ113" s="552"/>
      <c r="CA113" s="553"/>
      <c r="CB113" s="553"/>
      <c r="CC113" s="554"/>
      <c r="CD113" s="477"/>
      <c r="CE113" s="478"/>
      <c r="CF113" s="478"/>
      <c r="CG113" s="478"/>
      <c r="CH113" s="479"/>
      <c r="CI113" s="477"/>
      <c r="CJ113" s="478"/>
      <c r="CK113" s="478"/>
      <c r="CL113" s="478"/>
      <c r="CM113" s="479"/>
      <c r="CN113" s="477"/>
      <c r="CO113" s="478"/>
      <c r="CP113" s="478"/>
      <c r="CQ113" s="478"/>
      <c r="CR113" s="479"/>
      <c r="CS113" s="480"/>
      <c r="CT113" s="481"/>
      <c r="CU113" s="481"/>
      <c r="CV113" s="481"/>
      <c r="CW113" s="482"/>
    </row>
    <row r="114" spans="1:101" s="91" customFormat="1" ht="16.5" x14ac:dyDescent="0.15">
      <c r="A114" s="517"/>
      <c r="B114" s="102"/>
      <c r="C114" s="220" t="str">
        <f t="shared" ca="1" si="6"/>
        <v/>
      </c>
      <c r="D114" s="521"/>
      <c r="E114" s="522"/>
      <c r="F114" s="522"/>
      <c r="G114" s="522"/>
      <c r="H114" s="522"/>
      <c r="I114" s="522"/>
      <c r="J114" s="522"/>
      <c r="K114" s="527"/>
      <c r="L114" s="528"/>
      <c r="M114" s="528"/>
      <c r="N114" s="528"/>
      <c r="O114" s="528"/>
      <c r="P114" s="528"/>
      <c r="Q114" s="528"/>
      <c r="R114" s="533"/>
      <c r="S114" s="534"/>
      <c r="T114" s="533"/>
      <c r="U114" s="534"/>
      <c r="V114" s="527"/>
      <c r="W114" s="528"/>
      <c r="X114" s="528"/>
      <c r="Y114" s="528"/>
      <c r="Z114" s="528"/>
      <c r="AA114" s="528"/>
      <c r="AB114" s="528"/>
      <c r="AC114" s="527"/>
      <c r="AD114" s="528"/>
      <c r="AE114" s="528"/>
      <c r="AF114" s="528"/>
      <c r="AG114" s="528"/>
      <c r="AH114" s="528"/>
      <c r="AI114" s="528"/>
      <c r="AJ114" s="527"/>
      <c r="AK114" s="528"/>
      <c r="AL114" s="528"/>
      <c r="AM114" s="528"/>
      <c r="AN114" s="528"/>
      <c r="AO114" s="528"/>
      <c r="AP114" s="541"/>
      <c r="AQ114" s="546"/>
      <c r="AR114" s="547"/>
      <c r="AS114" s="547"/>
      <c r="AT114" s="547"/>
      <c r="AU114" s="547"/>
      <c r="AV114" s="547"/>
      <c r="AW114" s="548"/>
      <c r="AX114" s="493"/>
      <c r="AY114" s="494"/>
      <c r="AZ114" s="105">
        <v>2</v>
      </c>
      <c r="BA114" s="483"/>
      <c r="BB114" s="484"/>
      <c r="BC114" s="484"/>
      <c r="BD114" s="485"/>
      <c r="BE114" s="486"/>
      <c r="BF114" s="487"/>
      <c r="BG114" s="106"/>
      <c r="BH114" s="488"/>
      <c r="BI114" s="489"/>
      <c r="BJ114" s="489"/>
      <c r="BK114" s="489"/>
      <c r="BL114" s="489"/>
      <c r="BM114" s="490"/>
      <c r="BN114" s="488"/>
      <c r="BO114" s="489"/>
      <c r="BP114" s="489"/>
      <c r="BQ114" s="489"/>
      <c r="BR114" s="489"/>
      <c r="BS114" s="490"/>
      <c r="BT114" s="488"/>
      <c r="BU114" s="489"/>
      <c r="BV114" s="489"/>
      <c r="BW114" s="489"/>
      <c r="BX114" s="489"/>
      <c r="BY114" s="490"/>
      <c r="BZ114" s="483"/>
      <c r="CA114" s="484"/>
      <c r="CB114" s="484"/>
      <c r="CC114" s="485"/>
      <c r="CD114" s="477"/>
      <c r="CE114" s="478"/>
      <c r="CF114" s="478"/>
      <c r="CG114" s="478"/>
      <c r="CH114" s="479"/>
      <c r="CI114" s="477"/>
      <c r="CJ114" s="478"/>
      <c r="CK114" s="478"/>
      <c r="CL114" s="478"/>
      <c r="CM114" s="479"/>
      <c r="CN114" s="477"/>
      <c r="CO114" s="478"/>
      <c r="CP114" s="478"/>
      <c r="CQ114" s="478"/>
      <c r="CR114" s="479"/>
      <c r="CS114" s="480"/>
      <c r="CT114" s="481"/>
      <c r="CU114" s="481"/>
      <c r="CV114" s="481"/>
      <c r="CW114" s="482"/>
    </row>
    <row r="115" spans="1:101" s="91" customFormat="1" ht="16.5" x14ac:dyDescent="0.15">
      <c r="A115" s="517"/>
      <c r="B115" s="102"/>
      <c r="C115" s="220" t="str">
        <f t="shared" ca="1" si="6"/>
        <v/>
      </c>
      <c r="D115" s="521"/>
      <c r="E115" s="522"/>
      <c r="F115" s="522"/>
      <c r="G115" s="522"/>
      <c r="H115" s="522"/>
      <c r="I115" s="522"/>
      <c r="J115" s="522"/>
      <c r="K115" s="527"/>
      <c r="L115" s="528"/>
      <c r="M115" s="528"/>
      <c r="N115" s="528"/>
      <c r="O115" s="528"/>
      <c r="P115" s="528"/>
      <c r="Q115" s="528"/>
      <c r="R115" s="533"/>
      <c r="S115" s="534"/>
      <c r="T115" s="533"/>
      <c r="U115" s="534"/>
      <c r="V115" s="527"/>
      <c r="W115" s="528"/>
      <c r="X115" s="528"/>
      <c r="Y115" s="528"/>
      <c r="Z115" s="528"/>
      <c r="AA115" s="528"/>
      <c r="AB115" s="528"/>
      <c r="AC115" s="527"/>
      <c r="AD115" s="528"/>
      <c r="AE115" s="528"/>
      <c r="AF115" s="528"/>
      <c r="AG115" s="528"/>
      <c r="AH115" s="528"/>
      <c r="AI115" s="528"/>
      <c r="AJ115" s="527"/>
      <c r="AK115" s="528"/>
      <c r="AL115" s="528"/>
      <c r="AM115" s="528"/>
      <c r="AN115" s="528"/>
      <c r="AO115" s="528"/>
      <c r="AP115" s="541"/>
      <c r="AQ115" s="546"/>
      <c r="AR115" s="547"/>
      <c r="AS115" s="547"/>
      <c r="AT115" s="547"/>
      <c r="AU115" s="547"/>
      <c r="AV115" s="547"/>
      <c r="AW115" s="548"/>
      <c r="AX115" s="493"/>
      <c r="AY115" s="494"/>
      <c r="AZ115" s="105">
        <v>3</v>
      </c>
      <c r="BA115" s="483"/>
      <c r="BB115" s="484"/>
      <c r="BC115" s="484"/>
      <c r="BD115" s="485"/>
      <c r="BE115" s="486"/>
      <c r="BF115" s="487"/>
      <c r="BG115" s="106"/>
      <c r="BH115" s="488"/>
      <c r="BI115" s="489"/>
      <c r="BJ115" s="489"/>
      <c r="BK115" s="489"/>
      <c r="BL115" s="489"/>
      <c r="BM115" s="490"/>
      <c r="BN115" s="488"/>
      <c r="BO115" s="489"/>
      <c r="BP115" s="489"/>
      <c r="BQ115" s="489"/>
      <c r="BR115" s="489"/>
      <c r="BS115" s="490"/>
      <c r="BT115" s="488"/>
      <c r="BU115" s="489"/>
      <c r="BV115" s="489"/>
      <c r="BW115" s="489"/>
      <c r="BX115" s="489"/>
      <c r="BY115" s="490"/>
      <c r="BZ115" s="483"/>
      <c r="CA115" s="484"/>
      <c r="CB115" s="484"/>
      <c r="CC115" s="485"/>
      <c r="CD115" s="477"/>
      <c r="CE115" s="478"/>
      <c r="CF115" s="478"/>
      <c r="CG115" s="478"/>
      <c r="CH115" s="479"/>
      <c r="CI115" s="477"/>
      <c r="CJ115" s="478"/>
      <c r="CK115" s="478"/>
      <c r="CL115" s="478"/>
      <c r="CM115" s="479"/>
      <c r="CN115" s="477"/>
      <c r="CO115" s="478"/>
      <c r="CP115" s="478"/>
      <c r="CQ115" s="478"/>
      <c r="CR115" s="479"/>
      <c r="CS115" s="480"/>
      <c r="CT115" s="481"/>
      <c r="CU115" s="481"/>
      <c r="CV115" s="481"/>
      <c r="CW115" s="482"/>
    </row>
    <row r="116" spans="1:101" s="91" customFormat="1" ht="16.5" x14ac:dyDescent="0.15">
      <c r="A116" s="517"/>
      <c r="B116" s="102"/>
      <c r="C116" s="220" t="str">
        <f t="shared" ca="1" si="6"/>
        <v/>
      </c>
      <c r="D116" s="521"/>
      <c r="E116" s="522"/>
      <c r="F116" s="522"/>
      <c r="G116" s="522"/>
      <c r="H116" s="522"/>
      <c r="I116" s="522"/>
      <c r="J116" s="522"/>
      <c r="K116" s="527"/>
      <c r="L116" s="528"/>
      <c r="M116" s="528"/>
      <c r="N116" s="528"/>
      <c r="O116" s="528"/>
      <c r="P116" s="528"/>
      <c r="Q116" s="528"/>
      <c r="R116" s="533"/>
      <c r="S116" s="534"/>
      <c r="T116" s="533"/>
      <c r="U116" s="534"/>
      <c r="V116" s="527"/>
      <c r="W116" s="528"/>
      <c r="X116" s="528"/>
      <c r="Y116" s="528"/>
      <c r="Z116" s="528"/>
      <c r="AA116" s="528"/>
      <c r="AB116" s="528"/>
      <c r="AC116" s="527"/>
      <c r="AD116" s="528"/>
      <c r="AE116" s="528"/>
      <c r="AF116" s="528"/>
      <c r="AG116" s="528"/>
      <c r="AH116" s="528"/>
      <c r="AI116" s="528"/>
      <c r="AJ116" s="527"/>
      <c r="AK116" s="528"/>
      <c r="AL116" s="528"/>
      <c r="AM116" s="528"/>
      <c r="AN116" s="528"/>
      <c r="AO116" s="528"/>
      <c r="AP116" s="541"/>
      <c r="AQ116" s="546"/>
      <c r="AR116" s="547"/>
      <c r="AS116" s="547"/>
      <c r="AT116" s="547"/>
      <c r="AU116" s="547"/>
      <c r="AV116" s="547"/>
      <c r="AW116" s="548"/>
      <c r="AX116" s="493"/>
      <c r="AY116" s="494"/>
      <c r="AZ116" s="105">
        <v>4</v>
      </c>
      <c r="BA116" s="483"/>
      <c r="BB116" s="484"/>
      <c r="BC116" s="484"/>
      <c r="BD116" s="485"/>
      <c r="BE116" s="486"/>
      <c r="BF116" s="487"/>
      <c r="BG116" s="106"/>
      <c r="BH116" s="488"/>
      <c r="BI116" s="489"/>
      <c r="BJ116" s="489"/>
      <c r="BK116" s="489"/>
      <c r="BL116" s="489"/>
      <c r="BM116" s="490"/>
      <c r="BN116" s="488"/>
      <c r="BO116" s="489"/>
      <c r="BP116" s="489"/>
      <c r="BQ116" s="489"/>
      <c r="BR116" s="489"/>
      <c r="BS116" s="490"/>
      <c r="BT116" s="488"/>
      <c r="BU116" s="489"/>
      <c r="BV116" s="489"/>
      <c r="BW116" s="489"/>
      <c r="BX116" s="489"/>
      <c r="BY116" s="490"/>
      <c r="BZ116" s="483"/>
      <c r="CA116" s="484"/>
      <c r="CB116" s="484"/>
      <c r="CC116" s="485"/>
      <c r="CD116" s="477"/>
      <c r="CE116" s="478"/>
      <c r="CF116" s="478"/>
      <c r="CG116" s="478"/>
      <c r="CH116" s="479"/>
      <c r="CI116" s="477"/>
      <c r="CJ116" s="478"/>
      <c r="CK116" s="478"/>
      <c r="CL116" s="478"/>
      <c r="CM116" s="479"/>
      <c r="CN116" s="477"/>
      <c r="CO116" s="478"/>
      <c r="CP116" s="478"/>
      <c r="CQ116" s="478"/>
      <c r="CR116" s="479"/>
      <c r="CS116" s="480"/>
      <c r="CT116" s="481"/>
      <c r="CU116" s="481"/>
      <c r="CV116" s="481"/>
      <c r="CW116" s="482"/>
    </row>
    <row r="117" spans="1:101" s="91" customFormat="1" ht="16.5" x14ac:dyDescent="0.15">
      <c r="A117" s="517"/>
      <c r="B117" s="102"/>
      <c r="C117" s="220" t="str">
        <f t="shared" ca="1" si="6"/>
        <v/>
      </c>
      <c r="D117" s="521"/>
      <c r="E117" s="522"/>
      <c r="F117" s="522"/>
      <c r="G117" s="522"/>
      <c r="H117" s="522"/>
      <c r="I117" s="522"/>
      <c r="J117" s="522"/>
      <c r="K117" s="527"/>
      <c r="L117" s="528"/>
      <c r="M117" s="528"/>
      <c r="N117" s="528"/>
      <c r="O117" s="528"/>
      <c r="P117" s="528"/>
      <c r="Q117" s="528"/>
      <c r="R117" s="533"/>
      <c r="S117" s="534"/>
      <c r="T117" s="533"/>
      <c r="U117" s="534"/>
      <c r="V117" s="527"/>
      <c r="W117" s="528"/>
      <c r="X117" s="528"/>
      <c r="Y117" s="528"/>
      <c r="Z117" s="528"/>
      <c r="AA117" s="528"/>
      <c r="AB117" s="528"/>
      <c r="AC117" s="527"/>
      <c r="AD117" s="528"/>
      <c r="AE117" s="528"/>
      <c r="AF117" s="528"/>
      <c r="AG117" s="528"/>
      <c r="AH117" s="528"/>
      <c r="AI117" s="528"/>
      <c r="AJ117" s="527"/>
      <c r="AK117" s="528"/>
      <c r="AL117" s="528"/>
      <c r="AM117" s="528"/>
      <c r="AN117" s="528"/>
      <c r="AO117" s="528"/>
      <c r="AP117" s="541"/>
      <c r="AQ117" s="546"/>
      <c r="AR117" s="547"/>
      <c r="AS117" s="547"/>
      <c r="AT117" s="547"/>
      <c r="AU117" s="547"/>
      <c r="AV117" s="547"/>
      <c r="AW117" s="548"/>
      <c r="AX117" s="493"/>
      <c r="AY117" s="494"/>
      <c r="AZ117" s="105">
        <v>5</v>
      </c>
      <c r="BA117" s="483"/>
      <c r="BB117" s="484"/>
      <c r="BC117" s="484"/>
      <c r="BD117" s="485"/>
      <c r="BE117" s="486"/>
      <c r="BF117" s="487"/>
      <c r="BG117" s="106"/>
      <c r="BH117" s="488"/>
      <c r="BI117" s="489"/>
      <c r="BJ117" s="489"/>
      <c r="BK117" s="489"/>
      <c r="BL117" s="489"/>
      <c r="BM117" s="490"/>
      <c r="BN117" s="488"/>
      <c r="BO117" s="489"/>
      <c r="BP117" s="489"/>
      <c r="BQ117" s="489"/>
      <c r="BR117" s="489"/>
      <c r="BS117" s="490"/>
      <c r="BT117" s="488"/>
      <c r="BU117" s="489"/>
      <c r="BV117" s="489"/>
      <c r="BW117" s="489"/>
      <c r="BX117" s="489"/>
      <c r="BY117" s="490"/>
      <c r="BZ117" s="483"/>
      <c r="CA117" s="484"/>
      <c r="CB117" s="484"/>
      <c r="CC117" s="485"/>
      <c r="CD117" s="477"/>
      <c r="CE117" s="478"/>
      <c r="CF117" s="478"/>
      <c r="CG117" s="478"/>
      <c r="CH117" s="479"/>
      <c r="CI117" s="477"/>
      <c r="CJ117" s="478"/>
      <c r="CK117" s="478"/>
      <c r="CL117" s="478"/>
      <c r="CM117" s="479"/>
      <c r="CN117" s="477"/>
      <c r="CO117" s="478"/>
      <c r="CP117" s="478"/>
      <c r="CQ117" s="478"/>
      <c r="CR117" s="479"/>
      <c r="CS117" s="480"/>
      <c r="CT117" s="481"/>
      <c r="CU117" s="481"/>
      <c r="CV117" s="481"/>
      <c r="CW117" s="482"/>
    </row>
    <row r="118" spans="1:101" s="91" customFormat="1" ht="16.5" x14ac:dyDescent="0.15">
      <c r="A118" s="518"/>
      <c r="B118" s="107"/>
      <c r="C118" s="219" t="str">
        <f t="shared" ca="1" si="6"/>
        <v/>
      </c>
      <c r="D118" s="523"/>
      <c r="E118" s="650"/>
      <c r="F118" s="650"/>
      <c r="G118" s="650"/>
      <c r="H118" s="650"/>
      <c r="I118" s="650"/>
      <c r="J118" s="650"/>
      <c r="K118" s="529"/>
      <c r="L118" s="530"/>
      <c r="M118" s="530"/>
      <c r="N118" s="530"/>
      <c r="O118" s="530"/>
      <c r="P118" s="530"/>
      <c r="Q118" s="530"/>
      <c r="R118" s="535"/>
      <c r="S118" s="537"/>
      <c r="T118" s="535"/>
      <c r="U118" s="537"/>
      <c r="V118" s="529"/>
      <c r="W118" s="539"/>
      <c r="X118" s="539"/>
      <c r="Y118" s="539"/>
      <c r="Z118" s="539"/>
      <c r="AA118" s="539"/>
      <c r="AB118" s="539"/>
      <c r="AC118" s="529"/>
      <c r="AD118" s="530"/>
      <c r="AE118" s="530"/>
      <c r="AF118" s="530"/>
      <c r="AG118" s="530"/>
      <c r="AH118" s="530"/>
      <c r="AI118" s="530"/>
      <c r="AJ118" s="529"/>
      <c r="AK118" s="539"/>
      <c r="AL118" s="539"/>
      <c r="AM118" s="539"/>
      <c r="AN118" s="539"/>
      <c r="AO118" s="539"/>
      <c r="AP118" s="542"/>
      <c r="AQ118" s="549"/>
      <c r="AR118" s="550"/>
      <c r="AS118" s="550"/>
      <c r="AT118" s="550"/>
      <c r="AU118" s="550"/>
      <c r="AV118" s="550"/>
      <c r="AW118" s="551"/>
      <c r="AX118" s="495"/>
      <c r="AY118" s="496"/>
      <c r="AZ118" s="108">
        <v>6</v>
      </c>
      <c r="BA118" s="505"/>
      <c r="BB118" s="506"/>
      <c r="BC118" s="506"/>
      <c r="BD118" s="507"/>
      <c r="BE118" s="644"/>
      <c r="BF118" s="645"/>
      <c r="BG118" s="111"/>
      <c r="BH118" s="510"/>
      <c r="BI118" s="511"/>
      <c r="BJ118" s="511"/>
      <c r="BK118" s="511"/>
      <c r="BL118" s="511"/>
      <c r="BM118" s="512"/>
      <c r="BN118" s="510"/>
      <c r="BO118" s="511"/>
      <c r="BP118" s="511"/>
      <c r="BQ118" s="511"/>
      <c r="BR118" s="511"/>
      <c r="BS118" s="512"/>
      <c r="BT118" s="510"/>
      <c r="BU118" s="511"/>
      <c r="BV118" s="511"/>
      <c r="BW118" s="511"/>
      <c r="BX118" s="511"/>
      <c r="BY118" s="512"/>
      <c r="BZ118" s="505"/>
      <c r="CA118" s="506"/>
      <c r="CB118" s="506"/>
      <c r="CC118" s="507"/>
      <c r="CD118" s="477"/>
      <c r="CE118" s="478"/>
      <c r="CF118" s="478"/>
      <c r="CG118" s="478"/>
      <c r="CH118" s="479"/>
      <c r="CI118" s="477"/>
      <c r="CJ118" s="478"/>
      <c r="CK118" s="478"/>
      <c r="CL118" s="478"/>
      <c r="CM118" s="479"/>
      <c r="CN118" s="477"/>
      <c r="CO118" s="478"/>
      <c r="CP118" s="478"/>
      <c r="CQ118" s="478"/>
      <c r="CR118" s="479"/>
      <c r="CS118" s="480"/>
      <c r="CT118" s="481"/>
      <c r="CU118" s="481"/>
      <c r="CV118" s="481"/>
      <c r="CW118" s="482"/>
    </row>
    <row r="119" spans="1:101" s="91" customFormat="1" ht="15.75" customHeight="1" x14ac:dyDescent="0.15">
      <c r="A119" s="516">
        <v>19</v>
      </c>
      <c r="B119" s="102"/>
      <c r="C119" s="216" t="str">
        <f t="shared" ca="1" si="6"/>
        <v/>
      </c>
      <c r="D119" s="519"/>
      <c r="E119" s="649"/>
      <c r="F119" s="649"/>
      <c r="G119" s="649"/>
      <c r="H119" s="649"/>
      <c r="I119" s="649"/>
      <c r="J119" s="649"/>
      <c r="K119" s="525"/>
      <c r="L119" s="526"/>
      <c r="M119" s="526"/>
      <c r="N119" s="526"/>
      <c r="O119" s="526"/>
      <c r="P119" s="526"/>
      <c r="Q119" s="526"/>
      <c r="R119" s="531"/>
      <c r="S119" s="532"/>
      <c r="T119" s="531"/>
      <c r="U119" s="532"/>
      <c r="V119" s="525"/>
      <c r="W119" s="538"/>
      <c r="X119" s="538"/>
      <c r="Y119" s="538"/>
      <c r="Z119" s="538"/>
      <c r="AA119" s="538"/>
      <c r="AB119" s="538"/>
      <c r="AC119" s="525"/>
      <c r="AD119" s="538"/>
      <c r="AE119" s="538"/>
      <c r="AF119" s="538"/>
      <c r="AG119" s="538"/>
      <c r="AH119" s="538"/>
      <c r="AI119" s="538"/>
      <c r="AJ119" s="525"/>
      <c r="AK119" s="538"/>
      <c r="AL119" s="538"/>
      <c r="AM119" s="538"/>
      <c r="AN119" s="538"/>
      <c r="AO119" s="538"/>
      <c r="AP119" s="540"/>
      <c r="AQ119" s="525"/>
      <c r="AR119" s="544"/>
      <c r="AS119" s="544"/>
      <c r="AT119" s="544"/>
      <c r="AU119" s="544"/>
      <c r="AV119" s="544"/>
      <c r="AW119" s="545"/>
      <c r="AX119" s="491"/>
      <c r="AY119" s="492"/>
      <c r="AZ119" s="103">
        <v>1</v>
      </c>
      <c r="BA119" s="497"/>
      <c r="BB119" s="498"/>
      <c r="BC119" s="498"/>
      <c r="BD119" s="499"/>
      <c r="BE119" s="500"/>
      <c r="BF119" s="501"/>
      <c r="BG119" s="104"/>
      <c r="BH119" s="502"/>
      <c r="BI119" s="503"/>
      <c r="BJ119" s="503"/>
      <c r="BK119" s="503"/>
      <c r="BL119" s="503"/>
      <c r="BM119" s="504"/>
      <c r="BN119" s="502"/>
      <c r="BO119" s="503"/>
      <c r="BP119" s="503"/>
      <c r="BQ119" s="503"/>
      <c r="BR119" s="503"/>
      <c r="BS119" s="504"/>
      <c r="BT119" s="502"/>
      <c r="BU119" s="503"/>
      <c r="BV119" s="503"/>
      <c r="BW119" s="503"/>
      <c r="BX119" s="503"/>
      <c r="BY119" s="504"/>
      <c r="BZ119" s="552"/>
      <c r="CA119" s="553"/>
      <c r="CB119" s="553"/>
      <c r="CC119" s="554"/>
      <c r="CD119" s="477"/>
      <c r="CE119" s="478"/>
      <c r="CF119" s="478"/>
      <c r="CG119" s="478"/>
      <c r="CH119" s="479"/>
      <c r="CI119" s="477"/>
      <c r="CJ119" s="478"/>
      <c r="CK119" s="478"/>
      <c r="CL119" s="478"/>
      <c r="CM119" s="479"/>
      <c r="CN119" s="477"/>
      <c r="CO119" s="478"/>
      <c r="CP119" s="478"/>
      <c r="CQ119" s="478"/>
      <c r="CR119" s="479"/>
      <c r="CS119" s="480"/>
      <c r="CT119" s="481"/>
      <c r="CU119" s="481"/>
      <c r="CV119" s="481"/>
      <c r="CW119" s="482"/>
    </row>
    <row r="120" spans="1:101" s="91" customFormat="1" ht="16.5" x14ac:dyDescent="0.15">
      <c r="A120" s="517"/>
      <c r="B120" s="102"/>
      <c r="C120" s="220" t="str">
        <f t="shared" ca="1" si="6"/>
        <v/>
      </c>
      <c r="D120" s="521"/>
      <c r="E120" s="522"/>
      <c r="F120" s="522"/>
      <c r="G120" s="522"/>
      <c r="H120" s="522"/>
      <c r="I120" s="522"/>
      <c r="J120" s="522"/>
      <c r="K120" s="527"/>
      <c r="L120" s="528"/>
      <c r="M120" s="528"/>
      <c r="N120" s="528"/>
      <c r="O120" s="528"/>
      <c r="P120" s="528"/>
      <c r="Q120" s="528"/>
      <c r="R120" s="533"/>
      <c r="S120" s="534"/>
      <c r="T120" s="533"/>
      <c r="U120" s="534"/>
      <c r="V120" s="527"/>
      <c r="W120" s="528"/>
      <c r="X120" s="528"/>
      <c r="Y120" s="528"/>
      <c r="Z120" s="528"/>
      <c r="AA120" s="528"/>
      <c r="AB120" s="528"/>
      <c r="AC120" s="527"/>
      <c r="AD120" s="528"/>
      <c r="AE120" s="528"/>
      <c r="AF120" s="528"/>
      <c r="AG120" s="528"/>
      <c r="AH120" s="528"/>
      <c r="AI120" s="528"/>
      <c r="AJ120" s="527"/>
      <c r="AK120" s="528"/>
      <c r="AL120" s="528"/>
      <c r="AM120" s="528"/>
      <c r="AN120" s="528"/>
      <c r="AO120" s="528"/>
      <c r="AP120" s="541"/>
      <c r="AQ120" s="546"/>
      <c r="AR120" s="547"/>
      <c r="AS120" s="547"/>
      <c r="AT120" s="547"/>
      <c r="AU120" s="547"/>
      <c r="AV120" s="547"/>
      <c r="AW120" s="548"/>
      <c r="AX120" s="493"/>
      <c r="AY120" s="494"/>
      <c r="AZ120" s="105">
        <v>2</v>
      </c>
      <c r="BA120" s="483"/>
      <c r="BB120" s="484"/>
      <c r="BC120" s="484"/>
      <c r="BD120" s="485"/>
      <c r="BE120" s="486"/>
      <c r="BF120" s="487"/>
      <c r="BG120" s="106"/>
      <c r="BH120" s="488"/>
      <c r="BI120" s="489"/>
      <c r="BJ120" s="489"/>
      <c r="BK120" s="489"/>
      <c r="BL120" s="489"/>
      <c r="BM120" s="490"/>
      <c r="BN120" s="488"/>
      <c r="BO120" s="489"/>
      <c r="BP120" s="489"/>
      <c r="BQ120" s="489"/>
      <c r="BR120" s="489"/>
      <c r="BS120" s="490"/>
      <c r="BT120" s="488"/>
      <c r="BU120" s="489"/>
      <c r="BV120" s="489"/>
      <c r="BW120" s="489"/>
      <c r="BX120" s="489"/>
      <c r="BY120" s="490"/>
      <c r="BZ120" s="483"/>
      <c r="CA120" s="484"/>
      <c r="CB120" s="484"/>
      <c r="CC120" s="485"/>
      <c r="CD120" s="477"/>
      <c r="CE120" s="478"/>
      <c r="CF120" s="478"/>
      <c r="CG120" s="478"/>
      <c r="CH120" s="479"/>
      <c r="CI120" s="477"/>
      <c r="CJ120" s="478"/>
      <c r="CK120" s="478"/>
      <c r="CL120" s="478"/>
      <c r="CM120" s="479"/>
      <c r="CN120" s="477"/>
      <c r="CO120" s="478"/>
      <c r="CP120" s="478"/>
      <c r="CQ120" s="478"/>
      <c r="CR120" s="479"/>
      <c r="CS120" s="480"/>
      <c r="CT120" s="481"/>
      <c r="CU120" s="481"/>
      <c r="CV120" s="481"/>
      <c r="CW120" s="482"/>
    </row>
    <row r="121" spans="1:101" s="91" customFormat="1" ht="16.5" x14ac:dyDescent="0.15">
      <c r="A121" s="517"/>
      <c r="B121" s="102"/>
      <c r="C121" s="220" t="str">
        <f t="shared" ca="1" si="6"/>
        <v/>
      </c>
      <c r="D121" s="521"/>
      <c r="E121" s="522"/>
      <c r="F121" s="522"/>
      <c r="G121" s="522"/>
      <c r="H121" s="522"/>
      <c r="I121" s="522"/>
      <c r="J121" s="522"/>
      <c r="K121" s="527"/>
      <c r="L121" s="528"/>
      <c r="M121" s="528"/>
      <c r="N121" s="528"/>
      <c r="O121" s="528"/>
      <c r="P121" s="528"/>
      <c r="Q121" s="528"/>
      <c r="R121" s="533"/>
      <c r="S121" s="534"/>
      <c r="T121" s="533"/>
      <c r="U121" s="534"/>
      <c r="V121" s="527"/>
      <c r="W121" s="528"/>
      <c r="X121" s="528"/>
      <c r="Y121" s="528"/>
      <c r="Z121" s="528"/>
      <c r="AA121" s="528"/>
      <c r="AB121" s="528"/>
      <c r="AC121" s="527"/>
      <c r="AD121" s="528"/>
      <c r="AE121" s="528"/>
      <c r="AF121" s="528"/>
      <c r="AG121" s="528"/>
      <c r="AH121" s="528"/>
      <c r="AI121" s="528"/>
      <c r="AJ121" s="527"/>
      <c r="AK121" s="528"/>
      <c r="AL121" s="528"/>
      <c r="AM121" s="528"/>
      <c r="AN121" s="528"/>
      <c r="AO121" s="528"/>
      <c r="AP121" s="541"/>
      <c r="AQ121" s="546"/>
      <c r="AR121" s="547"/>
      <c r="AS121" s="547"/>
      <c r="AT121" s="547"/>
      <c r="AU121" s="547"/>
      <c r="AV121" s="547"/>
      <c r="AW121" s="548"/>
      <c r="AX121" s="493"/>
      <c r="AY121" s="494"/>
      <c r="AZ121" s="105">
        <v>3</v>
      </c>
      <c r="BA121" s="483"/>
      <c r="BB121" s="484"/>
      <c r="BC121" s="484"/>
      <c r="BD121" s="485"/>
      <c r="BE121" s="486"/>
      <c r="BF121" s="487"/>
      <c r="BG121" s="106"/>
      <c r="BH121" s="488"/>
      <c r="BI121" s="489"/>
      <c r="BJ121" s="489"/>
      <c r="BK121" s="489"/>
      <c r="BL121" s="489"/>
      <c r="BM121" s="490"/>
      <c r="BN121" s="488"/>
      <c r="BO121" s="489"/>
      <c r="BP121" s="489"/>
      <c r="BQ121" s="489"/>
      <c r="BR121" s="489"/>
      <c r="BS121" s="490"/>
      <c r="BT121" s="488"/>
      <c r="BU121" s="489"/>
      <c r="BV121" s="489"/>
      <c r="BW121" s="489"/>
      <c r="BX121" s="489"/>
      <c r="BY121" s="490"/>
      <c r="BZ121" s="483"/>
      <c r="CA121" s="484"/>
      <c r="CB121" s="484"/>
      <c r="CC121" s="485"/>
      <c r="CD121" s="477"/>
      <c r="CE121" s="478"/>
      <c r="CF121" s="478"/>
      <c r="CG121" s="478"/>
      <c r="CH121" s="479"/>
      <c r="CI121" s="477"/>
      <c r="CJ121" s="478"/>
      <c r="CK121" s="478"/>
      <c r="CL121" s="478"/>
      <c r="CM121" s="479"/>
      <c r="CN121" s="477"/>
      <c r="CO121" s="478"/>
      <c r="CP121" s="478"/>
      <c r="CQ121" s="478"/>
      <c r="CR121" s="479"/>
      <c r="CS121" s="480"/>
      <c r="CT121" s="481"/>
      <c r="CU121" s="481"/>
      <c r="CV121" s="481"/>
      <c r="CW121" s="482"/>
    </row>
    <row r="122" spans="1:101" s="91" customFormat="1" ht="16.5" x14ac:dyDescent="0.15">
      <c r="A122" s="517"/>
      <c r="B122" s="102"/>
      <c r="C122" s="220" t="str">
        <f t="shared" ca="1" si="6"/>
        <v/>
      </c>
      <c r="D122" s="521"/>
      <c r="E122" s="522"/>
      <c r="F122" s="522"/>
      <c r="G122" s="522"/>
      <c r="H122" s="522"/>
      <c r="I122" s="522"/>
      <c r="J122" s="522"/>
      <c r="K122" s="527"/>
      <c r="L122" s="528"/>
      <c r="M122" s="528"/>
      <c r="N122" s="528"/>
      <c r="O122" s="528"/>
      <c r="P122" s="528"/>
      <c r="Q122" s="528"/>
      <c r="R122" s="533"/>
      <c r="S122" s="534"/>
      <c r="T122" s="533"/>
      <c r="U122" s="534"/>
      <c r="V122" s="527"/>
      <c r="W122" s="528"/>
      <c r="X122" s="528"/>
      <c r="Y122" s="528"/>
      <c r="Z122" s="528"/>
      <c r="AA122" s="528"/>
      <c r="AB122" s="528"/>
      <c r="AC122" s="527"/>
      <c r="AD122" s="528"/>
      <c r="AE122" s="528"/>
      <c r="AF122" s="528"/>
      <c r="AG122" s="528"/>
      <c r="AH122" s="528"/>
      <c r="AI122" s="528"/>
      <c r="AJ122" s="527"/>
      <c r="AK122" s="528"/>
      <c r="AL122" s="528"/>
      <c r="AM122" s="528"/>
      <c r="AN122" s="528"/>
      <c r="AO122" s="528"/>
      <c r="AP122" s="541"/>
      <c r="AQ122" s="546"/>
      <c r="AR122" s="547"/>
      <c r="AS122" s="547"/>
      <c r="AT122" s="547"/>
      <c r="AU122" s="547"/>
      <c r="AV122" s="547"/>
      <c r="AW122" s="548"/>
      <c r="AX122" s="493"/>
      <c r="AY122" s="494"/>
      <c r="AZ122" s="105">
        <v>4</v>
      </c>
      <c r="BA122" s="483"/>
      <c r="BB122" s="484"/>
      <c r="BC122" s="484"/>
      <c r="BD122" s="485"/>
      <c r="BE122" s="486"/>
      <c r="BF122" s="487"/>
      <c r="BG122" s="106"/>
      <c r="BH122" s="488"/>
      <c r="BI122" s="489"/>
      <c r="BJ122" s="489"/>
      <c r="BK122" s="489"/>
      <c r="BL122" s="489"/>
      <c r="BM122" s="490"/>
      <c r="BN122" s="488"/>
      <c r="BO122" s="489"/>
      <c r="BP122" s="489"/>
      <c r="BQ122" s="489"/>
      <c r="BR122" s="489"/>
      <c r="BS122" s="490"/>
      <c r="BT122" s="488"/>
      <c r="BU122" s="489"/>
      <c r="BV122" s="489"/>
      <c r="BW122" s="489"/>
      <c r="BX122" s="489"/>
      <c r="BY122" s="490"/>
      <c r="BZ122" s="483"/>
      <c r="CA122" s="484"/>
      <c r="CB122" s="484"/>
      <c r="CC122" s="485"/>
      <c r="CD122" s="477"/>
      <c r="CE122" s="478"/>
      <c r="CF122" s="478"/>
      <c r="CG122" s="478"/>
      <c r="CH122" s="479"/>
      <c r="CI122" s="477"/>
      <c r="CJ122" s="478"/>
      <c r="CK122" s="478"/>
      <c r="CL122" s="478"/>
      <c r="CM122" s="479"/>
      <c r="CN122" s="477"/>
      <c r="CO122" s="478"/>
      <c r="CP122" s="478"/>
      <c r="CQ122" s="478"/>
      <c r="CR122" s="479"/>
      <c r="CS122" s="480"/>
      <c r="CT122" s="481"/>
      <c r="CU122" s="481"/>
      <c r="CV122" s="481"/>
      <c r="CW122" s="482"/>
    </row>
    <row r="123" spans="1:101" s="91" customFormat="1" ht="16.5" x14ac:dyDescent="0.15">
      <c r="A123" s="517"/>
      <c r="B123" s="102"/>
      <c r="C123" s="220" t="str">
        <f t="shared" ca="1" si="6"/>
        <v/>
      </c>
      <c r="D123" s="521"/>
      <c r="E123" s="522"/>
      <c r="F123" s="522"/>
      <c r="G123" s="522"/>
      <c r="H123" s="522"/>
      <c r="I123" s="522"/>
      <c r="J123" s="522"/>
      <c r="K123" s="527"/>
      <c r="L123" s="528"/>
      <c r="M123" s="528"/>
      <c r="N123" s="528"/>
      <c r="O123" s="528"/>
      <c r="P123" s="528"/>
      <c r="Q123" s="528"/>
      <c r="R123" s="533"/>
      <c r="S123" s="534"/>
      <c r="T123" s="533"/>
      <c r="U123" s="534"/>
      <c r="V123" s="527"/>
      <c r="W123" s="528"/>
      <c r="X123" s="528"/>
      <c r="Y123" s="528"/>
      <c r="Z123" s="528"/>
      <c r="AA123" s="528"/>
      <c r="AB123" s="528"/>
      <c r="AC123" s="527"/>
      <c r="AD123" s="528"/>
      <c r="AE123" s="528"/>
      <c r="AF123" s="528"/>
      <c r="AG123" s="528"/>
      <c r="AH123" s="528"/>
      <c r="AI123" s="528"/>
      <c r="AJ123" s="527"/>
      <c r="AK123" s="528"/>
      <c r="AL123" s="528"/>
      <c r="AM123" s="528"/>
      <c r="AN123" s="528"/>
      <c r="AO123" s="528"/>
      <c r="AP123" s="541"/>
      <c r="AQ123" s="546"/>
      <c r="AR123" s="547"/>
      <c r="AS123" s="547"/>
      <c r="AT123" s="547"/>
      <c r="AU123" s="547"/>
      <c r="AV123" s="547"/>
      <c r="AW123" s="548"/>
      <c r="AX123" s="493"/>
      <c r="AY123" s="494"/>
      <c r="AZ123" s="105">
        <v>5</v>
      </c>
      <c r="BA123" s="483"/>
      <c r="BB123" s="484"/>
      <c r="BC123" s="484"/>
      <c r="BD123" s="485"/>
      <c r="BE123" s="486"/>
      <c r="BF123" s="487"/>
      <c r="BG123" s="106"/>
      <c r="BH123" s="488"/>
      <c r="BI123" s="489"/>
      <c r="BJ123" s="489"/>
      <c r="BK123" s="489"/>
      <c r="BL123" s="489"/>
      <c r="BM123" s="490"/>
      <c r="BN123" s="488"/>
      <c r="BO123" s="489"/>
      <c r="BP123" s="489"/>
      <c r="BQ123" s="489"/>
      <c r="BR123" s="489"/>
      <c r="BS123" s="490"/>
      <c r="BT123" s="488"/>
      <c r="BU123" s="489"/>
      <c r="BV123" s="489"/>
      <c r="BW123" s="489"/>
      <c r="BX123" s="489"/>
      <c r="BY123" s="490"/>
      <c r="BZ123" s="483"/>
      <c r="CA123" s="484"/>
      <c r="CB123" s="484"/>
      <c r="CC123" s="485"/>
      <c r="CD123" s="477"/>
      <c r="CE123" s="478"/>
      <c r="CF123" s="478"/>
      <c r="CG123" s="478"/>
      <c r="CH123" s="479"/>
      <c r="CI123" s="477"/>
      <c r="CJ123" s="478"/>
      <c r="CK123" s="478"/>
      <c r="CL123" s="478"/>
      <c r="CM123" s="479"/>
      <c r="CN123" s="477"/>
      <c r="CO123" s="478"/>
      <c r="CP123" s="478"/>
      <c r="CQ123" s="478"/>
      <c r="CR123" s="479"/>
      <c r="CS123" s="480"/>
      <c r="CT123" s="481"/>
      <c r="CU123" s="481"/>
      <c r="CV123" s="481"/>
      <c r="CW123" s="482"/>
    </row>
    <row r="124" spans="1:101" s="91" customFormat="1" ht="16.5" x14ac:dyDescent="0.15">
      <c r="A124" s="518"/>
      <c r="B124" s="107"/>
      <c r="C124" s="219" t="str">
        <f t="shared" ca="1" si="6"/>
        <v/>
      </c>
      <c r="D124" s="523"/>
      <c r="E124" s="650"/>
      <c r="F124" s="650"/>
      <c r="G124" s="650"/>
      <c r="H124" s="650"/>
      <c r="I124" s="650"/>
      <c r="J124" s="650"/>
      <c r="K124" s="529"/>
      <c r="L124" s="530"/>
      <c r="M124" s="530"/>
      <c r="N124" s="530"/>
      <c r="O124" s="530"/>
      <c r="P124" s="530"/>
      <c r="Q124" s="530"/>
      <c r="R124" s="535"/>
      <c r="S124" s="537"/>
      <c r="T124" s="535"/>
      <c r="U124" s="537"/>
      <c r="V124" s="529"/>
      <c r="W124" s="539"/>
      <c r="X124" s="539"/>
      <c r="Y124" s="539"/>
      <c r="Z124" s="539"/>
      <c r="AA124" s="539"/>
      <c r="AB124" s="539"/>
      <c r="AC124" s="529"/>
      <c r="AD124" s="539"/>
      <c r="AE124" s="539"/>
      <c r="AF124" s="539"/>
      <c r="AG124" s="539"/>
      <c r="AH124" s="539"/>
      <c r="AI124" s="539"/>
      <c r="AJ124" s="529"/>
      <c r="AK124" s="539"/>
      <c r="AL124" s="539"/>
      <c r="AM124" s="539"/>
      <c r="AN124" s="539"/>
      <c r="AO124" s="539"/>
      <c r="AP124" s="542"/>
      <c r="AQ124" s="549"/>
      <c r="AR124" s="550"/>
      <c r="AS124" s="550"/>
      <c r="AT124" s="550"/>
      <c r="AU124" s="550"/>
      <c r="AV124" s="550"/>
      <c r="AW124" s="551"/>
      <c r="AX124" s="495"/>
      <c r="AY124" s="496"/>
      <c r="AZ124" s="108">
        <v>6</v>
      </c>
      <c r="BA124" s="505"/>
      <c r="BB124" s="506"/>
      <c r="BC124" s="506"/>
      <c r="BD124" s="507"/>
      <c r="BE124" s="644"/>
      <c r="BF124" s="645"/>
      <c r="BG124" s="109"/>
      <c r="BH124" s="510"/>
      <c r="BI124" s="511"/>
      <c r="BJ124" s="511"/>
      <c r="BK124" s="511"/>
      <c r="BL124" s="511"/>
      <c r="BM124" s="512"/>
      <c r="BN124" s="510"/>
      <c r="BO124" s="511"/>
      <c r="BP124" s="511"/>
      <c r="BQ124" s="511"/>
      <c r="BR124" s="511"/>
      <c r="BS124" s="512"/>
      <c r="BT124" s="510"/>
      <c r="BU124" s="511"/>
      <c r="BV124" s="511"/>
      <c r="BW124" s="511"/>
      <c r="BX124" s="511"/>
      <c r="BY124" s="512"/>
      <c r="BZ124" s="505"/>
      <c r="CA124" s="506"/>
      <c r="CB124" s="506"/>
      <c r="CC124" s="507"/>
      <c r="CD124" s="477"/>
      <c r="CE124" s="478"/>
      <c r="CF124" s="478"/>
      <c r="CG124" s="478"/>
      <c r="CH124" s="479"/>
      <c r="CI124" s="477"/>
      <c r="CJ124" s="478"/>
      <c r="CK124" s="478"/>
      <c r="CL124" s="478"/>
      <c r="CM124" s="479"/>
      <c r="CN124" s="477"/>
      <c r="CO124" s="478"/>
      <c r="CP124" s="478"/>
      <c r="CQ124" s="478"/>
      <c r="CR124" s="479"/>
      <c r="CS124" s="480"/>
      <c r="CT124" s="481"/>
      <c r="CU124" s="481"/>
      <c r="CV124" s="481"/>
      <c r="CW124" s="482"/>
    </row>
    <row r="125" spans="1:101" s="91" customFormat="1" ht="15.75" customHeight="1" x14ac:dyDescent="0.15">
      <c r="A125" s="516">
        <v>20</v>
      </c>
      <c r="B125" s="102"/>
      <c r="C125" s="222" t="str">
        <f t="shared" ca="1" si="6"/>
        <v/>
      </c>
      <c r="D125" s="519"/>
      <c r="E125" s="649"/>
      <c r="F125" s="649"/>
      <c r="G125" s="649"/>
      <c r="H125" s="649"/>
      <c r="I125" s="649"/>
      <c r="J125" s="649"/>
      <c r="K125" s="525"/>
      <c r="L125" s="526"/>
      <c r="M125" s="526"/>
      <c r="N125" s="526"/>
      <c r="O125" s="526"/>
      <c r="P125" s="526"/>
      <c r="Q125" s="526"/>
      <c r="R125" s="531"/>
      <c r="S125" s="532"/>
      <c r="T125" s="531"/>
      <c r="U125" s="532"/>
      <c r="V125" s="525"/>
      <c r="W125" s="538"/>
      <c r="X125" s="538"/>
      <c r="Y125" s="538"/>
      <c r="Z125" s="538"/>
      <c r="AA125" s="538"/>
      <c r="AB125" s="538"/>
      <c r="AC125" s="525"/>
      <c r="AD125" s="538"/>
      <c r="AE125" s="538"/>
      <c r="AF125" s="538"/>
      <c r="AG125" s="538"/>
      <c r="AH125" s="538"/>
      <c r="AI125" s="538"/>
      <c r="AJ125" s="525"/>
      <c r="AK125" s="538"/>
      <c r="AL125" s="538"/>
      <c r="AM125" s="538"/>
      <c r="AN125" s="538"/>
      <c r="AO125" s="538"/>
      <c r="AP125" s="540"/>
      <c r="AQ125" s="525"/>
      <c r="AR125" s="544"/>
      <c r="AS125" s="544"/>
      <c r="AT125" s="544"/>
      <c r="AU125" s="544"/>
      <c r="AV125" s="544"/>
      <c r="AW125" s="545"/>
      <c r="AX125" s="491"/>
      <c r="AY125" s="492"/>
      <c r="AZ125" s="103">
        <v>1</v>
      </c>
      <c r="BA125" s="497"/>
      <c r="BB125" s="498"/>
      <c r="BC125" s="498"/>
      <c r="BD125" s="499"/>
      <c r="BE125" s="500"/>
      <c r="BF125" s="501"/>
      <c r="BG125" s="110"/>
      <c r="BH125" s="502"/>
      <c r="BI125" s="503"/>
      <c r="BJ125" s="503"/>
      <c r="BK125" s="503"/>
      <c r="BL125" s="503"/>
      <c r="BM125" s="504"/>
      <c r="BN125" s="502"/>
      <c r="BO125" s="503"/>
      <c r="BP125" s="503"/>
      <c r="BQ125" s="503"/>
      <c r="BR125" s="503"/>
      <c r="BS125" s="504"/>
      <c r="BT125" s="502"/>
      <c r="BU125" s="503"/>
      <c r="BV125" s="503"/>
      <c r="BW125" s="503"/>
      <c r="BX125" s="503"/>
      <c r="BY125" s="504"/>
      <c r="BZ125" s="497"/>
      <c r="CA125" s="498"/>
      <c r="CB125" s="498"/>
      <c r="CC125" s="499"/>
      <c r="CD125" s="477"/>
      <c r="CE125" s="478"/>
      <c r="CF125" s="478"/>
      <c r="CG125" s="478"/>
      <c r="CH125" s="479"/>
      <c r="CI125" s="477"/>
      <c r="CJ125" s="478"/>
      <c r="CK125" s="478"/>
      <c r="CL125" s="478"/>
      <c r="CM125" s="479"/>
      <c r="CN125" s="477"/>
      <c r="CO125" s="478"/>
      <c r="CP125" s="478"/>
      <c r="CQ125" s="478"/>
      <c r="CR125" s="479"/>
      <c r="CS125" s="480"/>
      <c r="CT125" s="481"/>
      <c r="CU125" s="481"/>
      <c r="CV125" s="481"/>
      <c r="CW125" s="482"/>
    </row>
    <row r="126" spans="1:101" s="91" customFormat="1" ht="16.5" x14ac:dyDescent="0.15">
      <c r="A126" s="517"/>
      <c r="B126" s="102"/>
      <c r="C126" s="220" t="str">
        <f t="shared" ca="1" si="6"/>
        <v/>
      </c>
      <c r="D126" s="521"/>
      <c r="E126" s="522"/>
      <c r="F126" s="522"/>
      <c r="G126" s="522"/>
      <c r="H126" s="522"/>
      <c r="I126" s="522"/>
      <c r="J126" s="522"/>
      <c r="K126" s="527"/>
      <c r="L126" s="528"/>
      <c r="M126" s="528"/>
      <c r="N126" s="528"/>
      <c r="O126" s="528"/>
      <c r="P126" s="528"/>
      <c r="Q126" s="528"/>
      <c r="R126" s="533"/>
      <c r="S126" s="534"/>
      <c r="T126" s="533"/>
      <c r="U126" s="534"/>
      <c r="V126" s="527"/>
      <c r="W126" s="528"/>
      <c r="X126" s="528"/>
      <c r="Y126" s="528"/>
      <c r="Z126" s="528"/>
      <c r="AA126" s="528"/>
      <c r="AB126" s="528"/>
      <c r="AC126" s="527"/>
      <c r="AD126" s="528"/>
      <c r="AE126" s="528"/>
      <c r="AF126" s="528"/>
      <c r="AG126" s="528"/>
      <c r="AH126" s="528"/>
      <c r="AI126" s="528"/>
      <c r="AJ126" s="527"/>
      <c r="AK126" s="528"/>
      <c r="AL126" s="528"/>
      <c r="AM126" s="528"/>
      <c r="AN126" s="528"/>
      <c r="AO126" s="528"/>
      <c r="AP126" s="541"/>
      <c r="AQ126" s="546"/>
      <c r="AR126" s="547"/>
      <c r="AS126" s="547"/>
      <c r="AT126" s="547"/>
      <c r="AU126" s="547"/>
      <c r="AV126" s="547"/>
      <c r="AW126" s="548"/>
      <c r="AX126" s="493"/>
      <c r="AY126" s="494"/>
      <c r="AZ126" s="105">
        <v>2</v>
      </c>
      <c r="BA126" s="483"/>
      <c r="BB126" s="484"/>
      <c r="BC126" s="484"/>
      <c r="BD126" s="485"/>
      <c r="BE126" s="486"/>
      <c r="BF126" s="487"/>
      <c r="BG126" s="106"/>
      <c r="BH126" s="488"/>
      <c r="BI126" s="489"/>
      <c r="BJ126" s="489"/>
      <c r="BK126" s="489"/>
      <c r="BL126" s="489"/>
      <c r="BM126" s="490"/>
      <c r="BN126" s="488"/>
      <c r="BO126" s="489"/>
      <c r="BP126" s="489"/>
      <c r="BQ126" s="489"/>
      <c r="BR126" s="489"/>
      <c r="BS126" s="490"/>
      <c r="BT126" s="488"/>
      <c r="BU126" s="489"/>
      <c r="BV126" s="489"/>
      <c r="BW126" s="489"/>
      <c r="BX126" s="489"/>
      <c r="BY126" s="490"/>
      <c r="BZ126" s="483"/>
      <c r="CA126" s="484"/>
      <c r="CB126" s="484"/>
      <c r="CC126" s="485"/>
      <c r="CD126" s="477"/>
      <c r="CE126" s="478"/>
      <c r="CF126" s="478"/>
      <c r="CG126" s="478"/>
      <c r="CH126" s="479"/>
      <c r="CI126" s="477"/>
      <c r="CJ126" s="478"/>
      <c r="CK126" s="478"/>
      <c r="CL126" s="478"/>
      <c r="CM126" s="479"/>
      <c r="CN126" s="477"/>
      <c r="CO126" s="478"/>
      <c r="CP126" s="478"/>
      <c r="CQ126" s="478"/>
      <c r="CR126" s="479"/>
      <c r="CS126" s="480"/>
      <c r="CT126" s="481"/>
      <c r="CU126" s="481"/>
      <c r="CV126" s="481"/>
      <c r="CW126" s="482"/>
    </row>
    <row r="127" spans="1:101" s="91" customFormat="1" ht="16.5" x14ac:dyDescent="0.15">
      <c r="A127" s="517"/>
      <c r="B127" s="102"/>
      <c r="C127" s="220" t="str">
        <f t="shared" ca="1" si="6"/>
        <v/>
      </c>
      <c r="D127" s="521"/>
      <c r="E127" s="522"/>
      <c r="F127" s="522"/>
      <c r="G127" s="522"/>
      <c r="H127" s="522"/>
      <c r="I127" s="522"/>
      <c r="J127" s="522"/>
      <c r="K127" s="527"/>
      <c r="L127" s="528"/>
      <c r="M127" s="528"/>
      <c r="N127" s="528"/>
      <c r="O127" s="528"/>
      <c r="P127" s="528"/>
      <c r="Q127" s="528"/>
      <c r="R127" s="533"/>
      <c r="S127" s="534"/>
      <c r="T127" s="533"/>
      <c r="U127" s="534"/>
      <c r="V127" s="527"/>
      <c r="W127" s="528"/>
      <c r="X127" s="528"/>
      <c r="Y127" s="528"/>
      <c r="Z127" s="528"/>
      <c r="AA127" s="528"/>
      <c r="AB127" s="528"/>
      <c r="AC127" s="527"/>
      <c r="AD127" s="528"/>
      <c r="AE127" s="528"/>
      <c r="AF127" s="528"/>
      <c r="AG127" s="528"/>
      <c r="AH127" s="528"/>
      <c r="AI127" s="528"/>
      <c r="AJ127" s="527"/>
      <c r="AK127" s="528"/>
      <c r="AL127" s="528"/>
      <c r="AM127" s="528"/>
      <c r="AN127" s="528"/>
      <c r="AO127" s="528"/>
      <c r="AP127" s="541"/>
      <c r="AQ127" s="546"/>
      <c r="AR127" s="547"/>
      <c r="AS127" s="547"/>
      <c r="AT127" s="547"/>
      <c r="AU127" s="547"/>
      <c r="AV127" s="547"/>
      <c r="AW127" s="548"/>
      <c r="AX127" s="493"/>
      <c r="AY127" s="494"/>
      <c r="AZ127" s="105">
        <v>3</v>
      </c>
      <c r="BA127" s="483"/>
      <c r="BB127" s="484"/>
      <c r="BC127" s="484"/>
      <c r="BD127" s="485"/>
      <c r="BE127" s="486"/>
      <c r="BF127" s="487"/>
      <c r="BG127" s="106"/>
      <c r="BH127" s="488"/>
      <c r="BI127" s="489"/>
      <c r="BJ127" s="489"/>
      <c r="BK127" s="489"/>
      <c r="BL127" s="489"/>
      <c r="BM127" s="490"/>
      <c r="BN127" s="488"/>
      <c r="BO127" s="489"/>
      <c r="BP127" s="489"/>
      <c r="BQ127" s="489"/>
      <c r="BR127" s="489"/>
      <c r="BS127" s="490"/>
      <c r="BT127" s="488"/>
      <c r="BU127" s="489"/>
      <c r="BV127" s="489"/>
      <c r="BW127" s="489"/>
      <c r="BX127" s="489"/>
      <c r="BY127" s="490"/>
      <c r="BZ127" s="483"/>
      <c r="CA127" s="484"/>
      <c r="CB127" s="484"/>
      <c r="CC127" s="485"/>
      <c r="CD127" s="477"/>
      <c r="CE127" s="478"/>
      <c r="CF127" s="478"/>
      <c r="CG127" s="478"/>
      <c r="CH127" s="479"/>
      <c r="CI127" s="477"/>
      <c r="CJ127" s="478"/>
      <c r="CK127" s="478"/>
      <c r="CL127" s="478"/>
      <c r="CM127" s="479"/>
      <c r="CN127" s="477"/>
      <c r="CO127" s="478"/>
      <c r="CP127" s="478"/>
      <c r="CQ127" s="478"/>
      <c r="CR127" s="479"/>
      <c r="CS127" s="480"/>
      <c r="CT127" s="481"/>
      <c r="CU127" s="481"/>
      <c r="CV127" s="481"/>
      <c r="CW127" s="482"/>
    </row>
    <row r="128" spans="1:101" s="91" customFormat="1" ht="16.5" x14ac:dyDescent="0.15">
      <c r="A128" s="517"/>
      <c r="B128" s="102"/>
      <c r="C128" s="220" t="str">
        <f t="shared" ca="1" si="6"/>
        <v/>
      </c>
      <c r="D128" s="521"/>
      <c r="E128" s="522"/>
      <c r="F128" s="522"/>
      <c r="G128" s="522"/>
      <c r="H128" s="522"/>
      <c r="I128" s="522"/>
      <c r="J128" s="522"/>
      <c r="K128" s="527"/>
      <c r="L128" s="528"/>
      <c r="M128" s="528"/>
      <c r="N128" s="528"/>
      <c r="O128" s="528"/>
      <c r="P128" s="528"/>
      <c r="Q128" s="528"/>
      <c r="R128" s="533"/>
      <c r="S128" s="534"/>
      <c r="T128" s="533"/>
      <c r="U128" s="534"/>
      <c r="V128" s="527"/>
      <c r="W128" s="528"/>
      <c r="X128" s="528"/>
      <c r="Y128" s="528"/>
      <c r="Z128" s="528"/>
      <c r="AA128" s="528"/>
      <c r="AB128" s="528"/>
      <c r="AC128" s="527"/>
      <c r="AD128" s="528"/>
      <c r="AE128" s="528"/>
      <c r="AF128" s="528"/>
      <c r="AG128" s="528"/>
      <c r="AH128" s="528"/>
      <c r="AI128" s="528"/>
      <c r="AJ128" s="527"/>
      <c r="AK128" s="528"/>
      <c r="AL128" s="528"/>
      <c r="AM128" s="528"/>
      <c r="AN128" s="528"/>
      <c r="AO128" s="528"/>
      <c r="AP128" s="541"/>
      <c r="AQ128" s="546"/>
      <c r="AR128" s="547"/>
      <c r="AS128" s="547"/>
      <c r="AT128" s="547"/>
      <c r="AU128" s="547"/>
      <c r="AV128" s="547"/>
      <c r="AW128" s="548"/>
      <c r="AX128" s="493"/>
      <c r="AY128" s="494"/>
      <c r="AZ128" s="105">
        <v>4</v>
      </c>
      <c r="BA128" s="483"/>
      <c r="BB128" s="484"/>
      <c r="BC128" s="484"/>
      <c r="BD128" s="485"/>
      <c r="BE128" s="486"/>
      <c r="BF128" s="487"/>
      <c r="BG128" s="106"/>
      <c r="BH128" s="488"/>
      <c r="BI128" s="489"/>
      <c r="BJ128" s="489"/>
      <c r="BK128" s="489"/>
      <c r="BL128" s="489"/>
      <c r="BM128" s="490"/>
      <c r="BN128" s="488"/>
      <c r="BO128" s="489"/>
      <c r="BP128" s="489"/>
      <c r="BQ128" s="489"/>
      <c r="BR128" s="489"/>
      <c r="BS128" s="490"/>
      <c r="BT128" s="488"/>
      <c r="BU128" s="489"/>
      <c r="BV128" s="489"/>
      <c r="BW128" s="489"/>
      <c r="BX128" s="489"/>
      <c r="BY128" s="490"/>
      <c r="BZ128" s="483"/>
      <c r="CA128" s="484"/>
      <c r="CB128" s="484"/>
      <c r="CC128" s="485"/>
      <c r="CD128" s="477"/>
      <c r="CE128" s="478"/>
      <c r="CF128" s="478"/>
      <c r="CG128" s="478"/>
      <c r="CH128" s="479"/>
      <c r="CI128" s="477"/>
      <c r="CJ128" s="478"/>
      <c r="CK128" s="478"/>
      <c r="CL128" s="478"/>
      <c r="CM128" s="479"/>
      <c r="CN128" s="477"/>
      <c r="CO128" s="478"/>
      <c r="CP128" s="478"/>
      <c r="CQ128" s="478"/>
      <c r="CR128" s="479"/>
      <c r="CS128" s="480"/>
      <c r="CT128" s="481"/>
      <c r="CU128" s="481"/>
      <c r="CV128" s="481"/>
      <c r="CW128" s="482"/>
    </row>
    <row r="129" spans="1:101" s="91" customFormat="1" ht="16.5" x14ac:dyDescent="0.15">
      <c r="A129" s="517"/>
      <c r="B129" s="102"/>
      <c r="C129" s="220" t="str">
        <f t="shared" ca="1" si="6"/>
        <v/>
      </c>
      <c r="D129" s="521"/>
      <c r="E129" s="522"/>
      <c r="F129" s="522"/>
      <c r="G129" s="522"/>
      <c r="H129" s="522"/>
      <c r="I129" s="522"/>
      <c r="J129" s="522"/>
      <c r="K129" s="527"/>
      <c r="L129" s="528"/>
      <c r="M129" s="528"/>
      <c r="N129" s="528"/>
      <c r="O129" s="528"/>
      <c r="P129" s="528"/>
      <c r="Q129" s="528"/>
      <c r="R129" s="533"/>
      <c r="S129" s="534"/>
      <c r="T129" s="533"/>
      <c r="U129" s="534"/>
      <c r="V129" s="527"/>
      <c r="W129" s="528"/>
      <c r="X129" s="528"/>
      <c r="Y129" s="528"/>
      <c r="Z129" s="528"/>
      <c r="AA129" s="528"/>
      <c r="AB129" s="528"/>
      <c r="AC129" s="527"/>
      <c r="AD129" s="528"/>
      <c r="AE129" s="528"/>
      <c r="AF129" s="528"/>
      <c r="AG129" s="528"/>
      <c r="AH129" s="528"/>
      <c r="AI129" s="528"/>
      <c r="AJ129" s="527"/>
      <c r="AK129" s="528"/>
      <c r="AL129" s="528"/>
      <c r="AM129" s="528"/>
      <c r="AN129" s="528"/>
      <c r="AO129" s="528"/>
      <c r="AP129" s="541"/>
      <c r="AQ129" s="546"/>
      <c r="AR129" s="547"/>
      <c r="AS129" s="547"/>
      <c r="AT129" s="547"/>
      <c r="AU129" s="547"/>
      <c r="AV129" s="547"/>
      <c r="AW129" s="548"/>
      <c r="AX129" s="493"/>
      <c r="AY129" s="494"/>
      <c r="AZ129" s="105">
        <v>5</v>
      </c>
      <c r="BA129" s="483"/>
      <c r="BB129" s="484"/>
      <c r="BC129" s="484"/>
      <c r="BD129" s="485"/>
      <c r="BE129" s="486"/>
      <c r="BF129" s="487"/>
      <c r="BG129" s="106"/>
      <c r="BH129" s="488"/>
      <c r="BI129" s="489"/>
      <c r="BJ129" s="489"/>
      <c r="BK129" s="489"/>
      <c r="BL129" s="489"/>
      <c r="BM129" s="490"/>
      <c r="BN129" s="488"/>
      <c r="BO129" s="489"/>
      <c r="BP129" s="489"/>
      <c r="BQ129" s="489"/>
      <c r="BR129" s="489"/>
      <c r="BS129" s="490"/>
      <c r="BT129" s="488"/>
      <c r="BU129" s="489"/>
      <c r="BV129" s="489"/>
      <c r="BW129" s="489"/>
      <c r="BX129" s="489"/>
      <c r="BY129" s="490"/>
      <c r="BZ129" s="483"/>
      <c r="CA129" s="484"/>
      <c r="CB129" s="484"/>
      <c r="CC129" s="485"/>
      <c r="CD129" s="477"/>
      <c r="CE129" s="478"/>
      <c r="CF129" s="478"/>
      <c r="CG129" s="478"/>
      <c r="CH129" s="479"/>
      <c r="CI129" s="477"/>
      <c r="CJ129" s="478"/>
      <c r="CK129" s="478"/>
      <c r="CL129" s="478"/>
      <c r="CM129" s="479"/>
      <c r="CN129" s="477"/>
      <c r="CO129" s="478"/>
      <c r="CP129" s="478"/>
      <c r="CQ129" s="478"/>
      <c r="CR129" s="479"/>
      <c r="CS129" s="480"/>
      <c r="CT129" s="481"/>
      <c r="CU129" s="481"/>
      <c r="CV129" s="481"/>
      <c r="CW129" s="482"/>
    </row>
    <row r="130" spans="1:101" s="91" customFormat="1" ht="16.5" x14ac:dyDescent="0.15">
      <c r="A130" s="518"/>
      <c r="B130" s="107"/>
      <c r="C130" s="220" t="str">
        <f t="shared" ca="1" si="6"/>
        <v/>
      </c>
      <c r="D130" s="523"/>
      <c r="E130" s="650"/>
      <c r="F130" s="650"/>
      <c r="G130" s="650"/>
      <c r="H130" s="650"/>
      <c r="I130" s="650"/>
      <c r="J130" s="650"/>
      <c r="K130" s="529"/>
      <c r="L130" s="530"/>
      <c r="M130" s="530"/>
      <c r="N130" s="530"/>
      <c r="O130" s="530"/>
      <c r="P130" s="530"/>
      <c r="Q130" s="530"/>
      <c r="R130" s="535"/>
      <c r="S130" s="537"/>
      <c r="T130" s="535"/>
      <c r="U130" s="537"/>
      <c r="V130" s="529"/>
      <c r="W130" s="539"/>
      <c r="X130" s="539"/>
      <c r="Y130" s="539"/>
      <c r="Z130" s="539"/>
      <c r="AA130" s="539"/>
      <c r="AB130" s="539"/>
      <c r="AC130" s="529"/>
      <c r="AD130" s="539"/>
      <c r="AE130" s="539"/>
      <c r="AF130" s="539"/>
      <c r="AG130" s="539"/>
      <c r="AH130" s="539"/>
      <c r="AI130" s="539"/>
      <c r="AJ130" s="529"/>
      <c r="AK130" s="539"/>
      <c r="AL130" s="539"/>
      <c r="AM130" s="539"/>
      <c r="AN130" s="539"/>
      <c r="AO130" s="539"/>
      <c r="AP130" s="542"/>
      <c r="AQ130" s="549"/>
      <c r="AR130" s="550"/>
      <c r="AS130" s="550"/>
      <c r="AT130" s="550"/>
      <c r="AU130" s="550"/>
      <c r="AV130" s="550"/>
      <c r="AW130" s="551"/>
      <c r="AX130" s="495"/>
      <c r="AY130" s="496"/>
      <c r="AZ130" s="108">
        <v>6</v>
      </c>
      <c r="BA130" s="513"/>
      <c r="BB130" s="514"/>
      <c r="BC130" s="514"/>
      <c r="BD130" s="515"/>
      <c r="BE130" s="644"/>
      <c r="BF130" s="645"/>
      <c r="BG130" s="111"/>
      <c r="BH130" s="510"/>
      <c r="BI130" s="511"/>
      <c r="BJ130" s="511"/>
      <c r="BK130" s="511"/>
      <c r="BL130" s="511"/>
      <c r="BM130" s="512"/>
      <c r="BN130" s="510"/>
      <c r="BO130" s="511"/>
      <c r="BP130" s="511"/>
      <c r="BQ130" s="511"/>
      <c r="BR130" s="511"/>
      <c r="BS130" s="512"/>
      <c r="BT130" s="510"/>
      <c r="BU130" s="511"/>
      <c r="BV130" s="511"/>
      <c r="BW130" s="511"/>
      <c r="BX130" s="511"/>
      <c r="BY130" s="512"/>
      <c r="BZ130" s="513"/>
      <c r="CA130" s="514"/>
      <c r="CB130" s="514"/>
      <c r="CC130" s="515"/>
      <c r="CD130" s="477"/>
      <c r="CE130" s="478"/>
      <c r="CF130" s="478"/>
      <c r="CG130" s="478"/>
      <c r="CH130" s="479"/>
      <c r="CI130" s="477"/>
      <c r="CJ130" s="478"/>
      <c r="CK130" s="478"/>
      <c r="CL130" s="478"/>
      <c r="CM130" s="479"/>
      <c r="CN130" s="477"/>
      <c r="CO130" s="478"/>
      <c r="CP130" s="478"/>
      <c r="CQ130" s="478"/>
      <c r="CR130" s="479"/>
      <c r="CS130" s="480"/>
      <c r="CT130" s="481"/>
      <c r="CU130" s="481"/>
      <c r="CV130" s="481"/>
      <c r="CW130" s="482"/>
    </row>
    <row r="131" spans="1:101" s="91" customFormat="1" ht="16.149999999999999" customHeight="1" x14ac:dyDescent="0.15">
      <c r="A131" s="516">
        <v>21</v>
      </c>
      <c r="B131" s="102"/>
      <c r="C131" s="222" t="str">
        <f t="shared" ca="1" si="6"/>
        <v/>
      </c>
      <c r="D131" s="519"/>
      <c r="E131" s="649"/>
      <c r="F131" s="649"/>
      <c r="G131" s="649"/>
      <c r="H131" s="649"/>
      <c r="I131" s="649"/>
      <c r="J131" s="649"/>
      <c r="K131" s="525"/>
      <c r="L131" s="526"/>
      <c r="M131" s="526"/>
      <c r="N131" s="526"/>
      <c r="O131" s="526"/>
      <c r="P131" s="526"/>
      <c r="Q131" s="526"/>
      <c r="R131" s="531"/>
      <c r="S131" s="532"/>
      <c r="T131" s="531"/>
      <c r="U131" s="532"/>
      <c r="V131" s="525"/>
      <c r="W131" s="538"/>
      <c r="X131" s="538"/>
      <c r="Y131" s="538"/>
      <c r="Z131" s="538"/>
      <c r="AA131" s="538"/>
      <c r="AB131" s="538"/>
      <c r="AC131" s="525"/>
      <c r="AD131" s="538"/>
      <c r="AE131" s="538"/>
      <c r="AF131" s="538"/>
      <c r="AG131" s="538"/>
      <c r="AH131" s="538"/>
      <c r="AI131" s="538"/>
      <c r="AJ131" s="525"/>
      <c r="AK131" s="538"/>
      <c r="AL131" s="538"/>
      <c r="AM131" s="538"/>
      <c r="AN131" s="538"/>
      <c r="AO131" s="538"/>
      <c r="AP131" s="540"/>
      <c r="AQ131" s="525"/>
      <c r="AR131" s="544"/>
      <c r="AS131" s="544"/>
      <c r="AT131" s="544"/>
      <c r="AU131" s="544"/>
      <c r="AV131" s="544"/>
      <c r="AW131" s="545"/>
      <c r="AX131" s="491"/>
      <c r="AY131" s="492"/>
      <c r="AZ131" s="103">
        <v>1</v>
      </c>
      <c r="BA131" s="497"/>
      <c r="BB131" s="498"/>
      <c r="BC131" s="498"/>
      <c r="BD131" s="499"/>
      <c r="BE131" s="500"/>
      <c r="BF131" s="501"/>
      <c r="BG131" s="271"/>
      <c r="BH131" s="502"/>
      <c r="BI131" s="503"/>
      <c r="BJ131" s="503"/>
      <c r="BK131" s="503"/>
      <c r="BL131" s="503"/>
      <c r="BM131" s="504"/>
      <c r="BN131" s="502"/>
      <c r="BO131" s="503"/>
      <c r="BP131" s="503"/>
      <c r="BQ131" s="503"/>
      <c r="BR131" s="503"/>
      <c r="BS131" s="504"/>
      <c r="BT131" s="502"/>
      <c r="BU131" s="503"/>
      <c r="BV131" s="503"/>
      <c r="BW131" s="503"/>
      <c r="BX131" s="503"/>
      <c r="BY131" s="504"/>
      <c r="BZ131" s="497"/>
      <c r="CA131" s="498"/>
      <c r="CB131" s="498"/>
      <c r="CC131" s="499"/>
      <c r="CD131" s="477"/>
      <c r="CE131" s="478"/>
      <c r="CF131" s="478"/>
      <c r="CG131" s="478"/>
      <c r="CH131" s="479"/>
      <c r="CI131" s="477"/>
      <c r="CJ131" s="478"/>
      <c r="CK131" s="478"/>
      <c r="CL131" s="478"/>
      <c r="CM131" s="479"/>
      <c r="CN131" s="477"/>
      <c r="CO131" s="478"/>
      <c r="CP131" s="478"/>
      <c r="CQ131" s="478"/>
      <c r="CR131" s="479"/>
      <c r="CS131" s="480"/>
      <c r="CT131" s="481"/>
      <c r="CU131" s="481"/>
      <c r="CV131" s="481"/>
      <c r="CW131" s="482"/>
    </row>
    <row r="132" spans="1:101" s="91" customFormat="1" ht="16.5" x14ac:dyDescent="0.15">
      <c r="A132" s="517"/>
      <c r="B132" s="102"/>
      <c r="C132" s="220" t="str">
        <f t="shared" ca="1" si="6"/>
        <v/>
      </c>
      <c r="D132" s="521"/>
      <c r="E132" s="522"/>
      <c r="F132" s="522"/>
      <c r="G132" s="522"/>
      <c r="H132" s="522"/>
      <c r="I132" s="522"/>
      <c r="J132" s="522"/>
      <c r="K132" s="527"/>
      <c r="L132" s="528"/>
      <c r="M132" s="528"/>
      <c r="N132" s="528"/>
      <c r="O132" s="528"/>
      <c r="P132" s="528"/>
      <c r="Q132" s="528"/>
      <c r="R132" s="533"/>
      <c r="S132" s="534"/>
      <c r="T132" s="533"/>
      <c r="U132" s="534"/>
      <c r="V132" s="527"/>
      <c r="W132" s="528"/>
      <c r="X132" s="528"/>
      <c r="Y132" s="528"/>
      <c r="Z132" s="528"/>
      <c r="AA132" s="528"/>
      <c r="AB132" s="528"/>
      <c r="AC132" s="527"/>
      <c r="AD132" s="528"/>
      <c r="AE132" s="528"/>
      <c r="AF132" s="528"/>
      <c r="AG132" s="528"/>
      <c r="AH132" s="528"/>
      <c r="AI132" s="528"/>
      <c r="AJ132" s="527"/>
      <c r="AK132" s="528"/>
      <c r="AL132" s="528"/>
      <c r="AM132" s="528"/>
      <c r="AN132" s="528"/>
      <c r="AO132" s="528"/>
      <c r="AP132" s="541"/>
      <c r="AQ132" s="546"/>
      <c r="AR132" s="547"/>
      <c r="AS132" s="547"/>
      <c r="AT132" s="547"/>
      <c r="AU132" s="547"/>
      <c r="AV132" s="547"/>
      <c r="AW132" s="548"/>
      <c r="AX132" s="493"/>
      <c r="AY132" s="494"/>
      <c r="AZ132" s="105">
        <v>2</v>
      </c>
      <c r="BA132" s="483"/>
      <c r="BB132" s="484"/>
      <c r="BC132" s="484"/>
      <c r="BD132" s="485"/>
      <c r="BE132" s="486"/>
      <c r="BF132" s="487"/>
      <c r="BG132" s="106"/>
      <c r="BH132" s="488"/>
      <c r="BI132" s="489"/>
      <c r="BJ132" s="489"/>
      <c r="BK132" s="489"/>
      <c r="BL132" s="489"/>
      <c r="BM132" s="490"/>
      <c r="BN132" s="488"/>
      <c r="BO132" s="489"/>
      <c r="BP132" s="489"/>
      <c r="BQ132" s="489"/>
      <c r="BR132" s="489"/>
      <c r="BS132" s="490"/>
      <c r="BT132" s="488"/>
      <c r="BU132" s="489"/>
      <c r="BV132" s="489"/>
      <c r="BW132" s="489"/>
      <c r="BX132" s="489"/>
      <c r="BY132" s="490"/>
      <c r="BZ132" s="483"/>
      <c r="CA132" s="484"/>
      <c r="CB132" s="484"/>
      <c r="CC132" s="485"/>
      <c r="CD132" s="477"/>
      <c r="CE132" s="478"/>
      <c r="CF132" s="478"/>
      <c r="CG132" s="478"/>
      <c r="CH132" s="479"/>
      <c r="CI132" s="477"/>
      <c r="CJ132" s="478"/>
      <c r="CK132" s="478"/>
      <c r="CL132" s="478"/>
      <c r="CM132" s="479"/>
      <c r="CN132" s="477"/>
      <c r="CO132" s="478"/>
      <c r="CP132" s="478"/>
      <c r="CQ132" s="478"/>
      <c r="CR132" s="479"/>
      <c r="CS132" s="480"/>
      <c r="CT132" s="481"/>
      <c r="CU132" s="481"/>
      <c r="CV132" s="481"/>
      <c r="CW132" s="482"/>
    </row>
    <row r="133" spans="1:101" s="91" customFormat="1" ht="16.5" x14ac:dyDescent="0.15">
      <c r="A133" s="517"/>
      <c r="B133" s="102"/>
      <c r="C133" s="220" t="str">
        <f t="shared" ca="1" si="6"/>
        <v/>
      </c>
      <c r="D133" s="521"/>
      <c r="E133" s="522"/>
      <c r="F133" s="522"/>
      <c r="G133" s="522"/>
      <c r="H133" s="522"/>
      <c r="I133" s="522"/>
      <c r="J133" s="522"/>
      <c r="K133" s="527"/>
      <c r="L133" s="528"/>
      <c r="M133" s="528"/>
      <c r="N133" s="528"/>
      <c r="O133" s="528"/>
      <c r="P133" s="528"/>
      <c r="Q133" s="528"/>
      <c r="R133" s="533"/>
      <c r="S133" s="534"/>
      <c r="T133" s="533"/>
      <c r="U133" s="534"/>
      <c r="V133" s="527"/>
      <c r="W133" s="528"/>
      <c r="X133" s="528"/>
      <c r="Y133" s="528"/>
      <c r="Z133" s="528"/>
      <c r="AA133" s="528"/>
      <c r="AB133" s="528"/>
      <c r="AC133" s="527"/>
      <c r="AD133" s="528"/>
      <c r="AE133" s="528"/>
      <c r="AF133" s="528"/>
      <c r="AG133" s="528"/>
      <c r="AH133" s="528"/>
      <c r="AI133" s="528"/>
      <c r="AJ133" s="527"/>
      <c r="AK133" s="528"/>
      <c r="AL133" s="528"/>
      <c r="AM133" s="528"/>
      <c r="AN133" s="528"/>
      <c r="AO133" s="528"/>
      <c r="AP133" s="541"/>
      <c r="AQ133" s="546"/>
      <c r="AR133" s="547"/>
      <c r="AS133" s="547"/>
      <c r="AT133" s="547"/>
      <c r="AU133" s="547"/>
      <c r="AV133" s="547"/>
      <c r="AW133" s="548"/>
      <c r="AX133" s="493"/>
      <c r="AY133" s="494"/>
      <c r="AZ133" s="105">
        <v>3</v>
      </c>
      <c r="BA133" s="483"/>
      <c r="BB133" s="484"/>
      <c r="BC133" s="484"/>
      <c r="BD133" s="485"/>
      <c r="BE133" s="486"/>
      <c r="BF133" s="487"/>
      <c r="BG133" s="106"/>
      <c r="BH133" s="488"/>
      <c r="BI133" s="489"/>
      <c r="BJ133" s="489"/>
      <c r="BK133" s="489"/>
      <c r="BL133" s="489"/>
      <c r="BM133" s="490"/>
      <c r="BN133" s="488"/>
      <c r="BO133" s="489"/>
      <c r="BP133" s="489"/>
      <c r="BQ133" s="489"/>
      <c r="BR133" s="489"/>
      <c r="BS133" s="490"/>
      <c r="BT133" s="488"/>
      <c r="BU133" s="489"/>
      <c r="BV133" s="489"/>
      <c r="BW133" s="489"/>
      <c r="BX133" s="489"/>
      <c r="BY133" s="490"/>
      <c r="BZ133" s="483"/>
      <c r="CA133" s="484"/>
      <c r="CB133" s="484"/>
      <c r="CC133" s="485"/>
      <c r="CD133" s="477"/>
      <c r="CE133" s="478"/>
      <c r="CF133" s="478"/>
      <c r="CG133" s="478"/>
      <c r="CH133" s="479"/>
      <c r="CI133" s="477"/>
      <c r="CJ133" s="478"/>
      <c r="CK133" s="478"/>
      <c r="CL133" s="478"/>
      <c r="CM133" s="479"/>
      <c r="CN133" s="477"/>
      <c r="CO133" s="478"/>
      <c r="CP133" s="478"/>
      <c r="CQ133" s="478"/>
      <c r="CR133" s="479"/>
      <c r="CS133" s="480"/>
      <c r="CT133" s="481"/>
      <c r="CU133" s="481"/>
      <c r="CV133" s="481"/>
      <c r="CW133" s="482"/>
    </row>
    <row r="134" spans="1:101" s="91" customFormat="1" ht="16.5" x14ac:dyDescent="0.15">
      <c r="A134" s="517"/>
      <c r="B134" s="102"/>
      <c r="C134" s="220" t="str">
        <f t="shared" ca="1" si="6"/>
        <v/>
      </c>
      <c r="D134" s="521"/>
      <c r="E134" s="522"/>
      <c r="F134" s="522"/>
      <c r="G134" s="522"/>
      <c r="H134" s="522"/>
      <c r="I134" s="522"/>
      <c r="J134" s="522"/>
      <c r="K134" s="527"/>
      <c r="L134" s="528"/>
      <c r="M134" s="528"/>
      <c r="N134" s="528"/>
      <c r="O134" s="528"/>
      <c r="P134" s="528"/>
      <c r="Q134" s="528"/>
      <c r="R134" s="533"/>
      <c r="S134" s="534"/>
      <c r="T134" s="533"/>
      <c r="U134" s="534"/>
      <c r="V134" s="527"/>
      <c r="W134" s="528"/>
      <c r="X134" s="528"/>
      <c r="Y134" s="528"/>
      <c r="Z134" s="528"/>
      <c r="AA134" s="528"/>
      <c r="AB134" s="528"/>
      <c r="AC134" s="527"/>
      <c r="AD134" s="528"/>
      <c r="AE134" s="528"/>
      <c r="AF134" s="528"/>
      <c r="AG134" s="528"/>
      <c r="AH134" s="528"/>
      <c r="AI134" s="528"/>
      <c r="AJ134" s="527"/>
      <c r="AK134" s="528"/>
      <c r="AL134" s="528"/>
      <c r="AM134" s="528"/>
      <c r="AN134" s="528"/>
      <c r="AO134" s="528"/>
      <c r="AP134" s="541"/>
      <c r="AQ134" s="546"/>
      <c r="AR134" s="547"/>
      <c r="AS134" s="547"/>
      <c r="AT134" s="547"/>
      <c r="AU134" s="547"/>
      <c r="AV134" s="547"/>
      <c r="AW134" s="548"/>
      <c r="AX134" s="493"/>
      <c r="AY134" s="494"/>
      <c r="AZ134" s="105">
        <v>4</v>
      </c>
      <c r="BA134" s="483"/>
      <c r="BB134" s="484"/>
      <c r="BC134" s="484"/>
      <c r="BD134" s="485"/>
      <c r="BE134" s="486"/>
      <c r="BF134" s="487"/>
      <c r="BG134" s="106"/>
      <c r="BH134" s="488"/>
      <c r="BI134" s="489"/>
      <c r="BJ134" s="489"/>
      <c r="BK134" s="489"/>
      <c r="BL134" s="489"/>
      <c r="BM134" s="490"/>
      <c r="BN134" s="488"/>
      <c r="BO134" s="489"/>
      <c r="BP134" s="489"/>
      <c r="BQ134" s="489"/>
      <c r="BR134" s="489"/>
      <c r="BS134" s="490"/>
      <c r="BT134" s="488"/>
      <c r="BU134" s="489"/>
      <c r="BV134" s="489"/>
      <c r="BW134" s="489"/>
      <c r="BX134" s="489"/>
      <c r="BY134" s="490"/>
      <c r="BZ134" s="483"/>
      <c r="CA134" s="484"/>
      <c r="CB134" s="484"/>
      <c r="CC134" s="485"/>
      <c r="CD134" s="477"/>
      <c r="CE134" s="478"/>
      <c r="CF134" s="478"/>
      <c r="CG134" s="478"/>
      <c r="CH134" s="479"/>
      <c r="CI134" s="477"/>
      <c r="CJ134" s="478"/>
      <c r="CK134" s="478"/>
      <c r="CL134" s="478"/>
      <c r="CM134" s="479"/>
      <c r="CN134" s="477"/>
      <c r="CO134" s="478"/>
      <c r="CP134" s="478"/>
      <c r="CQ134" s="478"/>
      <c r="CR134" s="479"/>
      <c r="CS134" s="480"/>
      <c r="CT134" s="481"/>
      <c r="CU134" s="481"/>
      <c r="CV134" s="481"/>
      <c r="CW134" s="482"/>
    </row>
    <row r="135" spans="1:101" s="91" customFormat="1" ht="16.5" x14ac:dyDescent="0.15">
      <c r="A135" s="517"/>
      <c r="B135" s="102"/>
      <c r="C135" s="220" t="str">
        <f t="shared" ca="1" si="6"/>
        <v/>
      </c>
      <c r="D135" s="521"/>
      <c r="E135" s="522"/>
      <c r="F135" s="522"/>
      <c r="G135" s="522"/>
      <c r="H135" s="522"/>
      <c r="I135" s="522"/>
      <c r="J135" s="522"/>
      <c r="K135" s="527"/>
      <c r="L135" s="528"/>
      <c r="M135" s="528"/>
      <c r="N135" s="528"/>
      <c r="O135" s="528"/>
      <c r="P135" s="528"/>
      <c r="Q135" s="528"/>
      <c r="R135" s="533"/>
      <c r="S135" s="534"/>
      <c r="T135" s="533"/>
      <c r="U135" s="534"/>
      <c r="V135" s="527"/>
      <c r="W135" s="528"/>
      <c r="X135" s="528"/>
      <c r="Y135" s="528"/>
      <c r="Z135" s="528"/>
      <c r="AA135" s="528"/>
      <c r="AB135" s="528"/>
      <c r="AC135" s="527"/>
      <c r="AD135" s="528"/>
      <c r="AE135" s="528"/>
      <c r="AF135" s="528"/>
      <c r="AG135" s="528"/>
      <c r="AH135" s="528"/>
      <c r="AI135" s="528"/>
      <c r="AJ135" s="527"/>
      <c r="AK135" s="528"/>
      <c r="AL135" s="528"/>
      <c r="AM135" s="528"/>
      <c r="AN135" s="528"/>
      <c r="AO135" s="528"/>
      <c r="AP135" s="541"/>
      <c r="AQ135" s="546"/>
      <c r="AR135" s="547"/>
      <c r="AS135" s="547"/>
      <c r="AT135" s="547"/>
      <c r="AU135" s="547"/>
      <c r="AV135" s="547"/>
      <c r="AW135" s="548"/>
      <c r="AX135" s="493"/>
      <c r="AY135" s="494"/>
      <c r="AZ135" s="105">
        <v>5</v>
      </c>
      <c r="BA135" s="483"/>
      <c r="BB135" s="484"/>
      <c r="BC135" s="484"/>
      <c r="BD135" s="485"/>
      <c r="BE135" s="486"/>
      <c r="BF135" s="487"/>
      <c r="BG135" s="106"/>
      <c r="BH135" s="488"/>
      <c r="BI135" s="489"/>
      <c r="BJ135" s="489"/>
      <c r="BK135" s="489"/>
      <c r="BL135" s="489"/>
      <c r="BM135" s="490"/>
      <c r="BN135" s="488"/>
      <c r="BO135" s="489"/>
      <c r="BP135" s="489"/>
      <c r="BQ135" s="489"/>
      <c r="BR135" s="489"/>
      <c r="BS135" s="490"/>
      <c r="BT135" s="488"/>
      <c r="BU135" s="489"/>
      <c r="BV135" s="489"/>
      <c r="BW135" s="489"/>
      <c r="BX135" s="489"/>
      <c r="BY135" s="490"/>
      <c r="BZ135" s="483"/>
      <c r="CA135" s="484"/>
      <c r="CB135" s="484"/>
      <c r="CC135" s="485"/>
      <c r="CD135" s="477"/>
      <c r="CE135" s="478"/>
      <c r="CF135" s="478"/>
      <c r="CG135" s="478"/>
      <c r="CH135" s="479"/>
      <c r="CI135" s="477"/>
      <c r="CJ135" s="478"/>
      <c r="CK135" s="478"/>
      <c r="CL135" s="478"/>
      <c r="CM135" s="479"/>
      <c r="CN135" s="477"/>
      <c r="CO135" s="478"/>
      <c r="CP135" s="478"/>
      <c r="CQ135" s="478"/>
      <c r="CR135" s="479"/>
      <c r="CS135" s="480"/>
      <c r="CT135" s="481"/>
      <c r="CU135" s="481"/>
      <c r="CV135" s="481"/>
      <c r="CW135" s="482"/>
    </row>
    <row r="136" spans="1:101" s="91" customFormat="1" ht="16.5" x14ac:dyDescent="0.15">
      <c r="A136" s="518"/>
      <c r="B136" s="107"/>
      <c r="C136" s="220" t="str">
        <f t="shared" ca="1" si="6"/>
        <v/>
      </c>
      <c r="D136" s="523"/>
      <c r="E136" s="650"/>
      <c r="F136" s="650"/>
      <c r="G136" s="650"/>
      <c r="H136" s="650"/>
      <c r="I136" s="650"/>
      <c r="J136" s="650"/>
      <c r="K136" s="529"/>
      <c r="L136" s="530"/>
      <c r="M136" s="530"/>
      <c r="N136" s="530"/>
      <c r="O136" s="530"/>
      <c r="P136" s="530"/>
      <c r="Q136" s="530"/>
      <c r="R136" s="535"/>
      <c r="S136" s="536"/>
      <c r="T136" s="535"/>
      <c r="U136" s="537"/>
      <c r="V136" s="529"/>
      <c r="W136" s="539"/>
      <c r="X136" s="539"/>
      <c r="Y136" s="539"/>
      <c r="Z136" s="539"/>
      <c r="AA136" s="539"/>
      <c r="AB136" s="539"/>
      <c r="AC136" s="529"/>
      <c r="AD136" s="539"/>
      <c r="AE136" s="539"/>
      <c r="AF136" s="539"/>
      <c r="AG136" s="539"/>
      <c r="AH136" s="539"/>
      <c r="AI136" s="539"/>
      <c r="AJ136" s="529"/>
      <c r="AK136" s="539"/>
      <c r="AL136" s="539"/>
      <c r="AM136" s="539"/>
      <c r="AN136" s="539"/>
      <c r="AO136" s="539"/>
      <c r="AP136" s="542"/>
      <c r="AQ136" s="549"/>
      <c r="AR136" s="550"/>
      <c r="AS136" s="550"/>
      <c r="AT136" s="550"/>
      <c r="AU136" s="550"/>
      <c r="AV136" s="550"/>
      <c r="AW136" s="551"/>
      <c r="AX136" s="495"/>
      <c r="AY136" s="496"/>
      <c r="AZ136" s="108">
        <v>6</v>
      </c>
      <c r="BA136" s="513"/>
      <c r="BB136" s="514"/>
      <c r="BC136" s="514"/>
      <c r="BD136" s="515"/>
      <c r="BE136" s="644"/>
      <c r="BF136" s="645"/>
      <c r="BG136" s="111"/>
      <c r="BH136" s="510"/>
      <c r="BI136" s="511"/>
      <c r="BJ136" s="511"/>
      <c r="BK136" s="511"/>
      <c r="BL136" s="511"/>
      <c r="BM136" s="512"/>
      <c r="BN136" s="510"/>
      <c r="BO136" s="511"/>
      <c r="BP136" s="511"/>
      <c r="BQ136" s="511"/>
      <c r="BR136" s="511"/>
      <c r="BS136" s="512"/>
      <c r="BT136" s="510"/>
      <c r="BU136" s="511"/>
      <c r="BV136" s="511"/>
      <c r="BW136" s="511"/>
      <c r="BX136" s="511"/>
      <c r="BY136" s="512"/>
      <c r="BZ136" s="513"/>
      <c r="CA136" s="514"/>
      <c r="CB136" s="514"/>
      <c r="CC136" s="515"/>
      <c r="CD136" s="477"/>
      <c r="CE136" s="478"/>
      <c r="CF136" s="478"/>
      <c r="CG136" s="478"/>
      <c r="CH136" s="479"/>
      <c r="CI136" s="477"/>
      <c r="CJ136" s="478"/>
      <c r="CK136" s="478"/>
      <c r="CL136" s="478"/>
      <c r="CM136" s="479"/>
      <c r="CN136" s="477"/>
      <c r="CO136" s="478"/>
      <c r="CP136" s="478"/>
      <c r="CQ136" s="478"/>
      <c r="CR136" s="479"/>
      <c r="CS136" s="480"/>
      <c r="CT136" s="481"/>
      <c r="CU136" s="481"/>
      <c r="CV136" s="481"/>
      <c r="CW136" s="482"/>
    </row>
    <row r="137" spans="1:101" s="91" customFormat="1" ht="16.149999999999999" customHeight="1" x14ac:dyDescent="0.15">
      <c r="A137" s="516">
        <v>22</v>
      </c>
      <c r="B137" s="102"/>
      <c r="C137" s="220" t="str">
        <f t="shared" ca="1" si="6"/>
        <v/>
      </c>
      <c r="D137" s="519"/>
      <c r="E137" s="649"/>
      <c r="F137" s="649"/>
      <c r="G137" s="649"/>
      <c r="H137" s="649"/>
      <c r="I137" s="649"/>
      <c r="J137" s="649"/>
      <c r="K137" s="525"/>
      <c r="L137" s="526"/>
      <c r="M137" s="526"/>
      <c r="N137" s="526"/>
      <c r="O137" s="526"/>
      <c r="P137" s="526"/>
      <c r="Q137" s="526"/>
      <c r="R137" s="531"/>
      <c r="S137" s="532"/>
      <c r="T137" s="531"/>
      <c r="U137" s="532"/>
      <c r="V137" s="525"/>
      <c r="W137" s="538"/>
      <c r="X137" s="538"/>
      <c r="Y137" s="538"/>
      <c r="Z137" s="538"/>
      <c r="AA137" s="538"/>
      <c r="AB137" s="538"/>
      <c r="AC137" s="525"/>
      <c r="AD137" s="538"/>
      <c r="AE137" s="538"/>
      <c r="AF137" s="538"/>
      <c r="AG137" s="538"/>
      <c r="AH137" s="538"/>
      <c r="AI137" s="538"/>
      <c r="AJ137" s="525"/>
      <c r="AK137" s="538"/>
      <c r="AL137" s="538"/>
      <c r="AM137" s="538"/>
      <c r="AN137" s="538"/>
      <c r="AO137" s="538"/>
      <c r="AP137" s="540"/>
      <c r="AQ137" s="525"/>
      <c r="AR137" s="544"/>
      <c r="AS137" s="544"/>
      <c r="AT137" s="544"/>
      <c r="AU137" s="544"/>
      <c r="AV137" s="544"/>
      <c r="AW137" s="545"/>
      <c r="AX137" s="491"/>
      <c r="AY137" s="492"/>
      <c r="AZ137" s="103">
        <v>1</v>
      </c>
      <c r="BA137" s="497"/>
      <c r="BB137" s="498"/>
      <c r="BC137" s="498"/>
      <c r="BD137" s="499"/>
      <c r="BE137" s="500"/>
      <c r="BF137" s="501"/>
      <c r="BG137" s="104"/>
      <c r="BH137" s="502"/>
      <c r="BI137" s="503"/>
      <c r="BJ137" s="503"/>
      <c r="BK137" s="503"/>
      <c r="BL137" s="503"/>
      <c r="BM137" s="504"/>
      <c r="BN137" s="502"/>
      <c r="BO137" s="503"/>
      <c r="BP137" s="503"/>
      <c r="BQ137" s="503"/>
      <c r="BR137" s="503"/>
      <c r="BS137" s="504"/>
      <c r="BT137" s="502"/>
      <c r="BU137" s="503"/>
      <c r="BV137" s="503"/>
      <c r="BW137" s="503"/>
      <c r="BX137" s="503"/>
      <c r="BY137" s="504"/>
      <c r="BZ137" s="552"/>
      <c r="CA137" s="553"/>
      <c r="CB137" s="553"/>
      <c r="CC137" s="554"/>
      <c r="CD137" s="477"/>
      <c r="CE137" s="478"/>
      <c r="CF137" s="478"/>
      <c r="CG137" s="478"/>
      <c r="CH137" s="479"/>
      <c r="CI137" s="477"/>
      <c r="CJ137" s="478"/>
      <c r="CK137" s="478"/>
      <c r="CL137" s="478"/>
      <c r="CM137" s="479"/>
      <c r="CN137" s="477"/>
      <c r="CO137" s="478"/>
      <c r="CP137" s="478"/>
      <c r="CQ137" s="478"/>
      <c r="CR137" s="479"/>
      <c r="CS137" s="480"/>
      <c r="CT137" s="481"/>
      <c r="CU137" s="481"/>
      <c r="CV137" s="481"/>
      <c r="CW137" s="482"/>
    </row>
    <row r="138" spans="1:101" s="91" customFormat="1" ht="16.5" x14ac:dyDescent="0.15">
      <c r="A138" s="517"/>
      <c r="B138" s="102"/>
      <c r="C138" s="220" t="str">
        <f t="shared" ca="1" si="6"/>
        <v/>
      </c>
      <c r="D138" s="521"/>
      <c r="E138" s="522"/>
      <c r="F138" s="522"/>
      <c r="G138" s="522"/>
      <c r="H138" s="522"/>
      <c r="I138" s="522"/>
      <c r="J138" s="522"/>
      <c r="K138" s="527"/>
      <c r="L138" s="528"/>
      <c r="M138" s="528"/>
      <c r="N138" s="528"/>
      <c r="O138" s="528"/>
      <c r="P138" s="528"/>
      <c r="Q138" s="528"/>
      <c r="R138" s="533"/>
      <c r="S138" s="534"/>
      <c r="T138" s="533"/>
      <c r="U138" s="534"/>
      <c r="V138" s="527"/>
      <c r="W138" s="528"/>
      <c r="X138" s="528"/>
      <c r="Y138" s="528"/>
      <c r="Z138" s="528"/>
      <c r="AA138" s="528"/>
      <c r="AB138" s="528"/>
      <c r="AC138" s="527"/>
      <c r="AD138" s="528"/>
      <c r="AE138" s="528"/>
      <c r="AF138" s="528"/>
      <c r="AG138" s="528"/>
      <c r="AH138" s="528"/>
      <c r="AI138" s="528"/>
      <c r="AJ138" s="527"/>
      <c r="AK138" s="528"/>
      <c r="AL138" s="528"/>
      <c r="AM138" s="528"/>
      <c r="AN138" s="528"/>
      <c r="AO138" s="528"/>
      <c r="AP138" s="541"/>
      <c r="AQ138" s="546"/>
      <c r="AR138" s="547"/>
      <c r="AS138" s="547"/>
      <c r="AT138" s="547"/>
      <c r="AU138" s="547"/>
      <c r="AV138" s="547"/>
      <c r="AW138" s="548"/>
      <c r="AX138" s="493"/>
      <c r="AY138" s="494"/>
      <c r="AZ138" s="105">
        <v>2</v>
      </c>
      <c r="BA138" s="483"/>
      <c r="BB138" s="484"/>
      <c r="BC138" s="484"/>
      <c r="BD138" s="485"/>
      <c r="BE138" s="486"/>
      <c r="BF138" s="487"/>
      <c r="BG138" s="106"/>
      <c r="BH138" s="488"/>
      <c r="BI138" s="489"/>
      <c r="BJ138" s="489"/>
      <c r="BK138" s="489"/>
      <c r="BL138" s="489"/>
      <c r="BM138" s="490"/>
      <c r="BN138" s="488"/>
      <c r="BO138" s="489"/>
      <c r="BP138" s="489"/>
      <c r="BQ138" s="489"/>
      <c r="BR138" s="489"/>
      <c r="BS138" s="490"/>
      <c r="BT138" s="488"/>
      <c r="BU138" s="489"/>
      <c r="BV138" s="489"/>
      <c r="BW138" s="489"/>
      <c r="BX138" s="489"/>
      <c r="BY138" s="490"/>
      <c r="BZ138" s="483"/>
      <c r="CA138" s="484"/>
      <c r="CB138" s="484"/>
      <c r="CC138" s="485"/>
      <c r="CD138" s="477"/>
      <c r="CE138" s="478"/>
      <c r="CF138" s="478"/>
      <c r="CG138" s="478"/>
      <c r="CH138" s="479"/>
      <c r="CI138" s="477"/>
      <c r="CJ138" s="478"/>
      <c r="CK138" s="478"/>
      <c r="CL138" s="478"/>
      <c r="CM138" s="479"/>
      <c r="CN138" s="477"/>
      <c r="CO138" s="478"/>
      <c r="CP138" s="478"/>
      <c r="CQ138" s="478"/>
      <c r="CR138" s="479"/>
      <c r="CS138" s="480"/>
      <c r="CT138" s="481"/>
      <c r="CU138" s="481"/>
      <c r="CV138" s="481"/>
      <c r="CW138" s="482"/>
    </row>
    <row r="139" spans="1:101" s="91" customFormat="1" ht="16.5" x14ac:dyDescent="0.15">
      <c r="A139" s="517"/>
      <c r="B139" s="102"/>
      <c r="C139" s="220" t="str">
        <f t="shared" ca="1" si="6"/>
        <v/>
      </c>
      <c r="D139" s="521"/>
      <c r="E139" s="522"/>
      <c r="F139" s="522"/>
      <c r="G139" s="522"/>
      <c r="H139" s="522"/>
      <c r="I139" s="522"/>
      <c r="J139" s="522"/>
      <c r="K139" s="527"/>
      <c r="L139" s="528"/>
      <c r="M139" s="528"/>
      <c r="N139" s="528"/>
      <c r="O139" s="528"/>
      <c r="P139" s="528"/>
      <c r="Q139" s="528"/>
      <c r="R139" s="533"/>
      <c r="S139" s="534"/>
      <c r="T139" s="533"/>
      <c r="U139" s="534"/>
      <c r="V139" s="527"/>
      <c r="W139" s="528"/>
      <c r="X139" s="528"/>
      <c r="Y139" s="528"/>
      <c r="Z139" s="528"/>
      <c r="AA139" s="528"/>
      <c r="AB139" s="528"/>
      <c r="AC139" s="527"/>
      <c r="AD139" s="528"/>
      <c r="AE139" s="528"/>
      <c r="AF139" s="528"/>
      <c r="AG139" s="528"/>
      <c r="AH139" s="528"/>
      <c r="AI139" s="528"/>
      <c r="AJ139" s="527"/>
      <c r="AK139" s="528"/>
      <c r="AL139" s="528"/>
      <c r="AM139" s="528"/>
      <c r="AN139" s="528"/>
      <c r="AO139" s="528"/>
      <c r="AP139" s="541"/>
      <c r="AQ139" s="546"/>
      <c r="AR139" s="547"/>
      <c r="AS139" s="547"/>
      <c r="AT139" s="547"/>
      <c r="AU139" s="547"/>
      <c r="AV139" s="547"/>
      <c r="AW139" s="548"/>
      <c r="AX139" s="493"/>
      <c r="AY139" s="494"/>
      <c r="AZ139" s="105">
        <v>3</v>
      </c>
      <c r="BA139" s="483"/>
      <c r="BB139" s="484"/>
      <c r="BC139" s="484"/>
      <c r="BD139" s="485"/>
      <c r="BE139" s="486"/>
      <c r="BF139" s="487"/>
      <c r="BG139" s="106"/>
      <c r="BH139" s="488"/>
      <c r="BI139" s="489"/>
      <c r="BJ139" s="489"/>
      <c r="BK139" s="489"/>
      <c r="BL139" s="489"/>
      <c r="BM139" s="490"/>
      <c r="BN139" s="488"/>
      <c r="BO139" s="489"/>
      <c r="BP139" s="489"/>
      <c r="BQ139" s="489"/>
      <c r="BR139" s="489"/>
      <c r="BS139" s="490"/>
      <c r="BT139" s="488"/>
      <c r="BU139" s="489"/>
      <c r="BV139" s="489"/>
      <c r="BW139" s="489"/>
      <c r="BX139" s="489"/>
      <c r="BY139" s="490"/>
      <c r="BZ139" s="483"/>
      <c r="CA139" s="484"/>
      <c r="CB139" s="484"/>
      <c r="CC139" s="485"/>
      <c r="CD139" s="477"/>
      <c r="CE139" s="478"/>
      <c r="CF139" s="478"/>
      <c r="CG139" s="478"/>
      <c r="CH139" s="479"/>
      <c r="CI139" s="477"/>
      <c r="CJ139" s="478"/>
      <c r="CK139" s="478"/>
      <c r="CL139" s="478"/>
      <c r="CM139" s="479"/>
      <c r="CN139" s="477"/>
      <c r="CO139" s="478"/>
      <c r="CP139" s="478"/>
      <c r="CQ139" s="478"/>
      <c r="CR139" s="479"/>
      <c r="CS139" s="480"/>
      <c r="CT139" s="481"/>
      <c r="CU139" s="481"/>
      <c r="CV139" s="481"/>
      <c r="CW139" s="482"/>
    </row>
    <row r="140" spans="1:101" s="91" customFormat="1" ht="16.5" x14ac:dyDescent="0.15">
      <c r="A140" s="517"/>
      <c r="B140" s="102"/>
      <c r="C140" s="220" t="str">
        <f t="shared" ca="1" si="6"/>
        <v/>
      </c>
      <c r="D140" s="521"/>
      <c r="E140" s="522"/>
      <c r="F140" s="522"/>
      <c r="G140" s="522"/>
      <c r="H140" s="522"/>
      <c r="I140" s="522"/>
      <c r="J140" s="522"/>
      <c r="K140" s="527"/>
      <c r="L140" s="528"/>
      <c r="M140" s="528"/>
      <c r="N140" s="528"/>
      <c r="O140" s="528"/>
      <c r="P140" s="528"/>
      <c r="Q140" s="528"/>
      <c r="R140" s="533"/>
      <c r="S140" s="534"/>
      <c r="T140" s="533"/>
      <c r="U140" s="534"/>
      <c r="V140" s="527"/>
      <c r="W140" s="528"/>
      <c r="X140" s="528"/>
      <c r="Y140" s="528"/>
      <c r="Z140" s="528"/>
      <c r="AA140" s="528"/>
      <c r="AB140" s="528"/>
      <c r="AC140" s="527"/>
      <c r="AD140" s="528"/>
      <c r="AE140" s="528"/>
      <c r="AF140" s="528"/>
      <c r="AG140" s="528"/>
      <c r="AH140" s="528"/>
      <c r="AI140" s="528"/>
      <c r="AJ140" s="527"/>
      <c r="AK140" s="528"/>
      <c r="AL140" s="528"/>
      <c r="AM140" s="528"/>
      <c r="AN140" s="528"/>
      <c r="AO140" s="528"/>
      <c r="AP140" s="541"/>
      <c r="AQ140" s="546"/>
      <c r="AR140" s="547"/>
      <c r="AS140" s="547"/>
      <c r="AT140" s="547"/>
      <c r="AU140" s="547"/>
      <c r="AV140" s="547"/>
      <c r="AW140" s="548"/>
      <c r="AX140" s="493"/>
      <c r="AY140" s="494"/>
      <c r="AZ140" s="105">
        <v>4</v>
      </c>
      <c r="BA140" s="483"/>
      <c r="BB140" s="484"/>
      <c r="BC140" s="484"/>
      <c r="BD140" s="485"/>
      <c r="BE140" s="486"/>
      <c r="BF140" s="487"/>
      <c r="BG140" s="106"/>
      <c r="BH140" s="488"/>
      <c r="BI140" s="489"/>
      <c r="BJ140" s="489"/>
      <c r="BK140" s="489"/>
      <c r="BL140" s="489"/>
      <c r="BM140" s="490"/>
      <c r="BN140" s="488"/>
      <c r="BO140" s="489"/>
      <c r="BP140" s="489"/>
      <c r="BQ140" s="489"/>
      <c r="BR140" s="489"/>
      <c r="BS140" s="490"/>
      <c r="BT140" s="488"/>
      <c r="BU140" s="489"/>
      <c r="BV140" s="489"/>
      <c r="BW140" s="489"/>
      <c r="BX140" s="489"/>
      <c r="BY140" s="490"/>
      <c r="BZ140" s="483"/>
      <c r="CA140" s="484"/>
      <c r="CB140" s="484"/>
      <c r="CC140" s="485"/>
      <c r="CD140" s="477"/>
      <c r="CE140" s="478"/>
      <c r="CF140" s="478"/>
      <c r="CG140" s="478"/>
      <c r="CH140" s="479"/>
      <c r="CI140" s="477"/>
      <c r="CJ140" s="478"/>
      <c r="CK140" s="478"/>
      <c r="CL140" s="478"/>
      <c r="CM140" s="479"/>
      <c r="CN140" s="477"/>
      <c r="CO140" s="478"/>
      <c r="CP140" s="478"/>
      <c r="CQ140" s="478"/>
      <c r="CR140" s="479"/>
      <c r="CS140" s="480"/>
      <c r="CT140" s="481"/>
      <c r="CU140" s="481"/>
      <c r="CV140" s="481"/>
      <c r="CW140" s="482"/>
    </row>
    <row r="141" spans="1:101" s="91" customFormat="1" ht="16.5" x14ac:dyDescent="0.15">
      <c r="A141" s="517"/>
      <c r="B141" s="102"/>
      <c r="C141" s="220" t="str">
        <f t="shared" ca="1" si="6"/>
        <v/>
      </c>
      <c r="D141" s="521"/>
      <c r="E141" s="522"/>
      <c r="F141" s="522"/>
      <c r="G141" s="522"/>
      <c r="H141" s="522"/>
      <c r="I141" s="522"/>
      <c r="J141" s="522"/>
      <c r="K141" s="527"/>
      <c r="L141" s="528"/>
      <c r="M141" s="528"/>
      <c r="N141" s="528"/>
      <c r="O141" s="528"/>
      <c r="P141" s="528"/>
      <c r="Q141" s="528"/>
      <c r="R141" s="533"/>
      <c r="S141" s="534"/>
      <c r="T141" s="533"/>
      <c r="U141" s="534"/>
      <c r="V141" s="527"/>
      <c r="W141" s="528"/>
      <c r="X141" s="528"/>
      <c r="Y141" s="528"/>
      <c r="Z141" s="528"/>
      <c r="AA141" s="528"/>
      <c r="AB141" s="528"/>
      <c r="AC141" s="527"/>
      <c r="AD141" s="528"/>
      <c r="AE141" s="528"/>
      <c r="AF141" s="528"/>
      <c r="AG141" s="528"/>
      <c r="AH141" s="528"/>
      <c r="AI141" s="528"/>
      <c r="AJ141" s="527"/>
      <c r="AK141" s="528"/>
      <c r="AL141" s="528"/>
      <c r="AM141" s="528"/>
      <c r="AN141" s="528"/>
      <c r="AO141" s="528"/>
      <c r="AP141" s="541"/>
      <c r="AQ141" s="546"/>
      <c r="AR141" s="547"/>
      <c r="AS141" s="547"/>
      <c r="AT141" s="547"/>
      <c r="AU141" s="547"/>
      <c r="AV141" s="547"/>
      <c r="AW141" s="548"/>
      <c r="AX141" s="493"/>
      <c r="AY141" s="494"/>
      <c r="AZ141" s="105">
        <v>5</v>
      </c>
      <c r="BA141" s="483"/>
      <c r="BB141" s="484"/>
      <c r="BC141" s="484"/>
      <c r="BD141" s="485"/>
      <c r="BE141" s="486"/>
      <c r="BF141" s="487"/>
      <c r="BG141" s="106"/>
      <c r="BH141" s="488"/>
      <c r="BI141" s="489"/>
      <c r="BJ141" s="489"/>
      <c r="BK141" s="489"/>
      <c r="BL141" s="489"/>
      <c r="BM141" s="490"/>
      <c r="BN141" s="488"/>
      <c r="BO141" s="489"/>
      <c r="BP141" s="489"/>
      <c r="BQ141" s="489"/>
      <c r="BR141" s="489"/>
      <c r="BS141" s="490"/>
      <c r="BT141" s="488"/>
      <c r="BU141" s="489"/>
      <c r="BV141" s="489"/>
      <c r="BW141" s="489"/>
      <c r="BX141" s="489"/>
      <c r="BY141" s="490"/>
      <c r="BZ141" s="483"/>
      <c r="CA141" s="484"/>
      <c r="CB141" s="484"/>
      <c r="CC141" s="485"/>
      <c r="CD141" s="477"/>
      <c r="CE141" s="478"/>
      <c r="CF141" s="478"/>
      <c r="CG141" s="478"/>
      <c r="CH141" s="479"/>
      <c r="CI141" s="477"/>
      <c r="CJ141" s="478"/>
      <c r="CK141" s="478"/>
      <c r="CL141" s="478"/>
      <c r="CM141" s="479"/>
      <c r="CN141" s="477"/>
      <c r="CO141" s="478"/>
      <c r="CP141" s="478"/>
      <c r="CQ141" s="478"/>
      <c r="CR141" s="479"/>
      <c r="CS141" s="480"/>
      <c r="CT141" s="481"/>
      <c r="CU141" s="481"/>
      <c r="CV141" s="481"/>
      <c r="CW141" s="482"/>
    </row>
    <row r="142" spans="1:101" s="91" customFormat="1" ht="16.5" x14ac:dyDescent="0.15">
      <c r="A142" s="518"/>
      <c r="B142" s="107"/>
      <c r="C142" s="220" t="str">
        <f t="shared" ca="1" si="6"/>
        <v/>
      </c>
      <c r="D142" s="523"/>
      <c r="E142" s="650"/>
      <c r="F142" s="650"/>
      <c r="G142" s="650"/>
      <c r="H142" s="650"/>
      <c r="I142" s="650"/>
      <c r="J142" s="650"/>
      <c r="K142" s="529"/>
      <c r="L142" s="530"/>
      <c r="M142" s="530"/>
      <c r="N142" s="530"/>
      <c r="O142" s="530"/>
      <c r="P142" s="530"/>
      <c r="Q142" s="530"/>
      <c r="R142" s="535"/>
      <c r="S142" s="536"/>
      <c r="T142" s="535"/>
      <c r="U142" s="537"/>
      <c r="V142" s="529"/>
      <c r="W142" s="539"/>
      <c r="X142" s="539"/>
      <c r="Y142" s="539"/>
      <c r="Z142" s="539"/>
      <c r="AA142" s="539"/>
      <c r="AB142" s="539"/>
      <c r="AC142" s="529"/>
      <c r="AD142" s="539"/>
      <c r="AE142" s="539"/>
      <c r="AF142" s="539"/>
      <c r="AG142" s="539"/>
      <c r="AH142" s="539"/>
      <c r="AI142" s="539"/>
      <c r="AJ142" s="529"/>
      <c r="AK142" s="539"/>
      <c r="AL142" s="539"/>
      <c r="AM142" s="539"/>
      <c r="AN142" s="539"/>
      <c r="AO142" s="539"/>
      <c r="AP142" s="542"/>
      <c r="AQ142" s="549"/>
      <c r="AR142" s="550"/>
      <c r="AS142" s="550"/>
      <c r="AT142" s="550"/>
      <c r="AU142" s="550"/>
      <c r="AV142" s="550"/>
      <c r="AW142" s="551"/>
      <c r="AX142" s="495"/>
      <c r="AY142" s="496"/>
      <c r="AZ142" s="108">
        <v>6</v>
      </c>
      <c r="BA142" s="505"/>
      <c r="BB142" s="506"/>
      <c r="BC142" s="506"/>
      <c r="BD142" s="507"/>
      <c r="BE142" s="644"/>
      <c r="BF142" s="645"/>
      <c r="BG142" s="109"/>
      <c r="BH142" s="510"/>
      <c r="BI142" s="511"/>
      <c r="BJ142" s="511"/>
      <c r="BK142" s="511"/>
      <c r="BL142" s="511"/>
      <c r="BM142" s="512"/>
      <c r="BN142" s="510"/>
      <c r="BO142" s="511"/>
      <c r="BP142" s="511"/>
      <c r="BQ142" s="511"/>
      <c r="BR142" s="511"/>
      <c r="BS142" s="512"/>
      <c r="BT142" s="510"/>
      <c r="BU142" s="511"/>
      <c r="BV142" s="511"/>
      <c r="BW142" s="511"/>
      <c r="BX142" s="511"/>
      <c r="BY142" s="512"/>
      <c r="BZ142" s="505"/>
      <c r="CA142" s="506"/>
      <c r="CB142" s="506"/>
      <c r="CC142" s="507"/>
      <c r="CD142" s="477"/>
      <c r="CE142" s="478"/>
      <c r="CF142" s="478"/>
      <c r="CG142" s="478"/>
      <c r="CH142" s="479"/>
      <c r="CI142" s="477"/>
      <c r="CJ142" s="478"/>
      <c r="CK142" s="478"/>
      <c r="CL142" s="478"/>
      <c r="CM142" s="479"/>
      <c r="CN142" s="477"/>
      <c r="CO142" s="478"/>
      <c r="CP142" s="478"/>
      <c r="CQ142" s="478"/>
      <c r="CR142" s="479"/>
      <c r="CS142" s="480"/>
      <c r="CT142" s="481"/>
      <c r="CU142" s="481"/>
      <c r="CV142" s="481"/>
      <c r="CW142" s="482"/>
    </row>
    <row r="143" spans="1:101" s="91" customFormat="1" ht="16.149999999999999" customHeight="1" x14ac:dyDescent="0.15">
      <c r="A143" s="516">
        <v>23</v>
      </c>
      <c r="B143" s="102"/>
      <c r="C143" s="216" t="str">
        <f t="shared" ca="1" si="6"/>
        <v/>
      </c>
      <c r="D143" s="519"/>
      <c r="E143" s="649"/>
      <c r="F143" s="649"/>
      <c r="G143" s="649"/>
      <c r="H143" s="649"/>
      <c r="I143" s="649"/>
      <c r="J143" s="649"/>
      <c r="K143" s="525"/>
      <c r="L143" s="526"/>
      <c r="M143" s="526"/>
      <c r="N143" s="526"/>
      <c r="O143" s="526"/>
      <c r="P143" s="526"/>
      <c r="Q143" s="526"/>
      <c r="R143" s="531"/>
      <c r="S143" s="532"/>
      <c r="T143" s="531"/>
      <c r="U143" s="532"/>
      <c r="V143" s="525"/>
      <c r="W143" s="538"/>
      <c r="X143" s="538"/>
      <c r="Y143" s="538"/>
      <c r="Z143" s="538"/>
      <c r="AA143" s="538"/>
      <c r="AB143" s="538"/>
      <c r="AC143" s="525"/>
      <c r="AD143" s="538"/>
      <c r="AE143" s="538"/>
      <c r="AF143" s="538"/>
      <c r="AG143" s="538"/>
      <c r="AH143" s="538"/>
      <c r="AI143" s="538"/>
      <c r="AJ143" s="525"/>
      <c r="AK143" s="538"/>
      <c r="AL143" s="538"/>
      <c r="AM143" s="538"/>
      <c r="AN143" s="538"/>
      <c r="AO143" s="538"/>
      <c r="AP143" s="540"/>
      <c r="AQ143" s="525"/>
      <c r="AR143" s="544"/>
      <c r="AS143" s="544"/>
      <c r="AT143" s="544"/>
      <c r="AU143" s="544"/>
      <c r="AV143" s="544"/>
      <c r="AW143" s="545"/>
      <c r="AX143" s="491"/>
      <c r="AY143" s="492"/>
      <c r="AZ143" s="103">
        <v>1</v>
      </c>
      <c r="BA143" s="497"/>
      <c r="BB143" s="498"/>
      <c r="BC143" s="498"/>
      <c r="BD143" s="499"/>
      <c r="BE143" s="500"/>
      <c r="BF143" s="501"/>
      <c r="BG143" s="271"/>
      <c r="BH143" s="502"/>
      <c r="BI143" s="503"/>
      <c r="BJ143" s="503"/>
      <c r="BK143" s="503"/>
      <c r="BL143" s="503"/>
      <c r="BM143" s="504"/>
      <c r="BN143" s="502"/>
      <c r="BO143" s="503"/>
      <c r="BP143" s="503"/>
      <c r="BQ143" s="503"/>
      <c r="BR143" s="503"/>
      <c r="BS143" s="504"/>
      <c r="BT143" s="502"/>
      <c r="BU143" s="503"/>
      <c r="BV143" s="503"/>
      <c r="BW143" s="503"/>
      <c r="BX143" s="503"/>
      <c r="BY143" s="504"/>
      <c r="BZ143" s="497"/>
      <c r="CA143" s="498"/>
      <c r="CB143" s="498"/>
      <c r="CC143" s="499"/>
      <c r="CD143" s="477"/>
      <c r="CE143" s="478"/>
      <c r="CF143" s="478"/>
      <c r="CG143" s="478"/>
      <c r="CH143" s="479"/>
      <c r="CI143" s="477"/>
      <c r="CJ143" s="478"/>
      <c r="CK143" s="478"/>
      <c r="CL143" s="478"/>
      <c r="CM143" s="479"/>
      <c r="CN143" s="477"/>
      <c r="CO143" s="478"/>
      <c r="CP143" s="478"/>
      <c r="CQ143" s="478"/>
      <c r="CR143" s="479"/>
      <c r="CS143" s="480"/>
      <c r="CT143" s="481"/>
      <c r="CU143" s="481"/>
      <c r="CV143" s="481"/>
      <c r="CW143" s="482"/>
    </row>
    <row r="144" spans="1:101" s="91" customFormat="1" ht="16.5" x14ac:dyDescent="0.15">
      <c r="A144" s="517"/>
      <c r="B144" s="102"/>
      <c r="C144" s="220" t="str">
        <f t="shared" ca="1" si="6"/>
        <v/>
      </c>
      <c r="D144" s="521"/>
      <c r="E144" s="522"/>
      <c r="F144" s="522"/>
      <c r="G144" s="522"/>
      <c r="H144" s="522"/>
      <c r="I144" s="522"/>
      <c r="J144" s="522"/>
      <c r="K144" s="527"/>
      <c r="L144" s="528"/>
      <c r="M144" s="528"/>
      <c r="N144" s="528"/>
      <c r="O144" s="528"/>
      <c r="P144" s="528"/>
      <c r="Q144" s="528"/>
      <c r="R144" s="533"/>
      <c r="S144" s="534"/>
      <c r="T144" s="533"/>
      <c r="U144" s="534"/>
      <c r="V144" s="527"/>
      <c r="W144" s="528"/>
      <c r="X144" s="528"/>
      <c r="Y144" s="528"/>
      <c r="Z144" s="528"/>
      <c r="AA144" s="528"/>
      <c r="AB144" s="528"/>
      <c r="AC144" s="527"/>
      <c r="AD144" s="528"/>
      <c r="AE144" s="528"/>
      <c r="AF144" s="528"/>
      <c r="AG144" s="528"/>
      <c r="AH144" s="528"/>
      <c r="AI144" s="528"/>
      <c r="AJ144" s="527"/>
      <c r="AK144" s="528"/>
      <c r="AL144" s="528"/>
      <c r="AM144" s="528"/>
      <c r="AN144" s="528"/>
      <c r="AO144" s="528"/>
      <c r="AP144" s="541"/>
      <c r="AQ144" s="546"/>
      <c r="AR144" s="547"/>
      <c r="AS144" s="547"/>
      <c r="AT144" s="547"/>
      <c r="AU144" s="547"/>
      <c r="AV144" s="547"/>
      <c r="AW144" s="548"/>
      <c r="AX144" s="493"/>
      <c r="AY144" s="494"/>
      <c r="AZ144" s="105">
        <v>2</v>
      </c>
      <c r="BA144" s="483"/>
      <c r="BB144" s="484"/>
      <c r="BC144" s="484"/>
      <c r="BD144" s="485"/>
      <c r="BE144" s="486"/>
      <c r="BF144" s="487"/>
      <c r="BG144" s="106"/>
      <c r="BH144" s="488"/>
      <c r="BI144" s="489"/>
      <c r="BJ144" s="489"/>
      <c r="BK144" s="489"/>
      <c r="BL144" s="489"/>
      <c r="BM144" s="490"/>
      <c r="BN144" s="488"/>
      <c r="BO144" s="489"/>
      <c r="BP144" s="489"/>
      <c r="BQ144" s="489"/>
      <c r="BR144" s="489"/>
      <c r="BS144" s="490"/>
      <c r="BT144" s="488"/>
      <c r="BU144" s="489"/>
      <c r="BV144" s="489"/>
      <c r="BW144" s="489"/>
      <c r="BX144" s="489"/>
      <c r="BY144" s="490"/>
      <c r="BZ144" s="483"/>
      <c r="CA144" s="484"/>
      <c r="CB144" s="484"/>
      <c r="CC144" s="485"/>
      <c r="CD144" s="477"/>
      <c r="CE144" s="478"/>
      <c r="CF144" s="478"/>
      <c r="CG144" s="478"/>
      <c r="CH144" s="479"/>
      <c r="CI144" s="477"/>
      <c r="CJ144" s="478"/>
      <c r="CK144" s="478"/>
      <c r="CL144" s="478"/>
      <c r="CM144" s="479"/>
      <c r="CN144" s="477"/>
      <c r="CO144" s="478"/>
      <c r="CP144" s="478"/>
      <c r="CQ144" s="478"/>
      <c r="CR144" s="479"/>
      <c r="CS144" s="480"/>
      <c r="CT144" s="481"/>
      <c r="CU144" s="481"/>
      <c r="CV144" s="481"/>
      <c r="CW144" s="482"/>
    </row>
    <row r="145" spans="1:101" s="91" customFormat="1" ht="16.5" x14ac:dyDescent="0.15">
      <c r="A145" s="517"/>
      <c r="B145" s="102"/>
      <c r="C145" s="220" t="str">
        <f t="shared" ca="1" si="6"/>
        <v/>
      </c>
      <c r="D145" s="521"/>
      <c r="E145" s="522"/>
      <c r="F145" s="522"/>
      <c r="G145" s="522"/>
      <c r="H145" s="522"/>
      <c r="I145" s="522"/>
      <c r="J145" s="522"/>
      <c r="K145" s="527"/>
      <c r="L145" s="528"/>
      <c r="M145" s="528"/>
      <c r="N145" s="528"/>
      <c r="O145" s="528"/>
      <c r="P145" s="528"/>
      <c r="Q145" s="528"/>
      <c r="R145" s="533"/>
      <c r="S145" s="534"/>
      <c r="T145" s="533"/>
      <c r="U145" s="534"/>
      <c r="V145" s="527"/>
      <c r="W145" s="528"/>
      <c r="X145" s="528"/>
      <c r="Y145" s="528"/>
      <c r="Z145" s="528"/>
      <c r="AA145" s="528"/>
      <c r="AB145" s="528"/>
      <c r="AC145" s="527"/>
      <c r="AD145" s="528"/>
      <c r="AE145" s="528"/>
      <c r="AF145" s="528"/>
      <c r="AG145" s="528"/>
      <c r="AH145" s="528"/>
      <c r="AI145" s="528"/>
      <c r="AJ145" s="527"/>
      <c r="AK145" s="528"/>
      <c r="AL145" s="528"/>
      <c r="AM145" s="528"/>
      <c r="AN145" s="528"/>
      <c r="AO145" s="528"/>
      <c r="AP145" s="541"/>
      <c r="AQ145" s="546"/>
      <c r="AR145" s="547"/>
      <c r="AS145" s="547"/>
      <c r="AT145" s="547"/>
      <c r="AU145" s="547"/>
      <c r="AV145" s="547"/>
      <c r="AW145" s="548"/>
      <c r="AX145" s="493"/>
      <c r="AY145" s="494"/>
      <c r="AZ145" s="105">
        <v>3</v>
      </c>
      <c r="BA145" s="483"/>
      <c r="BB145" s="484"/>
      <c r="BC145" s="484"/>
      <c r="BD145" s="485"/>
      <c r="BE145" s="486"/>
      <c r="BF145" s="487"/>
      <c r="BG145" s="106"/>
      <c r="BH145" s="488"/>
      <c r="BI145" s="489"/>
      <c r="BJ145" s="489"/>
      <c r="BK145" s="489"/>
      <c r="BL145" s="489"/>
      <c r="BM145" s="490"/>
      <c r="BN145" s="488"/>
      <c r="BO145" s="489"/>
      <c r="BP145" s="489"/>
      <c r="BQ145" s="489"/>
      <c r="BR145" s="489"/>
      <c r="BS145" s="490"/>
      <c r="BT145" s="488"/>
      <c r="BU145" s="489"/>
      <c r="BV145" s="489"/>
      <c r="BW145" s="489"/>
      <c r="BX145" s="489"/>
      <c r="BY145" s="490"/>
      <c r="BZ145" s="483"/>
      <c r="CA145" s="484"/>
      <c r="CB145" s="484"/>
      <c r="CC145" s="485"/>
      <c r="CD145" s="477"/>
      <c r="CE145" s="478"/>
      <c r="CF145" s="478"/>
      <c r="CG145" s="478"/>
      <c r="CH145" s="479"/>
      <c r="CI145" s="477"/>
      <c r="CJ145" s="478"/>
      <c r="CK145" s="478"/>
      <c r="CL145" s="478"/>
      <c r="CM145" s="479"/>
      <c r="CN145" s="477"/>
      <c r="CO145" s="478"/>
      <c r="CP145" s="478"/>
      <c r="CQ145" s="478"/>
      <c r="CR145" s="479"/>
      <c r="CS145" s="480"/>
      <c r="CT145" s="481"/>
      <c r="CU145" s="481"/>
      <c r="CV145" s="481"/>
      <c r="CW145" s="482"/>
    </row>
    <row r="146" spans="1:101" s="91" customFormat="1" ht="16.5" x14ac:dyDescent="0.15">
      <c r="A146" s="517"/>
      <c r="B146" s="102"/>
      <c r="C146" s="220" t="str">
        <f t="shared" ca="1" si="6"/>
        <v/>
      </c>
      <c r="D146" s="521"/>
      <c r="E146" s="522"/>
      <c r="F146" s="522"/>
      <c r="G146" s="522"/>
      <c r="H146" s="522"/>
      <c r="I146" s="522"/>
      <c r="J146" s="522"/>
      <c r="K146" s="527"/>
      <c r="L146" s="528"/>
      <c r="M146" s="528"/>
      <c r="N146" s="528"/>
      <c r="O146" s="528"/>
      <c r="P146" s="528"/>
      <c r="Q146" s="528"/>
      <c r="R146" s="533"/>
      <c r="S146" s="534"/>
      <c r="T146" s="533"/>
      <c r="U146" s="534"/>
      <c r="V146" s="527"/>
      <c r="W146" s="528"/>
      <c r="X146" s="528"/>
      <c r="Y146" s="528"/>
      <c r="Z146" s="528"/>
      <c r="AA146" s="528"/>
      <c r="AB146" s="528"/>
      <c r="AC146" s="527"/>
      <c r="AD146" s="528"/>
      <c r="AE146" s="528"/>
      <c r="AF146" s="528"/>
      <c r="AG146" s="528"/>
      <c r="AH146" s="528"/>
      <c r="AI146" s="528"/>
      <c r="AJ146" s="527"/>
      <c r="AK146" s="528"/>
      <c r="AL146" s="528"/>
      <c r="AM146" s="528"/>
      <c r="AN146" s="528"/>
      <c r="AO146" s="528"/>
      <c r="AP146" s="541"/>
      <c r="AQ146" s="546"/>
      <c r="AR146" s="547"/>
      <c r="AS146" s="547"/>
      <c r="AT146" s="547"/>
      <c r="AU146" s="547"/>
      <c r="AV146" s="547"/>
      <c r="AW146" s="548"/>
      <c r="AX146" s="493"/>
      <c r="AY146" s="494"/>
      <c r="AZ146" s="105">
        <v>4</v>
      </c>
      <c r="BA146" s="483"/>
      <c r="BB146" s="484"/>
      <c r="BC146" s="484"/>
      <c r="BD146" s="485"/>
      <c r="BE146" s="486"/>
      <c r="BF146" s="487"/>
      <c r="BG146" s="106"/>
      <c r="BH146" s="488"/>
      <c r="BI146" s="489"/>
      <c r="BJ146" s="489"/>
      <c r="BK146" s="489"/>
      <c r="BL146" s="489"/>
      <c r="BM146" s="490"/>
      <c r="BN146" s="488"/>
      <c r="BO146" s="489"/>
      <c r="BP146" s="489"/>
      <c r="BQ146" s="489"/>
      <c r="BR146" s="489"/>
      <c r="BS146" s="490"/>
      <c r="BT146" s="488"/>
      <c r="BU146" s="489"/>
      <c r="BV146" s="489"/>
      <c r="BW146" s="489"/>
      <c r="BX146" s="489"/>
      <c r="BY146" s="490"/>
      <c r="BZ146" s="483"/>
      <c r="CA146" s="484"/>
      <c r="CB146" s="484"/>
      <c r="CC146" s="485"/>
      <c r="CD146" s="477"/>
      <c r="CE146" s="478"/>
      <c r="CF146" s="478"/>
      <c r="CG146" s="478"/>
      <c r="CH146" s="479"/>
      <c r="CI146" s="477"/>
      <c r="CJ146" s="478"/>
      <c r="CK146" s="478"/>
      <c r="CL146" s="478"/>
      <c r="CM146" s="479"/>
      <c r="CN146" s="477"/>
      <c r="CO146" s="478"/>
      <c r="CP146" s="478"/>
      <c r="CQ146" s="478"/>
      <c r="CR146" s="479"/>
      <c r="CS146" s="480"/>
      <c r="CT146" s="481"/>
      <c r="CU146" s="481"/>
      <c r="CV146" s="481"/>
      <c r="CW146" s="482"/>
    </row>
    <row r="147" spans="1:101" s="91" customFormat="1" ht="16.5" x14ac:dyDescent="0.15">
      <c r="A147" s="517"/>
      <c r="B147" s="102"/>
      <c r="C147" s="220" t="str">
        <f t="shared" ca="1" si="6"/>
        <v/>
      </c>
      <c r="D147" s="521"/>
      <c r="E147" s="522"/>
      <c r="F147" s="522"/>
      <c r="G147" s="522"/>
      <c r="H147" s="522"/>
      <c r="I147" s="522"/>
      <c r="J147" s="522"/>
      <c r="K147" s="527"/>
      <c r="L147" s="528"/>
      <c r="M147" s="528"/>
      <c r="N147" s="528"/>
      <c r="O147" s="528"/>
      <c r="P147" s="528"/>
      <c r="Q147" s="528"/>
      <c r="R147" s="533"/>
      <c r="S147" s="534"/>
      <c r="T147" s="533"/>
      <c r="U147" s="534"/>
      <c r="V147" s="527"/>
      <c r="W147" s="528"/>
      <c r="X147" s="528"/>
      <c r="Y147" s="528"/>
      <c r="Z147" s="528"/>
      <c r="AA147" s="528"/>
      <c r="AB147" s="528"/>
      <c r="AC147" s="527"/>
      <c r="AD147" s="528"/>
      <c r="AE147" s="528"/>
      <c r="AF147" s="528"/>
      <c r="AG147" s="528"/>
      <c r="AH147" s="528"/>
      <c r="AI147" s="528"/>
      <c r="AJ147" s="527"/>
      <c r="AK147" s="528"/>
      <c r="AL147" s="528"/>
      <c r="AM147" s="528"/>
      <c r="AN147" s="528"/>
      <c r="AO147" s="528"/>
      <c r="AP147" s="541"/>
      <c r="AQ147" s="546"/>
      <c r="AR147" s="547"/>
      <c r="AS147" s="547"/>
      <c r="AT147" s="547"/>
      <c r="AU147" s="547"/>
      <c r="AV147" s="547"/>
      <c r="AW147" s="548"/>
      <c r="AX147" s="493"/>
      <c r="AY147" s="494"/>
      <c r="AZ147" s="105">
        <v>5</v>
      </c>
      <c r="BA147" s="483"/>
      <c r="BB147" s="484"/>
      <c r="BC147" s="484"/>
      <c r="BD147" s="485"/>
      <c r="BE147" s="486"/>
      <c r="BF147" s="487"/>
      <c r="BG147" s="106"/>
      <c r="BH147" s="488"/>
      <c r="BI147" s="489"/>
      <c r="BJ147" s="489"/>
      <c r="BK147" s="489"/>
      <c r="BL147" s="489"/>
      <c r="BM147" s="490"/>
      <c r="BN147" s="488"/>
      <c r="BO147" s="489"/>
      <c r="BP147" s="489"/>
      <c r="BQ147" s="489"/>
      <c r="BR147" s="489"/>
      <c r="BS147" s="490"/>
      <c r="BT147" s="488"/>
      <c r="BU147" s="489"/>
      <c r="BV147" s="489"/>
      <c r="BW147" s="489"/>
      <c r="BX147" s="489"/>
      <c r="BY147" s="490"/>
      <c r="BZ147" s="483"/>
      <c r="CA147" s="484"/>
      <c r="CB147" s="484"/>
      <c r="CC147" s="485"/>
      <c r="CD147" s="477"/>
      <c r="CE147" s="478"/>
      <c r="CF147" s="478"/>
      <c r="CG147" s="478"/>
      <c r="CH147" s="479"/>
      <c r="CI147" s="477"/>
      <c r="CJ147" s="478"/>
      <c r="CK147" s="478"/>
      <c r="CL147" s="478"/>
      <c r="CM147" s="479"/>
      <c r="CN147" s="477"/>
      <c r="CO147" s="478"/>
      <c r="CP147" s="478"/>
      <c r="CQ147" s="478"/>
      <c r="CR147" s="479"/>
      <c r="CS147" s="480"/>
      <c r="CT147" s="481"/>
      <c r="CU147" s="481"/>
      <c r="CV147" s="481"/>
      <c r="CW147" s="482"/>
    </row>
    <row r="148" spans="1:101" s="91" customFormat="1" ht="16.5" x14ac:dyDescent="0.15">
      <c r="A148" s="518"/>
      <c r="B148" s="107"/>
      <c r="C148" s="219" t="str">
        <f t="shared" ca="1" si="6"/>
        <v/>
      </c>
      <c r="D148" s="523"/>
      <c r="E148" s="650"/>
      <c r="F148" s="650"/>
      <c r="G148" s="650"/>
      <c r="H148" s="650"/>
      <c r="I148" s="650"/>
      <c r="J148" s="650"/>
      <c r="K148" s="529"/>
      <c r="L148" s="530"/>
      <c r="M148" s="530"/>
      <c r="N148" s="530"/>
      <c r="O148" s="530"/>
      <c r="P148" s="530"/>
      <c r="Q148" s="530"/>
      <c r="R148" s="535"/>
      <c r="S148" s="537"/>
      <c r="T148" s="535"/>
      <c r="U148" s="537"/>
      <c r="V148" s="529"/>
      <c r="W148" s="539"/>
      <c r="X148" s="539"/>
      <c r="Y148" s="539"/>
      <c r="Z148" s="539"/>
      <c r="AA148" s="539"/>
      <c r="AB148" s="539"/>
      <c r="AC148" s="529"/>
      <c r="AD148" s="539"/>
      <c r="AE148" s="539"/>
      <c r="AF148" s="539"/>
      <c r="AG148" s="539"/>
      <c r="AH148" s="539"/>
      <c r="AI148" s="539"/>
      <c r="AJ148" s="529"/>
      <c r="AK148" s="539"/>
      <c r="AL148" s="539"/>
      <c r="AM148" s="539"/>
      <c r="AN148" s="539"/>
      <c r="AO148" s="539"/>
      <c r="AP148" s="542"/>
      <c r="AQ148" s="549"/>
      <c r="AR148" s="550"/>
      <c r="AS148" s="550"/>
      <c r="AT148" s="550"/>
      <c r="AU148" s="550"/>
      <c r="AV148" s="550"/>
      <c r="AW148" s="551"/>
      <c r="AX148" s="495"/>
      <c r="AY148" s="496"/>
      <c r="AZ148" s="108">
        <v>6</v>
      </c>
      <c r="BA148" s="513"/>
      <c r="BB148" s="514"/>
      <c r="BC148" s="514"/>
      <c r="BD148" s="515"/>
      <c r="BE148" s="644"/>
      <c r="BF148" s="645"/>
      <c r="BG148" s="111"/>
      <c r="BH148" s="510"/>
      <c r="BI148" s="511"/>
      <c r="BJ148" s="511"/>
      <c r="BK148" s="511"/>
      <c r="BL148" s="511"/>
      <c r="BM148" s="512"/>
      <c r="BN148" s="510"/>
      <c r="BO148" s="511"/>
      <c r="BP148" s="511"/>
      <c r="BQ148" s="511"/>
      <c r="BR148" s="511"/>
      <c r="BS148" s="512"/>
      <c r="BT148" s="510"/>
      <c r="BU148" s="511"/>
      <c r="BV148" s="511"/>
      <c r="BW148" s="511"/>
      <c r="BX148" s="511"/>
      <c r="BY148" s="512"/>
      <c r="BZ148" s="513"/>
      <c r="CA148" s="514"/>
      <c r="CB148" s="514"/>
      <c r="CC148" s="515"/>
      <c r="CD148" s="477"/>
      <c r="CE148" s="478"/>
      <c r="CF148" s="478"/>
      <c r="CG148" s="478"/>
      <c r="CH148" s="479"/>
      <c r="CI148" s="477"/>
      <c r="CJ148" s="478"/>
      <c r="CK148" s="478"/>
      <c r="CL148" s="478"/>
      <c r="CM148" s="479"/>
      <c r="CN148" s="477"/>
      <c r="CO148" s="478"/>
      <c r="CP148" s="478"/>
      <c r="CQ148" s="478"/>
      <c r="CR148" s="479"/>
      <c r="CS148" s="480"/>
      <c r="CT148" s="481"/>
      <c r="CU148" s="481"/>
      <c r="CV148" s="481"/>
      <c r="CW148" s="482"/>
    </row>
    <row r="149" spans="1:101" s="91" customFormat="1" ht="16.149999999999999" customHeight="1" x14ac:dyDescent="0.15">
      <c r="A149" s="516">
        <v>24</v>
      </c>
      <c r="B149" s="102"/>
      <c r="C149" s="222" t="str">
        <f t="shared" ca="1" si="6"/>
        <v/>
      </c>
      <c r="D149" s="519"/>
      <c r="E149" s="649"/>
      <c r="F149" s="649"/>
      <c r="G149" s="649"/>
      <c r="H149" s="649"/>
      <c r="I149" s="649"/>
      <c r="J149" s="649"/>
      <c r="K149" s="525"/>
      <c r="L149" s="526"/>
      <c r="M149" s="526"/>
      <c r="N149" s="526"/>
      <c r="O149" s="526"/>
      <c r="P149" s="526"/>
      <c r="Q149" s="526"/>
      <c r="R149" s="531"/>
      <c r="S149" s="532"/>
      <c r="T149" s="531"/>
      <c r="U149" s="532"/>
      <c r="V149" s="525"/>
      <c r="W149" s="538"/>
      <c r="X149" s="538"/>
      <c r="Y149" s="538"/>
      <c r="Z149" s="538"/>
      <c r="AA149" s="538"/>
      <c r="AB149" s="538"/>
      <c r="AC149" s="525"/>
      <c r="AD149" s="538"/>
      <c r="AE149" s="538"/>
      <c r="AF149" s="538"/>
      <c r="AG149" s="538"/>
      <c r="AH149" s="538"/>
      <c r="AI149" s="538"/>
      <c r="AJ149" s="525"/>
      <c r="AK149" s="538"/>
      <c r="AL149" s="538"/>
      <c r="AM149" s="538"/>
      <c r="AN149" s="538"/>
      <c r="AO149" s="538"/>
      <c r="AP149" s="540"/>
      <c r="AQ149" s="525"/>
      <c r="AR149" s="544"/>
      <c r="AS149" s="544"/>
      <c r="AT149" s="544"/>
      <c r="AU149" s="544"/>
      <c r="AV149" s="544"/>
      <c r="AW149" s="545"/>
      <c r="AX149" s="491"/>
      <c r="AY149" s="492"/>
      <c r="AZ149" s="103">
        <v>1</v>
      </c>
      <c r="BA149" s="497"/>
      <c r="BB149" s="498"/>
      <c r="BC149" s="498"/>
      <c r="BD149" s="499"/>
      <c r="BE149" s="500"/>
      <c r="BF149" s="501"/>
      <c r="BG149" s="271"/>
      <c r="BH149" s="502"/>
      <c r="BI149" s="503"/>
      <c r="BJ149" s="503"/>
      <c r="BK149" s="503"/>
      <c r="BL149" s="503"/>
      <c r="BM149" s="504"/>
      <c r="BN149" s="502"/>
      <c r="BO149" s="503"/>
      <c r="BP149" s="503"/>
      <c r="BQ149" s="503"/>
      <c r="BR149" s="503"/>
      <c r="BS149" s="504"/>
      <c r="BT149" s="502"/>
      <c r="BU149" s="503"/>
      <c r="BV149" s="503"/>
      <c r="BW149" s="503"/>
      <c r="BX149" s="503"/>
      <c r="BY149" s="504"/>
      <c r="BZ149" s="552"/>
      <c r="CA149" s="553"/>
      <c r="CB149" s="553"/>
      <c r="CC149" s="554"/>
      <c r="CD149" s="477"/>
      <c r="CE149" s="478"/>
      <c r="CF149" s="478"/>
      <c r="CG149" s="478"/>
      <c r="CH149" s="479"/>
      <c r="CI149" s="477"/>
      <c r="CJ149" s="478"/>
      <c r="CK149" s="478"/>
      <c r="CL149" s="478"/>
      <c r="CM149" s="479"/>
      <c r="CN149" s="477"/>
      <c r="CO149" s="478"/>
      <c r="CP149" s="478"/>
      <c r="CQ149" s="478"/>
      <c r="CR149" s="479"/>
      <c r="CS149" s="480"/>
      <c r="CT149" s="481"/>
      <c r="CU149" s="481"/>
      <c r="CV149" s="481"/>
      <c r="CW149" s="482"/>
    </row>
    <row r="150" spans="1:101" s="91" customFormat="1" ht="16.5" x14ac:dyDescent="0.15">
      <c r="A150" s="517"/>
      <c r="B150" s="102"/>
      <c r="C150" s="220" t="str">
        <f t="shared" ca="1" si="6"/>
        <v/>
      </c>
      <c r="D150" s="521"/>
      <c r="E150" s="522"/>
      <c r="F150" s="522"/>
      <c r="G150" s="522"/>
      <c r="H150" s="522"/>
      <c r="I150" s="522"/>
      <c r="J150" s="522"/>
      <c r="K150" s="527"/>
      <c r="L150" s="528"/>
      <c r="M150" s="528"/>
      <c r="N150" s="528"/>
      <c r="O150" s="528"/>
      <c r="P150" s="528"/>
      <c r="Q150" s="528"/>
      <c r="R150" s="533"/>
      <c r="S150" s="534"/>
      <c r="T150" s="533"/>
      <c r="U150" s="534"/>
      <c r="V150" s="527"/>
      <c r="W150" s="528"/>
      <c r="X150" s="528"/>
      <c r="Y150" s="528"/>
      <c r="Z150" s="528"/>
      <c r="AA150" s="528"/>
      <c r="AB150" s="528"/>
      <c r="AC150" s="527"/>
      <c r="AD150" s="528"/>
      <c r="AE150" s="528"/>
      <c r="AF150" s="528"/>
      <c r="AG150" s="528"/>
      <c r="AH150" s="528"/>
      <c r="AI150" s="528"/>
      <c r="AJ150" s="527"/>
      <c r="AK150" s="528"/>
      <c r="AL150" s="528"/>
      <c r="AM150" s="528"/>
      <c r="AN150" s="528"/>
      <c r="AO150" s="528"/>
      <c r="AP150" s="541"/>
      <c r="AQ150" s="546"/>
      <c r="AR150" s="547"/>
      <c r="AS150" s="547"/>
      <c r="AT150" s="547"/>
      <c r="AU150" s="547"/>
      <c r="AV150" s="547"/>
      <c r="AW150" s="548"/>
      <c r="AX150" s="493"/>
      <c r="AY150" s="494"/>
      <c r="AZ150" s="105">
        <v>2</v>
      </c>
      <c r="BA150" s="483"/>
      <c r="BB150" s="484"/>
      <c r="BC150" s="484"/>
      <c r="BD150" s="485"/>
      <c r="BE150" s="486"/>
      <c r="BF150" s="487"/>
      <c r="BG150" s="106"/>
      <c r="BH150" s="488"/>
      <c r="BI150" s="489"/>
      <c r="BJ150" s="489"/>
      <c r="BK150" s="489"/>
      <c r="BL150" s="489"/>
      <c r="BM150" s="490"/>
      <c r="BN150" s="488"/>
      <c r="BO150" s="489"/>
      <c r="BP150" s="489"/>
      <c r="BQ150" s="489"/>
      <c r="BR150" s="489"/>
      <c r="BS150" s="490"/>
      <c r="BT150" s="488"/>
      <c r="BU150" s="489"/>
      <c r="BV150" s="489"/>
      <c r="BW150" s="489"/>
      <c r="BX150" s="489"/>
      <c r="BY150" s="490"/>
      <c r="BZ150" s="483"/>
      <c r="CA150" s="484"/>
      <c r="CB150" s="484"/>
      <c r="CC150" s="485"/>
      <c r="CD150" s="477"/>
      <c r="CE150" s="478"/>
      <c r="CF150" s="478"/>
      <c r="CG150" s="478"/>
      <c r="CH150" s="479"/>
      <c r="CI150" s="477"/>
      <c r="CJ150" s="478"/>
      <c r="CK150" s="478"/>
      <c r="CL150" s="478"/>
      <c r="CM150" s="479"/>
      <c r="CN150" s="477"/>
      <c r="CO150" s="478"/>
      <c r="CP150" s="478"/>
      <c r="CQ150" s="478"/>
      <c r="CR150" s="479"/>
      <c r="CS150" s="480"/>
      <c r="CT150" s="481"/>
      <c r="CU150" s="481"/>
      <c r="CV150" s="481"/>
      <c r="CW150" s="482"/>
    </row>
    <row r="151" spans="1:101" s="91" customFormat="1" ht="16.5" x14ac:dyDescent="0.15">
      <c r="A151" s="517"/>
      <c r="B151" s="102"/>
      <c r="C151" s="220" t="str">
        <f t="shared" ca="1" si="6"/>
        <v/>
      </c>
      <c r="D151" s="521"/>
      <c r="E151" s="522"/>
      <c r="F151" s="522"/>
      <c r="G151" s="522"/>
      <c r="H151" s="522"/>
      <c r="I151" s="522"/>
      <c r="J151" s="522"/>
      <c r="K151" s="527"/>
      <c r="L151" s="528"/>
      <c r="M151" s="528"/>
      <c r="N151" s="528"/>
      <c r="O151" s="528"/>
      <c r="P151" s="528"/>
      <c r="Q151" s="528"/>
      <c r="R151" s="533"/>
      <c r="S151" s="534"/>
      <c r="T151" s="533"/>
      <c r="U151" s="534"/>
      <c r="V151" s="527"/>
      <c r="W151" s="528"/>
      <c r="X151" s="528"/>
      <c r="Y151" s="528"/>
      <c r="Z151" s="528"/>
      <c r="AA151" s="528"/>
      <c r="AB151" s="528"/>
      <c r="AC151" s="527"/>
      <c r="AD151" s="528"/>
      <c r="AE151" s="528"/>
      <c r="AF151" s="528"/>
      <c r="AG151" s="528"/>
      <c r="AH151" s="528"/>
      <c r="AI151" s="528"/>
      <c r="AJ151" s="527"/>
      <c r="AK151" s="528"/>
      <c r="AL151" s="528"/>
      <c r="AM151" s="528"/>
      <c r="AN151" s="528"/>
      <c r="AO151" s="528"/>
      <c r="AP151" s="541"/>
      <c r="AQ151" s="546"/>
      <c r="AR151" s="547"/>
      <c r="AS151" s="547"/>
      <c r="AT151" s="547"/>
      <c r="AU151" s="547"/>
      <c r="AV151" s="547"/>
      <c r="AW151" s="548"/>
      <c r="AX151" s="493"/>
      <c r="AY151" s="494"/>
      <c r="AZ151" s="105">
        <v>3</v>
      </c>
      <c r="BA151" s="483"/>
      <c r="BB151" s="484"/>
      <c r="BC151" s="484"/>
      <c r="BD151" s="485"/>
      <c r="BE151" s="486"/>
      <c r="BF151" s="487"/>
      <c r="BG151" s="106"/>
      <c r="BH151" s="488"/>
      <c r="BI151" s="489"/>
      <c r="BJ151" s="489"/>
      <c r="BK151" s="489"/>
      <c r="BL151" s="489"/>
      <c r="BM151" s="490"/>
      <c r="BN151" s="488"/>
      <c r="BO151" s="489"/>
      <c r="BP151" s="489"/>
      <c r="BQ151" s="489"/>
      <c r="BR151" s="489"/>
      <c r="BS151" s="490"/>
      <c r="BT151" s="488"/>
      <c r="BU151" s="489"/>
      <c r="BV151" s="489"/>
      <c r="BW151" s="489"/>
      <c r="BX151" s="489"/>
      <c r="BY151" s="490"/>
      <c r="BZ151" s="483"/>
      <c r="CA151" s="484"/>
      <c r="CB151" s="484"/>
      <c r="CC151" s="485"/>
      <c r="CD151" s="477"/>
      <c r="CE151" s="478"/>
      <c r="CF151" s="478"/>
      <c r="CG151" s="478"/>
      <c r="CH151" s="479"/>
      <c r="CI151" s="477"/>
      <c r="CJ151" s="478"/>
      <c r="CK151" s="478"/>
      <c r="CL151" s="478"/>
      <c r="CM151" s="479"/>
      <c r="CN151" s="477"/>
      <c r="CO151" s="478"/>
      <c r="CP151" s="478"/>
      <c r="CQ151" s="478"/>
      <c r="CR151" s="479"/>
      <c r="CS151" s="480"/>
      <c r="CT151" s="481"/>
      <c r="CU151" s="481"/>
      <c r="CV151" s="481"/>
      <c r="CW151" s="482"/>
    </row>
    <row r="152" spans="1:101" s="91" customFormat="1" ht="16.5" x14ac:dyDescent="0.15">
      <c r="A152" s="517"/>
      <c r="B152" s="102"/>
      <c r="C152" s="220" t="str">
        <f t="shared" ca="1" si="6"/>
        <v/>
      </c>
      <c r="D152" s="521"/>
      <c r="E152" s="522"/>
      <c r="F152" s="522"/>
      <c r="G152" s="522"/>
      <c r="H152" s="522"/>
      <c r="I152" s="522"/>
      <c r="J152" s="522"/>
      <c r="K152" s="527"/>
      <c r="L152" s="528"/>
      <c r="M152" s="528"/>
      <c r="N152" s="528"/>
      <c r="O152" s="528"/>
      <c r="P152" s="528"/>
      <c r="Q152" s="528"/>
      <c r="R152" s="533"/>
      <c r="S152" s="534"/>
      <c r="T152" s="533"/>
      <c r="U152" s="534"/>
      <c r="V152" s="527"/>
      <c r="W152" s="528"/>
      <c r="X152" s="528"/>
      <c r="Y152" s="528"/>
      <c r="Z152" s="528"/>
      <c r="AA152" s="528"/>
      <c r="AB152" s="528"/>
      <c r="AC152" s="527"/>
      <c r="AD152" s="528"/>
      <c r="AE152" s="528"/>
      <c r="AF152" s="528"/>
      <c r="AG152" s="528"/>
      <c r="AH152" s="528"/>
      <c r="AI152" s="528"/>
      <c r="AJ152" s="527"/>
      <c r="AK152" s="528"/>
      <c r="AL152" s="528"/>
      <c r="AM152" s="528"/>
      <c r="AN152" s="528"/>
      <c r="AO152" s="528"/>
      <c r="AP152" s="541"/>
      <c r="AQ152" s="546"/>
      <c r="AR152" s="547"/>
      <c r="AS152" s="547"/>
      <c r="AT152" s="547"/>
      <c r="AU152" s="547"/>
      <c r="AV152" s="547"/>
      <c r="AW152" s="548"/>
      <c r="AX152" s="493"/>
      <c r="AY152" s="494"/>
      <c r="AZ152" s="105">
        <v>4</v>
      </c>
      <c r="BA152" s="483"/>
      <c r="BB152" s="484"/>
      <c r="BC152" s="484"/>
      <c r="BD152" s="485"/>
      <c r="BE152" s="486"/>
      <c r="BF152" s="487"/>
      <c r="BG152" s="106"/>
      <c r="BH152" s="488"/>
      <c r="BI152" s="489"/>
      <c r="BJ152" s="489"/>
      <c r="BK152" s="489"/>
      <c r="BL152" s="489"/>
      <c r="BM152" s="490"/>
      <c r="BN152" s="488"/>
      <c r="BO152" s="489"/>
      <c r="BP152" s="489"/>
      <c r="BQ152" s="489"/>
      <c r="BR152" s="489"/>
      <c r="BS152" s="490"/>
      <c r="BT152" s="488"/>
      <c r="BU152" s="489"/>
      <c r="BV152" s="489"/>
      <c r="BW152" s="489"/>
      <c r="BX152" s="489"/>
      <c r="BY152" s="490"/>
      <c r="BZ152" s="483"/>
      <c r="CA152" s="484"/>
      <c r="CB152" s="484"/>
      <c r="CC152" s="485"/>
      <c r="CD152" s="477"/>
      <c r="CE152" s="478"/>
      <c r="CF152" s="478"/>
      <c r="CG152" s="478"/>
      <c r="CH152" s="479"/>
      <c r="CI152" s="477"/>
      <c r="CJ152" s="478"/>
      <c r="CK152" s="478"/>
      <c r="CL152" s="478"/>
      <c r="CM152" s="479"/>
      <c r="CN152" s="477"/>
      <c r="CO152" s="478"/>
      <c r="CP152" s="478"/>
      <c r="CQ152" s="478"/>
      <c r="CR152" s="479"/>
      <c r="CS152" s="480"/>
      <c r="CT152" s="481"/>
      <c r="CU152" s="481"/>
      <c r="CV152" s="481"/>
      <c r="CW152" s="482"/>
    </row>
    <row r="153" spans="1:101" s="91" customFormat="1" ht="16.5" x14ac:dyDescent="0.15">
      <c r="A153" s="517"/>
      <c r="B153" s="102"/>
      <c r="C153" s="220" t="str">
        <f t="shared" ref="C153:C216" ca="1" si="7">IF(AND(OFFSET($K153,-($AZ153-1),0)&lt;&gt;"",OFFSET($R153,-($AZ153-1),0)&lt;&gt;"x"),"@","")</f>
        <v/>
      </c>
      <c r="D153" s="521"/>
      <c r="E153" s="522"/>
      <c r="F153" s="522"/>
      <c r="G153" s="522"/>
      <c r="H153" s="522"/>
      <c r="I153" s="522"/>
      <c r="J153" s="522"/>
      <c r="K153" s="527"/>
      <c r="L153" s="528"/>
      <c r="M153" s="528"/>
      <c r="N153" s="528"/>
      <c r="O153" s="528"/>
      <c r="P153" s="528"/>
      <c r="Q153" s="528"/>
      <c r="R153" s="533"/>
      <c r="S153" s="534"/>
      <c r="T153" s="533"/>
      <c r="U153" s="534"/>
      <c r="V153" s="527"/>
      <c r="W153" s="528"/>
      <c r="X153" s="528"/>
      <c r="Y153" s="528"/>
      <c r="Z153" s="528"/>
      <c r="AA153" s="528"/>
      <c r="AB153" s="528"/>
      <c r="AC153" s="527"/>
      <c r="AD153" s="528"/>
      <c r="AE153" s="528"/>
      <c r="AF153" s="528"/>
      <c r="AG153" s="528"/>
      <c r="AH153" s="528"/>
      <c r="AI153" s="528"/>
      <c r="AJ153" s="527"/>
      <c r="AK153" s="528"/>
      <c r="AL153" s="528"/>
      <c r="AM153" s="528"/>
      <c r="AN153" s="528"/>
      <c r="AO153" s="528"/>
      <c r="AP153" s="541"/>
      <c r="AQ153" s="546"/>
      <c r="AR153" s="547"/>
      <c r="AS153" s="547"/>
      <c r="AT153" s="547"/>
      <c r="AU153" s="547"/>
      <c r="AV153" s="547"/>
      <c r="AW153" s="548"/>
      <c r="AX153" s="493"/>
      <c r="AY153" s="494"/>
      <c r="AZ153" s="105">
        <v>5</v>
      </c>
      <c r="BA153" s="483"/>
      <c r="BB153" s="484"/>
      <c r="BC153" s="484"/>
      <c r="BD153" s="485"/>
      <c r="BE153" s="486"/>
      <c r="BF153" s="487"/>
      <c r="BG153" s="106"/>
      <c r="BH153" s="488"/>
      <c r="BI153" s="489"/>
      <c r="BJ153" s="489"/>
      <c r="BK153" s="489"/>
      <c r="BL153" s="489"/>
      <c r="BM153" s="490"/>
      <c r="BN153" s="488"/>
      <c r="BO153" s="489"/>
      <c r="BP153" s="489"/>
      <c r="BQ153" s="489"/>
      <c r="BR153" s="489"/>
      <c r="BS153" s="490"/>
      <c r="BT153" s="488"/>
      <c r="BU153" s="489"/>
      <c r="BV153" s="489"/>
      <c r="BW153" s="489"/>
      <c r="BX153" s="489"/>
      <c r="BY153" s="490"/>
      <c r="BZ153" s="483"/>
      <c r="CA153" s="484"/>
      <c r="CB153" s="484"/>
      <c r="CC153" s="485"/>
      <c r="CD153" s="477"/>
      <c r="CE153" s="478"/>
      <c r="CF153" s="478"/>
      <c r="CG153" s="478"/>
      <c r="CH153" s="479"/>
      <c r="CI153" s="477"/>
      <c r="CJ153" s="478"/>
      <c r="CK153" s="478"/>
      <c r="CL153" s="478"/>
      <c r="CM153" s="479"/>
      <c r="CN153" s="477"/>
      <c r="CO153" s="478"/>
      <c r="CP153" s="478"/>
      <c r="CQ153" s="478"/>
      <c r="CR153" s="479"/>
      <c r="CS153" s="480"/>
      <c r="CT153" s="481"/>
      <c r="CU153" s="481"/>
      <c r="CV153" s="481"/>
      <c r="CW153" s="482"/>
    </row>
    <row r="154" spans="1:101" s="91" customFormat="1" ht="16.5" x14ac:dyDescent="0.15">
      <c r="A154" s="518"/>
      <c r="B154" s="107"/>
      <c r="C154" s="219" t="str">
        <f t="shared" ca="1" si="7"/>
        <v/>
      </c>
      <c r="D154" s="523"/>
      <c r="E154" s="650"/>
      <c r="F154" s="650"/>
      <c r="G154" s="650"/>
      <c r="H154" s="650"/>
      <c r="I154" s="650"/>
      <c r="J154" s="650"/>
      <c r="K154" s="529"/>
      <c r="L154" s="530"/>
      <c r="M154" s="530"/>
      <c r="N154" s="530"/>
      <c r="O154" s="530"/>
      <c r="P154" s="530"/>
      <c r="Q154" s="530"/>
      <c r="R154" s="535"/>
      <c r="S154" s="537"/>
      <c r="T154" s="535"/>
      <c r="U154" s="537"/>
      <c r="V154" s="529"/>
      <c r="W154" s="539"/>
      <c r="X154" s="539"/>
      <c r="Y154" s="539"/>
      <c r="Z154" s="539"/>
      <c r="AA154" s="539"/>
      <c r="AB154" s="539"/>
      <c r="AC154" s="529"/>
      <c r="AD154" s="539"/>
      <c r="AE154" s="539"/>
      <c r="AF154" s="539"/>
      <c r="AG154" s="539"/>
      <c r="AH154" s="539"/>
      <c r="AI154" s="539"/>
      <c r="AJ154" s="529"/>
      <c r="AK154" s="539"/>
      <c r="AL154" s="539"/>
      <c r="AM154" s="539"/>
      <c r="AN154" s="539"/>
      <c r="AO154" s="539"/>
      <c r="AP154" s="542"/>
      <c r="AQ154" s="549"/>
      <c r="AR154" s="550"/>
      <c r="AS154" s="550"/>
      <c r="AT154" s="550"/>
      <c r="AU154" s="550"/>
      <c r="AV154" s="550"/>
      <c r="AW154" s="551"/>
      <c r="AX154" s="495"/>
      <c r="AY154" s="496"/>
      <c r="AZ154" s="108">
        <v>6</v>
      </c>
      <c r="BA154" s="505"/>
      <c r="BB154" s="506"/>
      <c r="BC154" s="506"/>
      <c r="BD154" s="507"/>
      <c r="BE154" s="644"/>
      <c r="BF154" s="645"/>
      <c r="BG154" s="111"/>
      <c r="BH154" s="510"/>
      <c r="BI154" s="511"/>
      <c r="BJ154" s="511"/>
      <c r="BK154" s="511"/>
      <c r="BL154" s="511"/>
      <c r="BM154" s="512"/>
      <c r="BN154" s="510"/>
      <c r="BO154" s="511"/>
      <c r="BP154" s="511"/>
      <c r="BQ154" s="511"/>
      <c r="BR154" s="511"/>
      <c r="BS154" s="512"/>
      <c r="BT154" s="510"/>
      <c r="BU154" s="511"/>
      <c r="BV154" s="511"/>
      <c r="BW154" s="511"/>
      <c r="BX154" s="511"/>
      <c r="BY154" s="512"/>
      <c r="BZ154" s="505"/>
      <c r="CA154" s="506"/>
      <c r="CB154" s="506"/>
      <c r="CC154" s="507"/>
      <c r="CD154" s="477"/>
      <c r="CE154" s="478"/>
      <c r="CF154" s="478"/>
      <c r="CG154" s="478"/>
      <c r="CH154" s="479"/>
      <c r="CI154" s="477"/>
      <c r="CJ154" s="478"/>
      <c r="CK154" s="478"/>
      <c r="CL154" s="478"/>
      <c r="CM154" s="479"/>
      <c r="CN154" s="477"/>
      <c r="CO154" s="478"/>
      <c r="CP154" s="478"/>
      <c r="CQ154" s="478"/>
      <c r="CR154" s="479"/>
      <c r="CS154" s="480"/>
      <c r="CT154" s="481"/>
      <c r="CU154" s="481"/>
      <c r="CV154" s="481"/>
      <c r="CW154" s="482"/>
    </row>
    <row r="155" spans="1:101" s="91" customFormat="1" ht="15.75" customHeight="1" x14ac:dyDescent="0.15">
      <c r="A155" s="516">
        <v>25</v>
      </c>
      <c r="B155" s="102"/>
      <c r="C155" s="216" t="str">
        <f t="shared" ca="1" si="7"/>
        <v/>
      </c>
      <c r="D155" s="519"/>
      <c r="E155" s="649"/>
      <c r="F155" s="649"/>
      <c r="G155" s="649"/>
      <c r="H155" s="649"/>
      <c r="I155" s="649"/>
      <c r="J155" s="649"/>
      <c r="K155" s="525"/>
      <c r="L155" s="526"/>
      <c r="M155" s="526"/>
      <c r="N155" s="526"/>
      <c r="O155" s="526"/>
      <c r="P155" s="526"/>
      <c r="Q155" s="526"/>
      <c r="R155" s="531"/>
      <c r="S155" s="532"/>
      <c r="T155" s="531"/>
      <c r="U155" s="532"/>
      <c r="V155" s="525"/>
      <c r="W155" s="538"/>
      <c r="X155" s="538"/>
      <c r="Y155" s="538"/>
      <c r="Z155" s="538"/>
      <c r="AA155" s="538"/>
      <c r="AB155" s="538"/>
      <c r="AC155" s="525"/>
      <c r="AD155" s="538"/>
      <c r="AE155" s="538"/>
      <c r="AF155" s="538"/>
      <c r="AG155" s="538"/>
      <c r="AH155" s="538"/>
      <c r="AI155" s="538"/>
      <c r="AJ155" s="525"/>
      <c r="AK155" s="538"/>
      <c r="AL155" s="538"/>
      <c r="AM155" s="538"/>
      <c r="AN155" s="538"/>
      <c r="AO155" s="538"/>
      <c r="AP155" s="540"/>
      <c r="AQ155" s="525"/>
      <c r="AR155" s="544"/>
      <c r="AS155" s="544"/>
      <c r="AT155" s="544"/>
      <c r="AU155" s="544"/>
      <c r="AV155" s="544"/>
      <c r="AW155" s="545"/>
      <c r="AX155" s="491"/>
      <c r="AY155" s="492"/>
      <c r="AZ155" s="103">
        <v>1</v>
      </c>
      <c r="BA155" s="497"/>
      <c r="BB155" s="498"/>
      <c r="BC155" s="498"/>
      <c r="BD155" s="499"/>
      <c r="BE155" s="500"/>
      <c r="BF155" s="501"/>
      <c r="BG155" s="104"/>
      <c r="BH155" s="502"/>
      <c r="BI155" s="503"/>
      <c r="BJ155" s="503"/>
      <c r="BK155" s="503"/>
      <c r="BL155" s="503"/>
      <c r="BM155" s="504"/>
      <c r="BN155" s="502"/>
      <c r="BO155" s="503"/>
      <c r="BP155" s="503"/>
      <c r="BQ155" s="503"/>
      <c r="BR155" s="503"/>
      <c r="BS155" s="504"/>
      <c r="BT155" s="502"/>
      <c r="BU155" s="503"/>
      <c r="BV155" s="503"/>
      <c r="BW155" s="503"/>
      <c r="BX155" s="503"/>
      <c r="BY155" s="504"/>
      <c r="BZ155" s="552"/>
      <c r="CA155" s="553"/>
      <c r="CB155" s="553"/>
      <c r="CC155" s="554"/>
      <c r="CD155" s="477"/>
      <c r="CE155" s="478"/>
      <c r="CF155" s="478"/>
      <c r="CG155" s="478"/>
      <c r="CH155" s="479"/>
      <c r="CI155" s="477"/>
      <c r="CJ155" s="478"/>
      <c r="CK155" s="478"/>
      <c r="CL155" s="478"/>
      <c r="CM155" s="479"/>
      <c r="CN155" s="477"/>
      <c r="CO155" s="478"/>
      <c r="CP155" s="478"/>
      <c r="CQ155" s="478"/>
      <c r="CR155" s="479"/>
      <c r="CS155" s="480"/>
      <c r="CT155" s="481"/>
      <c r="CU155" s="481"/>
      <c r="CV155" s="481"/>
      <c r="CW155" s="482"/>
    </row>
    <row r="156" spans="1:101" s="91" customFormat="1" ht="16.5" x14ac:dyDescent="0.15">
      <c r="A156" s="517"/>
      <c r="B156" s="102"/>
      <c r="C156" s="220" t="str">
        <f t="shared" ca="1" si="7"/>
        <v/>
      </c>
      <c r="D156" s="521"/>
      <c r="E156" s="522"/>
      <c r="F156" s="522"/>
      <c r="G156" s="522"/>
      <c r="H156" s="522"/>
      <c r="I156" s="522"/>
      <c r="J156" s="522"/>
      <c r="K156" s="527"/>
      <c r="L156" s="528"/>
      <c r="M156" s="528"/>
      <c r="N156" s="528"/>
      <c r="O156" s="528"/>
      <c r="P156" s="528"/>
      <c r="Q156" s="528"/>
      <c r="R156" s="533"/>
      <c r="S156" s="534"/>
      <c r="T156" s="533"/>
      <c r="U156" s="534"/>
      <c r="V156" s="527"/>
      <c r="W156" s="528"/>
      <c r="X156" s="528"/>
      <c r="Y156" s="528"/>
      <c r="Z156" s="528"/>
      <c r="AA156" s="528"/>
      <c r="AB156" s="528"/>
      <c r="AC156" s="527"/>
      <c r="AD156" s="528"/>
      <c r="AE156" s="528"/>
      <c r="AF156" s="528"/>
      <c r="AG156" s="528"/>
      <c r="AH156" s="528"/>
      <c r="AI156" s="528"/>
      <c r="AJ156" s="527"/>
      <c r="AK156" s="528"/>
      <c r="AL156" s="528"/>
      <c r="AM156" s="528"/>
      <c r="AN156" s="528"/>
      <c r="AO156" s="528"/>
      <c r="AP156" s="541"/>
      <c r="AQ156" s="546"/>
      <c r="AR156" s="547"/>
      <c r="AS156" s="547"/>
      <c r="AT156" s="547"/>
      <c r="AU156" s="547"/>
      <c r="AV156" s="547"/>
      <c r="AW156" s="548"/>
      <c r="AX156" s="493"/>
      <c r="AY156" s="494"/>
      <c r="AZ156" s="105">
        <v>2</v>
      </c>
      <c r="BA156" s="483"/>
      <c r="BB156" s="484"/>
      <c r="BC156" s="484"/>
      <c r="BD156" s="485"/>
      <c r="BE156" s="486"/>
      <c r="BF156" s="487"/>
      <c r="BG156" s="106"/>
      <c r="BH156" s="488"/>
      <c r="BI156" s="489"/>
      <c r="BJ156" s="489"/>
      <c r="BK156" s="489"/>
      <c r="BL156" s="489"/>
      <c r="BM156" s="490"/>
      <c r="BN156" s="488"/>
      <c r="BO156" s="489"/>
      <c r="BP156" s="489"/>
      <c r="BQ156" s="489"/>
      <c r="BR156" s="489"/>
      <c r="BS156" s="490"/>
      <c r="BT156" s="488"/>
      <c r="BU156" s="489"/>
      <c r="BV156" s="489"/>
      <c r="BW156" s="489"/>
      <c r="BX156" s="489"/>
      <c r="BY156" s="490"/>
      <c r="BZ156" s="483"/>
      <c r="CA156" s="484"/>
      <c r="CB156" s="484"/>
      <c r="CC156" s="485"/>
      <c r="CD156" s="477"/>
      <c r="CE156" s="478"/>
      <c r="CF156" s="478"/>
      <c r="CG156" s="478"/>
      <c r="CH156" s="479"/>
      <c r="CI156" s="477"/>
      <c r="CJ156" s="478"/>
      <c r="CK156" s="478"/>
      <c r="CL156" s="478"/>
      <c r="CM156" s="479"/>
      <c r="CN156" s="477"/>
      <c r="CO156" s="478"/>
      <c r="CP156" s="478"/>
      <c r="CQ156" s="478"/>
      <c r="CR156" s="479"/>
      <c r="CS156" s="480"/>
      <c r="CT156" s="481"/>
      <c r="CU156" s="481"/>
      <c r="CV156" s="481"/>
      <c r="CW156" s="482"/>
    </row>
    <row r="157" spans="1:101" s="91" customFormat="1" ht="16.5" x14ac:dyDescent="0.15">
      <c r="A157" s="517"/>
      <c r="B157" s="102"/>
      <c r="C157" s="220" t="str">
        <f t="shared" ca="1" si="7"/>
        <v/>
      </c>
      <c r="D157" s="521"/>
      <c r="E157" s="522"/>
      <c r="F157" s="522"/>
      <c r="G157" s="522"/>
      <c r="H157" s="522"/>
      <c r="I157" s="522"/>
      <c r="J157" s="522"/>
      <c r="K157" s="527"/>
      <c r="L157" s="528"/>
      <c r="M157" s="528"/>
      <c r="N157" s="528"/>
      <c r="O157" s="528"/>
      <c r="P157" s="528"/>
      <c r="Q157" s="528"/>
      <c r="R157" s="533"/>
      <c r="S157" s="534"/>
      <c r="T157" s="533"/>
      <c r="U157" s="534"/>
      <c r="V157" s="527"/>
      <c r="W157" s="528"/>
      <c r="X157" s="528"/>
      <c r="Y157" s="528"/>
      <c r="Z157" s="528"/>
      <c r="AA157" s="528"/>
      <c r="AB157" s="528"/>
      <c r="AC157" s="527"/>
      <c r="AD157" s="528"/>
      <c r="AE157" s="528"/>
      <c r="AF157" s="528"/>
      <c r="AG157" s="528"/>
      <c r="AH157" s="528"/>
      <c r="AI157" s="528"/>
      <c r="AJ157" s="527"/>
      <c r="AK157" s="528"/>
      <c r="AL157" s="528"/>
      <c r="AM157" s="528"/>
      <c r="AN157" s="528"/>
      <c r="AO157" s="528"/>
      <c r="AP157" s="541"/>
      <c r="AQ157" s="546"/>
      <c r="AR157" s="547"/>
      <c r="AS157" s="547"/>
      <c r="AT157" s="547"/>
      <c r="AU157" s="547"/>
      <c r="AV157" s="547"/>
      <c r="AW157" s="548"/>
      <c r="AX157" s="493"/>
      <c r="AY157" s="494"/>
      <c r="AZ157" s="105">
        <v>3</v>
      </c>
      <c r="BA157" s="483"/>
      <c r="BB157" s="484"/>
      <c r="BC157" s="484"/>
      <c r="BD157" s="485"/>
      <c r="BE157" s="486"/>
      <c r="BF157" s="487"/>
      <c r="BG157" s="106"/>
      <c r="BH157" s="488"/>
      <c r="BI157" s="489"/>
      <c r="BJ157" s="489"/>
      <c r="BK157" s="489"/>
      <c r="BL157" s="489"/>
      <c r="BM157" s="490"/>
      <c r="BN157" s="488"/>
      <c r="BO157" s="489"/>
      <c r="BP157" s="489"/>
      <c r="BQ157" s="489"/>
      <c r="BR157" s="489"/>
      <c r="BS157" s="490"/>
      <c r="BT157" s="488"/>
      <c r="BU157" s="489"/>
      <c r="BV157" s="489"/>
      <c r="BW157" s="489"/>
      <c r="BX157" s="489"/>
      <c r="BY157" s="490"/>
      <c r="BZ157" s="483"/>
      <c r="CA157" s="484"/>
      <c r="CB157" s="484"/>
      <c r="CC157" s="485"/>
      <c r="CD157" s="477"/>
      <c r="CE157" s="478"/>
      <c r="CF157" s="478"/>
      <c r="CG157" s="478"/>
      <c r="CH157" s="479"/>
      <c r="CI157" s="477"/>
      <c r="CJ157" s="478"/>
      <c r="CK157" s="478"/>
      <c r="CL157" s="478"/>
      <c r="CM157" s="479"/>
      <c r="CN157" s="477"/>
      <c r="CO157" s="478"/>
      <c r="CP157" s="478"/>
      <c r="CQ157" s="478"/>
      <c r="CR157" s="479"/>
      <c r="CS157" s="480"/>
      <c r="CT157" s="481"/>
      <c r="CU157" s="481"/>
      <c r="CV157" s="481"/>
      <c r="CW157" s="482"/>
    </row>
    <row r="158" spans="1:101" s="91" customFormat="1" ht="16.5" x14ac:dyDescent="0.15">
      <c r="A158" s="517"/>
      <c r="B158" s="102"/>
      <c r="C158" s="220" t="str">
        <f t="shared" ca="1" si="7"/>
        <v/>
      </c>
      <c r="D158" s="521"/>
      <c r="E158" s="522"/>
      <c r="F158" s="522"/>
      <c r="G158" s="522"/>
      <c r="H158" s="522"/>
      <c r="I158" s="522"/>
      <c r="J158" s="522"/>
      <c r="K158" s="527"/>
      <c r="L158" s="528"/>
      <c r="M158" s="528"/>
      <c r="N158" s="528"/>
      <c r="O158" s="528"/>
      <c r="P158" s="528"/>
      <c r="Q158" s="528"/>
      <c r="R158" s="533"/>
      <c r="S158" s="534"/>
      <c r="T158" s="533"/>
      <c r="U158" s="534"/>
      <c r="V158" s="527"/>
      <c r="W158" s="528"/>
      <c r="X158" s="528"/>
      <c r="Y158" s="528"/>
      <c r="Z158" s="528"/>
      <c r="AA158" s="528"/>
      <c r="AB158" s="528"/>
      <c r="AC158" s="527"/>
      <c r="AD158" s="528"/>
      <c r="AE158" s="528"/>
      <c r="AF158" s="528"/>
      <c r="AG158" s="528"/>
      <c r="AH158" s="528"/>
      <c r="AI158" s="528"/>
      <c r="AJ158" s="527"/>
      <c r="AK158" s="528"/>
      <c r="AL158" s="528"/>
      <c r="AM158" s="528"/>
      <c r="AN158" s="528"/>
      <c r="AO158" s="528"/>
      <c r="AP158" s="541"/>
      <c r="AQ158" s="546"/>
      <c r="AR158" s="547"/>
      <c r="AS158" s="547"/>
      <c r="AT158" s="547"/>
      <c r="AU158" s="547"/>
      <c r="AV158" s="547"/>
      <c r="AW158" s="548"/>
      <c r="AX158" s="493"/>
      <c r="AY158" s="494"/>
      <c r="AZ158" s="105">
        <v>4</v>
      </c>
      <c r="BA158" s="483"/>
      <c r="BB158" s="484"/>
      <c r="BC158" s="484"/>
      <c r="BD158" s="485"/>
      <c r="BE158" s="486"/>
      <c r="BF158" s="487"/>
      <c r="BG158" s="106"/>
      <c r="BH158" s="488"/>
      <c r="BI158" s="489"/>
      <c r="BJ158" s="489"/>
      <c r="BK158" s="489"/>
      <c r="BL158" s="489"/>
      <c r="BM158" s="490"/>
      <c r="BN158" s="488"/>
      <c r="BO158" s="489"/>
      <c r="BP158" s="489"/>
      <c r="BQ158" s="489"/>
      <c r="BR158" s="489"/>
      <c r="BS158" s="490"/>
      <c r="BT158" s="488"/>
      <c r="BU158" s="489"/>
      <c r="BV158" s="489"/>
      <c r="BW158" s="489"/>
      <c r="BX158" s="489"/>
      <c r="BY158" s="490"/>
      <c r="BZ158" s="483"/>
      <c r="CA158" s="484"/>
      <c r="CB158" s="484"/>
      <c r="CC158" s="485"/>
      <c r="CD158" s="477"/>
      <c r="CE158" s="478"/>
      <c r="CF158" s="478"/>
      <c r="CG158" s="478"/>
      <c r="CH158" s="479"/>
      <c r="CI158" s="477"/>
      <c r="CJ158" s="478"/>
      <c r="CK158" s="478"/>
      <c r="CL158" s="478"/>
      <c r="CM158" s="479"/>
      <c r="CN158" s="477"/>
      <c r="CO158" s="478"/>
      <c r="CP158" s="478"/>
      <c r="CQ158" s="478"/>
      <c r="CR158" s="479"/>
      <c r="CS158" s="480"/>
      <c r="CT158" s="481"/>
      <c r="CU158" s="481"/>
      <c r="CV158" s="481"/>
      <c r="CW158" s="482"/>
    </row>
    <row r="159" spans="1:101" s="91" customFormat="1" ht="16.5" x14ac:dyDescent="0.15">
      <c r="A159" s="517"/>
      <c r="B159" s="102"/>
      <c r="C159" s="220" t="str">
        <f t="shared" ca="1" si="7"/>
        <v/>
      </c>
      <c r="D159" s="521"/>
      <c r="E159" s="522"/>
      <c r="F159" s="522"/>
      <c r="G159" s="522"/>
      <c r="H159" s="522"/>
      <c r="I159" s="522"/>
      <c r="J159" s="522"/>
      <c r="K159" s="527"/>
      <c r="L159" s="528"/>
      <c r="M159" s="528"/>
      <c r="N159" s="528"/>
      <c r="O159" s="528"/>
      <c r="P159" s="528"/>
      <c r="Q159" s="528"/>
      <c r="R159" s="533"/>
      <c r="S159" s="534"/>
      <c r="T159" s="533"/>
      <c r="U159" s="534"/>
      <c r="V159" s="527"/>
      <c r="W159" s="528"/>
      <c r="X159" s="528"/>
      <c r="Y159" s="528"/>
      <c r="Z159" s="528"/>
      <c r="AA159" s="528"/>
      <c r="AB159" s="528"/>
      <c r="AC159" s="527"/>
      <c r="AD159" s="528"/>
      <c r="AE159" s="528"/>
      <c r="AF159" s="528"/>
      <c r="AG159" s="528"/>
      <c r="AH159" s="528"/>
      <c r="AI159" s="528"/>
      <c r="AJ159" s="527"/>
      <c r="AK159" s="528"/>
      <c r="AL159" s="528"/>
      <c r="AM159" s="528"/>
      <c r="AN159" s="528"/>
      <c r="AO159" s="528"/>
      <c r="AP159" s="541"/>
      <c r="AQ159" s="546"/>
      <c r="AR159" s="547"/>
      <c r="AS159" s="547"/>
      <c r="AT159" s="547"/>
      <c r="AU159" s="547"/>
      <c r="AV159" s="547"/>
      <c r="AW159" s="548"/>
      <c r="AX159" s="493"/>
      <c r="AY159" s="494"/>
      <c r="AZ159" s="105">
        <v>5</v>
      </c>
      <c r="BA159" s="483"/>
      <c r="BB159" s="484"/>
      <c r="BC159" s="484"/>
      <c r="BD159" s="485"/>
      <c r="BE159" s="486"/>
      <c r="BF159" s="487"/>
      <c r="BG159" s="106"/>
      <c r="BH159" s="488"/>
      <c r="BI159" s="489"/>
      <c r="BJ159" s="489"/>
      <c r="BK159" s="489"/>
      <c r="BL159" s="489"/>
      <c r="BM159" s="490"/>
      <c r="BN159" s="488"/>
      <c r="BO159" s="489"/>
      <c r="BP159" s="489"/>
      <c r="BQ159" s="489"/>
      <c r="BR159" s="489"/>
      <c r="BS159" s="490"/>
      <c r="BT159" s="488"/>
      <c r="BU159" s="489"/>
      <c r="BV159" s="489"/>
      <c r="BW159" s="489"/>
      <c r="BX159" s="489"/>
      <c r="BY159" s="490"/>
      <c r="BZ159" s="483"/>
      <c r="CA159" s="484"/>
      <c r="CB159" s="484"/>
      <c r="CC159" s="485"/>
      <c r="CD159" s="477"/>
      <c r="CE159" s="478"/>
      <c r="CF159" s="478"/>
      <c r="CG159" s="478"/>
      <c r="CH159" s="479"/>
      <c r="CI159" s="477"/>
      <c r="CJ159" s="478"/>
      <c r="CK159" s="478"/>
      <c r="CL159" s="478"/>
      <c r="CM159" s="479"/>
      <c r="CN159" s="477"/>
      <c r="CO159" s="478"/>
      <c r="CP159" s="478"/>
      <c r="CQ159" s="478"/>
      <c r="CR159" s="479"/>
      <c r="CS159" s="480"/>
      <c r="CT159" s="481"/>
      <c r="CU159" s="481"/>
      <c r="CV159" s="481"/>
      <c r="CW159" s="482"/>
    </row>
    <row r="160" spans="1:101" s="91" customFormat="1" ht="16.5" x14ac:dyDescent="0.15">
      <c r="A160" s="518"/>
      <c r="B160" s="107"/>
      <c r="C160" s="219" t="str">
        <f t="shared" ca="1" si="7"/>
        <v/>
      </c>
      <c r="D160" s="523"/>
      <c r="E160" s="650"/>
      <c r="F160" s="650"/>
      <c r="G160" s="650"/>
      <c r="H160" s="650"/>
      <c r="I160" s="650"/>
      <c r="J160" s="650"/>
      <c r="K160" s="529"/>
      <c r="L160" s="530"/>
      <c r="M160" s="530"/>
      <c r="N160" s="530"/>
      <c r="O160" s="530"/>
      <c r="P160" s="530"/>
      <c r="Q160" s="530"/>
      <c r="R160" s="535"/>
      <c r="S160" s="537"/>
      <c r="T160" s="535"/>
      <c r="U160" s="537"/>
      <c r="V160" s="529"/>
      <c r="W160" s="539"/>
      <c r="X160" s="539"/>
      <c r="Y160" s="539"/>
      <c r="Z160" s="539"/>
      <c r="AA160" s="539"/>
      <c r="AB160" s="539"/>
      <c r="AC160" s="529"/>
      <c r="AD160" s="539"/>
      <c r="AE160" s="539"/>
      <c r="AF160" s="539"/>
      <c r="AG160" s="539"/>
      <c r="AH160" s="539"/>
      <c r="AI160" s="539"/>
      <c r="AJ160" s="529"/>
      <c r="AK160" s="539"/>
      <c r="AL160" s="539"/>
      <c r="AM160" s="539"/>
      <c r="AN160" s="539"/>
      <c r="AO160" s="539"/>
      <c r="AP160" s="542"/>
      <c r="AQ160" s="549"/>
      <c r="AR160" s="550"/>
      <c r="AS160" s="550"/>
      <c r="AT160" s="550"/>
      <c r="AU160" s="550"/>
      <c r="AV160" s="550"/>
      <c r="AW160" s="551"/>
      <c r="AX160" s="495"/>
      <c r="AY160" s="496"/>
      <c r="AZ160" s="108">
        <v>6</v>
      </c>
      <c r="BA160" s="505"/>
      <c r="BB160" s="506"/>
      <c r="BC160" s="506"/>
      <c r="BD160" s="507"/>
      <c r="BE160" s="644"/>
      <c r="BF160" s="645"/>
      <c r="BG160" s="109"/>
      <c r="BH160" s="510"/>
      <c r="BI160" s="511"/>
      <c r="BJ160" s="511"/>
      <c r="BK160" s="511"/>
      <c r="BL160" s="511"/>
      <c r="BM160" s="512"/>
      <c r="BN160" s="510"/>
      <c r="BO160" s="511"/>
      <c r="BP160" s="511"/>
      <c r="BQ160" s="511"/>
      <c r="BR160" s="511"/>
      <c r="BS160" s="512"/>
      <c r="BT160" s="510"/>
      <c r="BU160" s="511"/>
      <c r="BV160" s="511"/>
      <c r="BW160" s="511"/>
      <c r="BX160" s="511"/>
      <c r="BY160" s="512"/>
      <c r="BZ160" s="505"/>
      <c r="CA160" s="506"/>
      <c r="CB160" s="506"/>
      <c r="CC160" s="507"/>
      <c r="CD160" s="477"/>
      <c r="CE160" s="478"/>
      <c r="CF160" s="478"/>
      <c r="CG160" s="478"/>
      <c r="CH160" s="479"/>
      <c r="CI160" s="477"/>
      <c r="CJ160" s="478"/>
      <c r="CK160" s="478"/>
      <c r="CL160" s="478"/>
      <c r="CM160" s="479"/>
      <c r="CN160" s="477"/>
      <c r="CO160" s="478"/>
      <c r="CP160" s="478"/>
      <c r="CQ160" s="478"/>
      <c r="CR160" s="479"/>
      <c r="CS160" s="480"/>
      <c r="CT160" s="481"/>
      <c r="CU160" s="481"/>
      <c r="CV160" s="481"/>
      <c r="CW160" s="482"/>
    </row>
    <row r="161" spans="1:101" s="91" customFormat="1" ht="15.75" customHeight="1" x14ac:dyDescent="0.15">
      <c r="A161" s="516">
        <v>26</v>
      </c>
      <c r="B161" s="102"/>
      <c r="C161" s="222" t="str">
        <f t="shared" ca="1" si="7"/>
        <v/>
      </c>
      <c r="D161" s="519"/>
      <c r="E161" s="649"/>
      <c r="F161" s="649"/>
      <c r="G161" s="649"/>
      <c r="H161" s="649"/>
      <c r="I161" s="649"/>
      <c r="J161" s="649"/>
      <c r="K161" s="525"/>
      <c r="L161" s="526"/>
      <c r="M161" s="526"/>
      <c r="N161" s="526"/>
      <c r="O161" s="526"/>
      <c r="P161" s="526"/>
      <c r="Q161" s="526"/>
      <c r="R161" s="531"/>
      <c r="S161" s="532"/>
      <c r="T161" s="531"/>
      <c r="U161" s="532"/>
      <c r="V161" s="525"/>
      <c r="W161" s="538"/>
      <c r="X161" s="538"/>
      <c r="Y161" s="538"/>
      <c r="Z161" s="538"/>
      <c r="AA161" s="538"/>
      <c r="AB161" s="538"/>
      <c r="AC161" s="525"/>
      <c r="AD161" s="538"/>
      <c r="AE161" s="538"/>
      <c r="AF161" s="538"/>
      <c r="AG161" s="538"/>
      <c r="AH161" s="538"/>
      <c r="AI161" s="538"/>
      <c r="AJ161" s="525"/>
      <c r="AK161" s="538"/>
      <c r="AL161" s="538"/>
      <c r="AM161" s="538"/>
      <c r="AN161" s="538"/>
      <c r="AO161" s="538"/>
      <c r="AP161" s="540"/>
      <c r="AQ161" s="525"/>
      <c r="AR161" s="544"/>
      <c r="AS161" s="544"/>
      <c r="AT161" s="544"/>
      <c r="AU161" s="544"/>
      <c r="AV161" s="544"/>
      <c r="AW161" s="545"/>
      <c r="AX161" s="491"/>
      <c r="AY161" s="492"/>
      <c r="AZ161" s="103">
        <v>1</v>
      </c>
      <c r="BA161" s="497"/>
      <c r="BB161" s="498"/>
      <c r="BC161" s="498"/>
      <c r="BD161" s="499"/>
      <c r="BE161" s="500"/>
      <c r="BF161" s="501"/>
      <c r="BG161" s="110"/>
      <c r="BH161" s="502"/>
      <c r="BI161" s="503"/>
      <c r="BJ161" s="503"/>
      <c r="BK161" s="503"/>
      <c r="BL161" s="503"/>
      <c r="BM161" s="504"/>
      <c r="BN161" s="502"/>
      <c r="BO161" s="503"/>
      <c r="BP161" s="503"/>
      <c r="BQ161" s="503"/>
      <c r="BR161" s="503"/>
      <c r="BS161" s="504"/>
      <c r="BT161" s="502"/>
      <c r="BU161" s="503"/>
      <c r="BV161" s="503"/>
      <c r="BW161" s="503"/>
      <c r="BX161" s="503"/>
      <c r="BY161" s="504"/>
      <c r="BZ161" s="497"/>
      <c r="CA161" s="498"/>
      <c r="CB161" s="498"/>
      <c r="CC161" s="499"/>
      <c r="CD161" s="477"/>
      <c r="CE161" s="478"/>
      <c r="CF161" s="478"/>
      <c r="CG161" s="478"/>
      <c r="CH161" s="479"/>
      <c r="CI161" s="477"/>
      <c r="CJ161" s="478"/>
      <c r="CK161" s="478"/>
      <c r="CL161" s="478"/>
      <c r="CM161" s="479"/>
      <c r="CN161" s="477"/>
      <c r="CO161" s="478"/>
      <c r="CP161" s="478"/>
      <c r="CQ161" s="478"/>
      <c r="CR161" s="479"/>
      <c r="CS161" s="480"/>
      <c r="CT161" s="481"/>
      <c r="CU161" s="481"/>
      <c r="CV161" s="481"/>
      <c r="CW161" s="482"/>
    </row>
    <row r="162" spans="1:101" s="91" customFormat="1" ht="16.5" x14ac:dyDescent="0.15">
      <c r="A162" s="517"/>
      <c r="B162" s="102"/>
      <c r="C162" s="220" t="str">
        <f t="shared" ca="1" si="7"/>
        <v/>
      </c>
      <c r="D162" s="521"/>
      <c r="E162" s="522"/>
      <c r="F162" s="522"/>
      <c r="G162" s="522"/>
      <c r="H162" s="522"/>
      <c r="I162" s="522"/>
      <c r="J162" s="522"/>
      <c r="K162" s="527"/>
      <c r="L162" s="528"/>
      <c r="M162" s="528"/>
      <c r="N162" s="528"/>
      <c r="O162" s="528"/>
      <c r="P162" s="528"/>
      <c r="Q162" s="528"/>
      <c r="R162" s="533"/>
      <c r="S162" s="534"/>
      <c r="T162" s="533"/>
      <c r="U162" s="534"/>
      <c r="V162" s="527"/>
      <c r="W162" s="528"/>
      <c r="X162" s="528"/>
      <c r="Y162" s="528"/>
      <c r="Z162" s="528"/>
      <c r="AA162" s="528"/>
      <c r="AB162" s="528"/>
      <c r="AC162" s="527"/>
      <c r="AD162" s="528"/>
      <c r="AE162" s="528"/>
      <c r="AF162" s="528"/>
      <c r="AG162" s="528"/>
      <c r="AH162" s="528"/>
      <c r="AI162" s="528"/>
      <c r="AJ162" s="527"/>
      <c r="AK162" s="528"/>
      <c r="AL162" s="528"/>
      <c r="AM162" s="528"/>
      <c r="AN162" s="528"/>
      <c r="AO162" s="528"/>
      <c r="AP162" s="541"/>
      <c r="AQ162" s="546"/>
      <c r="AR162" s="547"/>
      <c r="AS162" s="547"/>
      <c r="AT162" s="547"/>
      <c r="AU162" s="547"/>
      <c r="AV162" s="547"/>
      <c r="AW162" s="548"/>
      <c r="AX162" s="493"/>
      <c r="AY162" s="494"/>
      <c r="AZ162" s="105">
        <v>2</v>
      </c>
      <c r="BA162" s="483"/>
      <c r="BB162" s="484"/>
      <c r="BC162" s="484"/>
      <c r="BD162" s="485"/>
      <c r="BE162" s="486"/>
      <c r="BF162" s="487"/>
      <c r="BG162" s="106"/>
      <c r="BH162" s="488"/>
      <c r="BI162" s="489"/>
      <c r="BJ162" s="489"/>
      <c r="BK162" s="489"/>
      <c r="BL162" s="489"/>
      <c r="BM162" s="490"/>
      <c r="BN162" s="488"/>
      <c r="BO162" s="489"/>
      <c r="BP162" s="489"/>
      <c r="BQ162" s="489"/>
      <c r="BR162" s="489"/>
      <c r="BS162" s="490"/>
      <c r="BT162" s="488"/>
      <c r="BU162" s="489"/>
      <c r="BV162" s="489"/>
      <c r="BW162" s="489"/>
      <c r="BX162" s="489"/>
      <c r="BY162" s="490"/>
      <c r="BZ162" s="483"/>
      <c r="CA162" s="484"/>
      <c r="CB162" s="484"/>
      <c r="CC162" s="485"/>
      <c r="CD162" s="477"/>
      <c r="CE162" s="478"/>
      <c r="CF162" s="478"/>
      <c r="CG162" s="478"/>
      <c r="CH162" s="479"/>
      <c r="CI162" s="477"/>
      <c r="CJ162" s="478"/>
      <c r="CK162" s="478"/>
      <c r="CL162" s="478"/>
      <c r="CM162" s="479"/>
      <c r="CN162" s="477"/>
      <c r="CO162" s="478"/>
      <c r="CP162" s="478"/>
      <c r="CQ162" s="478"/>
      <c r="CR162" s="479"/>
      <c r="CS162" s="480"/>
      <c r="CT162" s="481"/>
      <c r="CU162" s="481"/>
      <c r="CV162" s="481"/>
      <c r="CW162" s="482"/>
    </row>
    <row r="163" spans="1:101" s="91" customFormat="1" ht="16.5" x14ac:dyDescent="0.15">
      <c r="A163" s="517"/>
      <c r="B163" s="102"/>
      <c r="C163" s="220" t="str">
        <f t="shared" ca="1" si="7"/>
        <v/>
      </c>
      <c r="D163" s="521"/>
      <c r="E163" s="522"/>
      <c r="F163" s="522"/>
      <c r="G163" s="522"/>
      <c r="H163" s="522"/>
      <c r="I163" s="522"/>
      <c r="J163" s="522"/>
      <c r="K163" s="527"/>
      <c r="L163" s="528"/>
      <c r="M163" s="528"/>
      <c r="N163" s="528"/>
      <c r="O163" s="528"/>
      <c r="P163" s="528"/>
      <c r="Q163" s="528"/>
      <c r="R163" s="533"/>
      <c r="S163" s="534"/>
      <c r="T163" s="533"/>
      <c r="U163" s="534"/>
      <c r="V163" s="527"/>
      <c r="W163" s="528"/>
      <c r="X163" s="528"/>
      <c r="Y163" s="528"/>
      <c r="Z163" s="528"/>
      <c r="AA163" s="528"/>
      <c r="AB163" s="528"/>
      <c r="AC163" s="527"/>
      <c r="AD163" s="528"/>
      <c r="AE163" s="528"/>
      <c r="AF163" s="528"/>
      <c r="AG163" s="528"/>
      <c r="AH163" s="528"/>
      <c r="AI163" s="528"/>
      <c r="AJ163" s="527"/>
      <c r="AK163" s="528"/>
      <c r="AL163" s="528"/>
      <c r="AM163" s="528"/>
      <c r="AN163" s="528"/>
      <c r="AO163" s="528"/>
      <c r="AP163" s="541"/>
      <c r="AQ163" s="546"/>
      <c r="AR163" s="547"/>
      <c r="AS163" s="547"/>
      <c r="AT163" s="547"/>
      <c r="AU163" s="547"/>
      <c r="AV163" s="547"/>
      <c r="AW163" s="548"/>
      <c r="AX163" s="493"/>
      <c r="AY163" s="494"/>
      <c r="AZ163" s="105">
        <v>3</v>
      </c>
      <c r="BA163" s="483"/>
      <c r="BB163" s="484"/>
      <c r="BC163" s="484"/>
      <c r="BD163" s="485"/>
      <c r="BE163" s="486"/>
      <c r="BF163" s="487"/>
      <c r="BG163" s="106"/>
      <c r="BH163" s="488"/>
      <c r="BI163" s="489"/>
      <c r="BJ163" s="489"/>
      <c r="BK163" s="489"/>
      <c r="BL163" s="489"/>
      <c r="BM163" s="490"/>
      <c r="BN163" s="488"/>
      <c r="BO163" s="489"/>
      <c r="BP163" s="489"/>
      <c r="BQ163" s="489"/>
      <c r="BR163" s="489"/>
      <c r="BS163" s="490"/>
      <c r="BT163" s="488"/>
      <c r="BU163" s="489"/>
      <c r="BV163" s="489"/>
      <c r="BW163" s="489"/>
      <c r="BX163" s="489"/>
      <c r="BY163" s="490"/>
      <c r="BZ163" s="483"/>
      <c r="CA163" s="484"/>
      <c r="CB163" s="484"/>
      <c r="CC163" s="485"/>
      <c r="CD163" s="477"/>
      <c r="CE163" s="478"/>
      <c r="CF163" s="478"/>
      <c r="CG163" s="478"/>
      <c r="CH163" s="479"/>
      <c r="CI163" s="477"/>
      <c r="CJ163" s="478"/>
      <c r="CK163" s="478"/>
      <c r="CL163" s="478"/>
      <c r="CM163" s="479"/>
      <c r="CN163" s="477"/>
      <c r="CO163" s="478"/>
      <c r="CP163" s="478"/>
      <c r="CQ163" s="478"/>
      <c r="CR163" s="479"/>
      <c r="CS163" s="480"/>
      <c r="CT163" s="481"/>
      <c r="CU163" s="481"/>
      <c r="CV163" s="481"/>
      <c r="CW163" s="482"/>
    </row>
    <row r="164" spans="1:101" s="91" customFormat="1" ht="16.5" x14ac:dyDescent="0.15">
      <c r="A164" s="517"/>
      <c r="B164" s="102"/>
      <c r="C164" s="220" t="str">
        <f t="shared" ca="1" si="7"/>
        <v/>
      </c>
      <c r="D164" s="521"/>
      <c r="E164" s="522"/>
      <c r="F164" s="522"/>
      <c r="G164" s="522"/>
      <c r="H164" s="522"/>
      <c r="I164" s="522"/>
      <c r="J164" s="522"/>
      <c r="K164" s="527"/>
      <c r="L164" s="528"/>
      <c r="M164" s="528"/>
      <c r="N164" s="528"/>
      <c r="O164" s="528"/>
      <c r="P164" s="528"/>
      <c r="Q164" s="528"/>
      <c r="R164" s="533"/>
      <c r="S164" s="534"/>
      <c r="T164" s="533"/>
      <c r="U164" s="534"/>
      <c r="V164" s="527"/>
      <c r="W164" s="528"/>
      <c r="X164" s="528"/>
      <c r="Y164" s="528"/>
      <c r="Z164" s="528"/>
      <c r="AA164" s="528"/>
      <c r="AB164" s="528"/>
      <c r="AC164" s="527"/>
      <c r="AD164" s="528"/>
      <c r="AE164" s="528"/>
      <c r="AF164" s="528"/>
      <c r="AG164" s="528"/>
      <c r="AH164" s="528"/>
      <c r="AI164" s="528"/>
      <c r="AJ164" s="527"/>
      <c r="AK164" s="528"/>
      <c r="AL164" s="528"/>
      <c r="AM164" s="528"/>
      <c r="AN164" s="528"/>
      <c r="AO164" s="528"/>
      <c r="AP164" s="541"/>
      <c r="AQ164" s="546"/>
      <c r="AR164" s="547"/>
      <c r="AS164" s="547"/>
      <c r="AT164" s="547"/>
      <c r="AU164" s="547"/>
      <c r="AV164" s="547"/>
      <c r="AW164" s="548"/>
      <c r="AX164" s="493"/>
      <c r="AY164" s="494"/>
      <c r="AZ164" s="105">
        <v>4</v>
      </c>
      <c r="BA164" s="483"/>
      <c r="BB164" s="484"/>
      <c r="BC164" s="484"/>
      <c r="BD164" s="485"/>
      <c r="BE164" s="486"/>
      <c r="BF164" s="487"/>
      <c r="BG164" s="106"/>
      <c r="BH164" s="488"/>
      <c r="BI164" s="489"/>
      <c r="BJ164" s="489"/>
      <c r="BK164" s="489"/>
      <c r="BL164" s="489"/>
      <c r="BM164" s="490"/>
      <c r="BN164" s="488"/>
      <c r="BO164" s="489"/>
      <c r="BP164" s="489"/>
      <c r="BQ164" s="489"/>
      <c r="BR164" s="489"/>
      <c r="BS164" s="490"/>
      <c r="BT164" s="488"/>
      <c r="BU164" s="489"/>
      <c r="BV164" s="489"/>
      <c r="BW164" s="489"/>
      <c r="BX164" s="489"/>
      <c r="BY164" s="490"/>
      <c r="BZ164" s="483"/>
      <c r="CA164" s="484"/>
      <c r="CB164" s="484"/>
      <c r="CC164" s="485"/>
      <c r="CD164" s="477"/>
      <c r="CE164" s="478"/>
      <c r="CF164" s="478"/>
      <c r="CG164" s="478"/>
      <c r="CH164" s="479"/>
      <c r="CI164" s="477"/>
      <c r="CJ164" s="478"/>
      <c r="CK164" s="478"/>
      <c r="CL164" s="478"/>
      <c r="CM164" s="479"/>
      <c r="CN164" s="477"/>
      <c r="CO164" s="478"/>
      <c r="CP164" s="478"/>
      <c r="CQ164" s="478"/>
      <c r="CR164" s="479"/>
      <c r="CS164" s="480"/>
      <c r="CT164" s="481"/>
      <c r="CU164" s="481"/>
      <c r="CV164" s="481"/>
      <c r="CW164" s="482"/>
    </row>
    <row r="165" spans="1:101" s="91" customFormat="1" ht="16.5" x14ac:dyDescent="0.15">
      <c r="A165" s="517"/>
      <c r="B165" s="102"/>
      <c r="C165" s="220" t="str">
        <f t="shared" ca="1" si="7"/>
        <v/>
      </c>
      <c r="D165" s="521"/>
      <c r="E165" s="522"/>
      <c r="F165" s="522"/>
      <c r="G165" s="522"/>
      <c r="H165" s="522"/>
      <c r="I165" s="522"/>
      <c r="J165" s="522"/>
      <c r="K165" s="527"/>
      <c r="L165" s="528"/>
      <c r="M165" s="528"/>
      <c r="N165" s="528"/>
      <c r="O165" s="528"/>
      <c r="P165" s="528"/>
      <c r="Q165" s="528"/>
      <c r="R165" s="533"/>
      <c r="S165" s="534"/>
      <c r="T165" s="533"/>
      <c r="U165" s="534"/>
      <c r="V165" s="527"/>
      <c r="W165" s="528"/>
      <c r="X165" s="528"/>
      <c r="Y165" s="528"/>
      <c r="Z165" s="528"/>
      <c r="AA165" s="528"/>
      <c r="AB165" s="528"/>
      <c r="AC165" s="527"/>
      <c r="AD165" s="528"/>
      <c r="AE165" s="528"/>
      <c r="AF165" s="528"/>
      <c r="AG165" s="528"/>
      <c r="AH165" s="528"/>
      <c r="AI165" s="528"/>
      <c r="AJ165" s="527"/>
      <c r="AK165" s="528"/>
      <c r="AL165" s="528"/>
      <c r="AM165" s="528"/>
      <c r="AN165" s="528"/>
      <c r="AO165" s="528"/>
      <c r="AP165" s="541"/>
      <c r="AQ165" s="546"/>
      <c r="AR165" s="547"/>
      <c r="AS165" s="547"/>
      <c r="AT165" s="547"/>
      <c r="AU165" s="547"/>
      <c r="AV165" s="547"/>
      <c r="AW165" s="548"/>
      <c r="AX165" s="493"/>
      <c r="AY165" s="494"/>
      <c r="AZ165" s="105">
        <v>5</v>
      </c>
      <c r="BA165" s="483"/>
      <c r="BB165" s="484"/>
      <c r="BC165" s="484"/>
      <c r="BD165" s="485"/>
      <c r="BE165" s="486"/>
      <c r="BF165" s="487"/>
      <c r="BG165" s="106"/>
      <c r="BH165" s="488"/>
      <c r="BI165" s="489"/>
      <c r="BJ165" s="489"/>
      <c r="BK165" s="489"/>
      <c r="BL165" s="489"/>
      <c r="BM165" s="490"/>
      <c r="BN165" s="488"/>
      <c r="BO165" s="489"/>
      <c r="BP165" s="489"/>
      <c r="BQ165" s="489"/>
      <c r="BR165" s="489"/>
      <c r="BS165" s="490"/>
      <c r="BT165" s="488"/>
      <c r="BU165" s="489"/>
      <c r="BV165" s="489"/>
      <c r="BW165" s="489"/>
      <c r="BX165" s="489"/>
      <c r="BY165" s="490"/>
      <c r="BZ165" s="483"/>
      <c r="CA165" s="484"/>
      <c r="CB165" s="484"/>
      <c r="CC165" s="485"/>
      <c r="CD165" s="477"/>
      <c r="CE165" s="478"/>
      <c r="CF165" s="478"/>
      <c r="CG165" s="478"/>
      <c r="CH165" s="479"/>
      <c r="CI165" s="477"/>
      <c r="CJ165" s="478"/>
      <c r="CK165" s="478"/>
      <c r="CL165" s="478"/>
      <c r="CM165" s="479"/>
      <c r="CN165" s="477"/>
      <c r="CO165" s="478"/>
      <c r="CP165" s="478"/>
      <c r="CQ165" s="478"/>
      <c r="CR165" s="479"/>
      <c r="CS165" s="480"/>
      <c r="CT165" s="481"/>
      <c r="CU165" s="481"/>
      <c r="CV165" s="481"/>
      <c r="CW165" s="482"/>
    </row>
    <row r="166" spans="1:101" s="91" customFormat="1" ht="16.5" x14ac:dyDescent="0.15">
      <c r="A166" s="518"/>
      <c r="B166" s="107"/>
      <c r="C166" s="219" t="str">
        <f t="shared" ca="1" si="7"/>
        <v/>
      </c>
      <c r="D166" s="523"/>
      <c r="E166" s="650"/>
      <c r="F166" s="650"/>
      <c r="G166" s="650"/>
      <c r="H166" s="650"/>
      <c r="I166" s="650"/>
      <c r="J166" s="650"/>
      <c r="K166" s="529"/>
      <c r="L166" s="530"/>
      <c r="M166" s="530"/>
      <c r="N166" s="530"/>
      <c r="O166" s="530"/>
      <c r="P166" s="530"/>
      <c r="Q166" s="530"/>
      <c r="R166" s="535"/>
      <c r="S166" s="537"/>
      <c r="T166" s="535"/>
      <c r="U166" s="537"/>
      <c r="V166" s="529"/>
      <c r="W166" s="539"/>
      <c r="X166" s="539"/>
      <c r="Y166" s="539"/>
      <c r="Z166" s="539"/>
      <c r="AA166" s="539"/>
      <c r="AB166" s="539"/>
      <c r="AC166" s="529"/>
      <c r="AD166" s="539"/>
      <c r="AE166" s="539"/>
      <c r="AF166" s="539"/>
      <c r="AG166" s="539"/>
      <c r="AH166" s="539"/>
      <c r="AI166" s="539"/>
      <c r="AJ166" s="529"/>
      <c r="AK166" s="539"/>
      <c r="AL166" s="539"/>
      <c r="AM166" s="539"/>
      <c r="AN166" s="539"/>
      <c r="AO166" s="539"/>
      <c r="AP166" s="542"/>
      <c r="AQ166" s="549"/>
      <c r="AR166" s="550"/>
      <c r="AS166" s="550"/>
      <c r="AT166" s="550"/>
      <c r="AU166" s="550"/>
      <c r="AV166" s="550"/>
      <c r="AW166" s="551"/>
      <c r="AX166" s="495"/>
      <c r="AY166" s="496"/>
      <c r="AZ166" s="112">
        <v>6</v>
      </c>
      <c r="BA166" s="513"/>
      <c r="BB166" s="514"/>
      <c r="BC166" s="514"/>
      <c r="BD166" s="515"/>
      <c r="BE166" s="644"/>
      <c r="BF166" s="645"/>
      <c r="BG166" s="111"/>
      <c r="BH166" s="646"/>
      <c r="BI166" s="647"/>
      <c r="BJ166" s="647"/>
      <c r="BK166" s="647"/>
      <c r="BL166" s="647"/>
      <c r="BM166" s="648"/>
      <c r="BN166" s="646"/>
      <c r="BO166" s="647"/>
      <c r="BP166" s="647"/>
      <c r="BQ166" s="647"/>
      <c r="BR166" s="647"/>
      <c r="BS166" s="648"/>
      <c r="BT166" s="646"/>
      <c r="BU166" s="647"/>
      <c r="BV166" s="647"/>
      <c r="BW166" s="647"/>
      <c r="BX166" s="647"/>
      <c r="BY166" s="648"/>
      <c r="BZ166" s="513"/>
      <c r="CA166" s="514"/>
      <c r="CB166" s="514"/>
      <c r="CC166" s="515"/>
      <c r="CD166" s="477"/>
      <c r="CE166" s="478"/>
      <c r="CF166" s="478"/>
      <c r="CG166" s="478"/>
      <c r="CH166" s="479"/>
      <c r="CI166" s="477"/>
      <c r="CJ166" s="478"/>
      <c r="CK166" s="478"/>
      <c r="CL166" s="478"/>
      <c r="CM166" s="479"/>
      <c r="CN166" s="477"/>
      <c r="CO166" s="478"/>
      <c r="CP166" s="478"/>
      <c r="CQ166" s="478"/>
      <c r="CR166" s="479"/>
      <c r="CS166" s="480"/>
      <c r="CT166" s="481"/>
      <c r="CU166" s="481"/>
      <c r="CV166" s="481"/>
      <c r="CW166" s="482"/>
    </row>
    <row r="167" spans="1:101" s="91" customFormat="1" ht="15.75" customHeight="1" x14ac:dyDescent="0.15">
      <c r="A167" s="516">
        <v>27</v>
      </c>
      <c r="B167" s="102"/>
      <c r="C167" s="222" t="str">
        <f t="shared" ca="1" si="7"/>
        <v/>
      </c>
      <c r="D167" s="519"/>
      <c r="E167" s="649"/>
      <c r="F167" s="649"/>
      <c r="G167" s="649"/>
      <c r="H167" s="649"/>
      <c r="I167" s="649"/>
      <c r="J167" s="649"/>
      <c r="K167" s="525"/>
      <c r="L167" s="526"/>
      <c r="M167" s="526"/>
      <c r="N167" s="526"/>
      <c r="O167" s="526"/>
      <c r="P167" s="526"/>
      <c r="Q167" s="526"/>
      <c r="R167" s="531"/>
      <c r="S167" s="532"/>
      <c r="T167" s="531"/>
      <c r="U167" s="532"/>
      <c r="V167" s="525"/>
      <c r="W167" s="538"/>
      <c r="X167" s="538"/>
      <c r="Y167" s="538"/>
      <c r="Z167" s="538"/>
      <c r="AA167" s="538"/>
      <c r="AB167" s="538"/>
      <c r="AC167" s="525"/>
      <c r="AD167" s="538"/>
      <c r="AE167" s="538"/>
      <c r="AF167" s="538"/>
      <c r="AG167" s="538"/>
      <c r="AH167" s="538"/>
      <c r="AI167" s="538"/>
      <c r="AJ167" s="525"/>
      <c r="AK167" s="538"/>
      <c r="AL167" s="538"/>
      <c r="AM167" s="538"/>
      <c r="AN167" s="538"/>
      <c r="AO167" s="538"/>
      <c r="AP167" s="540"/>
      <c r="AQ167" s="525"/>
      <c r="AR167" s="544"/>
      <c r="AS167" s="544"/>
      <c r="AT167" s="544"/>
      <c r="AU167" s="544"/>
      <c r="AV167" s="544"/>
      <c r="AW167" s="545"/>
      <c r="AX167" s="491"/>
      <c r="AY167" s="492"/>
      <c r="AZ167" s="103">
        <v>1</v>
      </c>
      <c r="BA167" s="497"/>
      <c r="BB167" s="498"/>
      <c r="BC167" s="498"/>
      <c r="BD167" s="499"/>
      <c r="BE167" s="500"/>
      <c r="BF167" s="501"/>
      <c r="BG167" s="110"/>
      <c r="BH167" s="502"/>
      <c r="BI167" s="503"/>
      <c r="BJ167" s="503"/>
      <c r="BK167" s="503"/>
      <c r="BL167" s="503"/>
      <c r="BM167" s="504"/>
      <c r="BN167" s="502"/>
      <c r="BO167" s="503"/>
      <c r="BP167" s="503"/>
      <c r="BQ167" s="503"/>
      <c r="BR167" s="503"/>
      <c r="BS167" s="504"/>
      <c r="BT167" s="502"/>
      <c r="BU167" s="503"/>
      <c r="BV167" s="503"/>
      <c r="BW167" s="503"/>
      <c r="BX167" s="503"/>
      <c r="BY167" s="504"/>
      <c r="BZ167" s="497"/>
      <c r="CA167" s="498"/>
      <c r="CB167" s="498"/>
      <c r="CC167" s="499"/>
      <c r="CD167" s="477"/>
      <c r="CE167" s="478"/>
      <c r="CF167" s="478"/>
      <c r="CG167" s="478"/>
      <c r="CH167" s="479"/>
      <c r="CI167" s="477"/>
      <c r="CJ167" s="478"/>
      <c r="CK167" s="478"/>
      <c r="CL167" s="478"/>
      <c r="CM167" s="479"/>
      <c r="CN167" s="477"/>
      <c r="CO167" s="478"/>
      <c r="CP167" s="478"/>
      <c r="CQ167" s="478"/>
      <c r="CR167" s="479"/>
      <c r="CS167" s="480"/>
      <c r="CT167" s="481"/>
      <c r="CU167" s="481"/>
      <c r="CV167" s="481"/>
      <c r="CW167" s="482"/>
    </row>
    <row r="168" spans="1:101" s="91" customFormat="1" ht="16.5" x14ac:dyDescent="0.15">
      <c r="A168" s="517"/>
      <c r="B168" s="102"/>
      <c r="C168" s="220" t="str">
        <f t="shared" ca="1" si="7"/>
        <v/>
      </c>
      <c r="D168" s="521"/>
      <c r="E168" s="522"/>
      <c r="F168" s="522"/>
      <c r="G168" s="522"/>
      <c r="H168" s="522"/>
      <c r="I168" s="522"/>
      <c r="J168" s="522"/>
      <c r="K168" s="527"/>
      <c r="L168" s="528"/>
      <c r="M168" s="528"/>
      <c r="N168" s="528"/>
      <c r="O168" s="528"/>
      <c r="P168" s="528"/>
      <c r="Q168" s="528"/>
      <c r="R168" s="533"/>
      <c r="S168" s="534"/>
      <c r="T168" s="533"/>
      <c r="U168" s="534"/>
      <c r="V168" s="527"/>
      <c r="W168" s="528"/>
      <c r="X168" s="528"/>
      <c r="Y168" s="528"/>
      <c r="Z168" s="528"/>
      <c r="AA168" s="528"/>
      <c r="AB168" s="528"/>
      <c r="AC168" s="527"/>
      <c r="AD168" s="528"/>
      <c r="AE168" s="528"/>
      <c r="AF168" s="528"/>
      <c r="AG168" s="528"/>
      <c r="AH168" s="528"/>
      <c r="AI168" s="528"/>
      <c r="AJ168" s="527"/>
      <c r="AK168" s="528"/>
      <c r="AL168" s="528"/>
      <c r="AM168" s="528"/>
      <c r="AN168" s="528"/>
      <c r="AO168" s="528"/>
      <c r="AP168" s="541"/>
      <c r="AQ168" s="546"/>
      <c r="AR168" s="547"/>
      <c r="AS168" s="547"/>
      <c r="AT168" s="547"/>
      <c r="AU168" s="547"/>
      <c r="AV168" s="547"/>
      <c r="AW168" s="548"/>
      <c r="AX168" s="493"/>
      <c r="AY168" s="494"/>
      <c r="AZ168" s="105">
        <v>2</v>
      </c>
      <c r="BA168" s="483"/>
      <c r="BB168" s="484"/>
      <c r="BC168" s="484"/>
      <c r="BD168" s="485"/>
      <c r="BE168" s="486"/>
      <c r="BF168" s="487"/>
      <c r="BG168" s="106"/>
      <c r="BH168" s="488"/>
      <c r="BI168" s="489"/>
      <c r="BJ168" s="489"/>
      <c r="BK168" s="489"/>
      <c r="BL168" s="489"/>
      <c r="BM168" s="490"/>
      <c r="BN168" s="488"/>
      <c r="BO168" s="489"/>
      <c r="BP168" s="489"/>
      <c r="BQ168" s="489"/>
      <c r="BR168" s="489"/>
      <c r="BS168" s="490"/>
      <c r="BT168" s="488"/>
      <c r="BU168" s="489"/>
      <c r="BV168" s="489"/>
      <c r="BW168" s="489"/>
      <c r="BX168" s="489"/>
      <c r="BY168" s="490"/>
      <c r="BZ168" s="483"/>
      <c r="CA168" s="484"/>
      <c r="CB168" s="484"/>
      <c r="CC168" s="485"/>
      <c r="CD168" s="477"/>
      <c r="CE168" s="478"/>
      <c r="CF168" s="478"/>
      <c r="CG168" s="478"/>
      <c r="CH168" s="479"/>
      <c r="CI168" s="477"/>
      <c r="CJ168" s="478"/>
      <c r="CK168" s="478"/>
      <c r="CL168" s="478"/>
      <c r="CM168" s="479"/>
      <c r="CN168" s="477"/>
      <c r="CO168" s="478"/>
      <c r="CP168" s="478"/>
      <c r="CQ168" s="478"/>
      <c r="CR168" s="479"/>
      <c r="CS168" s="480"/>
      <c r="CT168" s="481"/>
      <c r="CU168" s="481"/>
      <c r="CV168" s="481"/>
      <c r="CW168" s="482"/>
    </row>
    <row r="169" spans="1:101" s="91" customFormat="1" ht="16.5" x14ac:dyDescent="0.15">
      <c r="A169" s="517"/>
      <c r="B169" s="102"/>
      <c r="C169" s="220" t="str">
        <f t="shared" ca="1" si="7"/>
        <v/>
      </c>
      <c r="D169" s="521"/>
      <c r="E169" s="522"/>
      <c r="F169" s="522"/>
      <c r="G169" s="522"/>
      <c r="H169" s="522"/>
      <c r="I169" s="522"/>
      <c r="J169" s="522"/>
      <c r="K169" s="527"/>
      <c r="L169" s="528"/>
      <c r="M169" s="528"/>
      <c r="N169" s="528"/>
      <c r="O169" s="528"/>
      <c r="P169" s="528"/>
      <c r="Q169" s="528"/>
      <c r="R169" s="533"/>
      <c r="S169" s="534"/>
      <c r="T169" s="533"/>
      <c r="U169" s="534"/>
      <c r="V169" s="527"/>
      <c r="W169" s="528"/>
      <c r="X169" s="528"/>
      <c r="Y169" s="528"/>
      <c r="Z169" s="528"/>
      <c r="AA169" s="528"/>
      <c r="AB169" s="528"/>
      <c r="AC169" s="527"/>
      <c r="AD169" s="528"/>
      <c r="AE169" s="528"/>
      <c r="AF169" s="528"/>
      <c r="AG169" s="528"/>
      <c r="AH169" s="528"/>
      <c r="AI169" s="528"/>
      <c r="AJ169" s="527"/>
      <c r="AK169" s="528"/>
      <c r="AL169" s="528"/>
      <c r="AM169" s="528"/>
      <c r="AN169" s="528"/>
      <c r="AO169" s="528"/>
      <c r="AP169" s="541"/>
      <c r="AQ169" s="546"/>
      <c r="AR169" s="547"/>
      <c r="AS169" s="547"/>
      <c r="AT169" s="547"/>
      <c r="AU169" s="547"/>
      <c r="AV169" s="547"/>
      <c r="AW169" s="548"/>
      <c r="AX169" s="493"/>
      <c r="AY169" s="494"/>
      <c r="AZ169" s="105">
        <v>3</v>
      </c>
      <c r="BA169" s="483"/>
      <c r="BB169" s="484"/>
      <c r="BC169" s="484"/>
      <c r="BD169" s="485"/>
      <c r="BE169" s="486"/>
      <c r="BF169" s="487"/>
      <c r="BG169" s="106"/>
      <c r="BH169" s="488"/>
      <c r="BI169" s="489"/>
      <c r="BJ169" s="489"/>
      <c r="BK169" s="489"/>
      <c r="BL169" s="489"/>
      <c r="BM169" s="490"/>
      <c r="BN169" s="488"/>
      <c r="BO169" s="489"/>
      <c r="BP169" s="489"/>
      <c r="BQ169" s="489"/>
      <c r="BR169" s="489"/>
      <c r="BS169" s="490"/>
      <c r="BT169" s="488"/>
      <c r="BU169" s="489"/>
      <c r="BV169" s="489"/>
      <c r="BW169" s="489"/>
      <c r="BX169" s="489"/>
      <c r="BY169" s="490"/>
      <c r="BZ169" s="483"/>
      <c r="CA169" s="484"/>
      <c r="CB169" s="484"/>
      <c r="CC169" s="485"/>
      <c r="CD169" s="477"/>
      <c r="CE169" s="478"/>
      <c r="CF169" s="478"/>
      <c r="CG169" s="478"/>
      <c r="CH169" s="479"/>
      <c r="CI169" s="477"/>
      <c r="CJ169" s="478"/>
      <c r="CK169" s="478"/>
      <c r="CL169" s="478"/>
      <c r="CM169" s="479"/>
      <c r="CN169" s="477"/>
      <c r="CO169" s="478"/>
      <c r="CP169" s="478"/>
      <c r="CQ169" s="478"/>
      <c r="CR169" s="479"/>
      <c r="CS169" s="480"/>
      <c r="CT169" s="481"/>
      <c r="CU169" s="481"/>
      <c r="CV169" s="481"/>
      <c r="CW169" s="482"/>
    </row>
    <row r="170" spans="1:101" s="91" customFormat="1" ht="16.5" x14ac:dyDescent="0.15">
      <c r="A170" s="517"/>
      <c r="B170" s="102"/>
      <c r="C170" s="220" t="str">
        <f t="shared" ca="1" si="7"/>
        <v/>
      </c>
      <c r="D170" s="521"/>
      <c r="E170" s="522"/>
      <c r="F170" s="522"/>
      <c r="G170" s="522"/>
      <c r="H170" s="522"/>
      <c r="I170" s="522"/>
      <c r="J170" s="522"/>
      <c r="K170" s="527"/>
      <c r="L170" s="528"/>
      <c r="M170" s="528"/>
      <c r="N170" s="528"/>
      <c r="O170" s="528"/>
      <c r="P170" s="528"/>
      <c r="Q170" s="528"/>
      <c r="R170" s="533"/>
      <c r="S170" s="534"/>
      <c r="T170" s="533"/>
      <c r="U170" s="534"/>
      <c r="V170" s="527"/>
      <c r="W170" s="528"/>
      <c r="X170" s="528"/>
      <c r="Y170" s="528"/>
      <c r="Z170" s="528"/>
      <c r="AA170" s="528"/>
      <c r="AB170" s="528"/>
      <c r="AC170" s="527"/>
      <c r="AD170" s="528"/>
      <c r="AE170" s="528"/>
      <c r="AF170" s="528"/>
      <c r="AG170" s="528"/>
      <c r="AH170" s="528"/>
      <c r="AI170" s="528"/>
      <c r="AJ170" s="527"/>
      <c r="AK170" s="528"/>
      <c r="AL170" s="528"/>
      <c r="AM170" s="528"/>
      <c r="AN170" s="528"/>
      <c r="AO170" s="528"/>
      <c r="AP170" s="541"/>
      <c r="AQ170" s="546"/>
      <c r="AR170" s="547"/>
      <c r="AS170" s="547"/>
      <c r="AT170" s="547"/>
      <c r="AU170" s="547"/>
      <c r="AV170" s="547"/>
      <c r="AW170" s="548"/>
      <c r="AX170" s="493"/>
      <c r="AY170" s="494"/>
      <c r="AZ170" s="105">
        <v>4</v>
      </c>
      <c r="BA170" s="483"/>
      <c r="BB170" s="484"/>
      <c r="BC170" s="484"/>
      <c r="BD170" s="485"/>
      <c r="BE170" s="486"/>
      <c r="BF170" s="487"/>
      <c r="BG170" s="106"/>
      <c r="BH170" s="488"/>
      <c r="BI170" s="489"/>
      <c r="BJ170" s="489"/>
      <c r="BK170" s="489"/>
      <c r="BL170" s="489"/>
      <c r="BM170" s="490"/>
      <c r="BN170" s="488"/>
      <c r="BO170" s="489"/>
      <c r="BP170" s="489"/>
      <c r="BQ170" s="489"/>
      <c r="BR170" s="489"/>
      <c r="BS170" s="490"/>
      <c r="BT170" s="488"/>
      <c r="BU170" s="489"/>
      <c r="BV170" s="489"/>
      <c r="BW170" s="489"/>
      <c r="BX170" s="489"/>
      <c r="BY170" s="490"/>
      <c r="BZ170" s="483"/>
      <c r="CA170" s="484"/>
      <c r="CB170" s="484"/>
      <c r="CC170" s="485"/>
      <c r="CD170" s="477"/>
      <c r="CE170" s="478"/>
      <c r="CF170" s="478"/>
      <c r="CG170" s="478"/>
      <c r="CH170" s="479"/>
      <c r="CI170" s="477"/>
      <c r="CJ170" s="478"/>
      <c r="CK170" s="478"/>
      <c r="CL170" s="478"/>
      <c r="CM170" s="479"/>
      <c r="CN170" s="477"/>
      <c r="CO170" s="478"/>
      <c r="CP170" s="478"/>
      <c r="CQ170" s="478"/>
      <c r="CR170" s="479"/>
      <c r="CS170" s="480"/>
      <c r="CT170" s="481"/>
      <c r="CU170" s="481"/>
      <c r="CV170" s="481"/>
      <c r="CW170" s="482"/>
    </row>
    <row r="171" spans="1:101" s="91" customFormat="1" ht="16.5" x14ac:dyDescent="0.15">
      <c r="A171" s="517"/>
      <c r="B171" s="102"/>
      <c r="C171" s="220" t="str">
        <f t="shared" ca="1" si="7"/>
        <v/>
      </c>
      <c r="D171" s="521"/>
      <c r="E171" s="522"/>
      <c r="F171" s="522"/>
      <c r="G171" s="522"/>
      <c r="H171" s="522"/>
      <c r="I171" s="522"/>
      <c r="J171" s="522"/>
      <c r="K171" s="527"/>
      <c r="L171" s="528"/>
      <c r="M171" s="528"/>
      <c r="N171" s="528"/>
      <c r="O171" s="528"/>
      <c r="P171" s="528"/>
      <c r="Q171" s="528"/>
      <c r="R171" s="533"/>
      <c r="S171" s="534"/>
      <c r="T171" s="533"/>
      <c r="U171" s="534"/>
      <c r="V171" s="527"/>
      <c r="W171" s="528"/>
      <c r="X171" s="528"/>
      <c r="Y171" s="528"/>
      <c r="Z171" s="528"/>
      <c r="AA171" s="528"/>
      <c r="AB171" s="528"/>
      <c r="AC171" s="527"/>
      <c r="AD171" s="528"/>
      <c r="AE171" s="528"/>
      <c r="AF171" s="528"/>
      <c r="AG171" s="528"/>
      <c r="AH171" s="528"/>
      <c r="AI171" s="528"/>
      <c r="AJ171" s="527"/>
      <c r="AK171" s="528"/>
      <c r="AL171" s="528"/>
      <c r="AM171" s="528"/>
      <c r="AN171" s="528"/>
      <c r="AO171" s="528"/>
      <c r="AP171" s="541"/>
      <c r="AQ171" s="546"/>
      <c r="AR171" s="547"/>
      <c r="AS171" s="547"/>
      <c r="AT171" s="547"/>
      <c r="AU171" s="547"/>
      <c r="AV171" s="547"/>
      <c r="AW171" s="548"/>
      <c r="AX171" s="493"/>
      <c r="AY171" s="494"/>
      <c r="AZ171" s="105">
        <v>5</v>
      </c>
      <c r="BA171" s="483"/>
      <c r="BB171" s="484"/>
      <c r="BC171" s="484"/>
      <c r="BD171" s="485"/>
      <c r="BE171" s="486"/>
      <c r="BF171" s="487"/>
      <c r="BG171" s="106"/>
      <c r="BH171" s="488"/>
      <c r="BI171" s="489"/>
      <c r="BJ171" s="489"/>
      <c r="BK171" s="489"/>
      <c r="BL171" s="489"/>
      <c r="BM171" s="490"/>
      <c r="BN171" s="488"/>
      <c r="BO171" s="489"/>
      <c r="BP171" s="489"/>
      <c r="BQ171" s="489"/>
      <c r="BR171" s="489"/>
      <c r="BS171" s="490"/>
      <c r="BT171" s="488"/>
      <c r="BU171" s="489"/>
      <c r="BV171" s="489"/>
      <c r="BW171" s="489"/>
      <c r="BX171" s="489"/>
      <c r="BY171" s="490"/>
      <c r="BZ171" s="483"/>
      <c r="CA171" s="484"/>
      <c r="CB171" s="484"/>
      <c r="CC171" s="485"/>
      <c r="CD171" s="477"/>
      <c r="CE171" s="478"/>
      <c r="CF171" s="478"/>
      <c r="CG171" s="478"/>
      <c r="CH171" s="479"/>
      <c r="CI171" s="477"/>
      <c r="CJ171" s="478"/>
      <c r="CK171" s="478"/>
      <c r="CL171" s="478"/>
      <c r="CM171" s="479"/>
      <c r="CN171" s="477"/>
      <c r="CO171" s="478"/>
      <c r="CP171" s="478"/>
      <c r="CQ171" s="478"/>
      <c r="CR171" s="479"/>
      <c r="CS171" s="480"/>
      <c r="CT171" s="481"/>
      <c r="CU171" s="481"/>
      <c r="CV171" s="481"/>
      <c r="CW171" s="482"/>
    </row>
    <row r="172" spans="1:101" s="91" customFormat="1" ht="16.5" x14ac:dyDescent="0.15">
      <c r="A172" s="518"/>
      <c r="B172" s="107"/>
      <c r="C172" s="220" t="str">
        <f t="shared" ca="1" si="7"/>
        <v/>
      </c>
      <c r="D172" s="523"/>
      <c r="E172" s="650"/>
      <c r="F172" s="650"/>
      <c r="G172" s="650"/>
      <c r="H172" s="650"/>
      <c r="I172" s="650"/>
      <c r="J172" s="650"/>
      <c r="K172" s="529"/>
      <c r="L172" s="530"/>
      <c r="M172" s="530"/>
      <c r="N172" s="530"/>
      <c r="O172" s="530"/>
      <c r="P172" s="530"/>
      <c r="Q172" s="530"/>
      <c r="R172" s="535"/>
      <c r="S172" s="537"/>
      <c r="T172" s="535"/>
      <c r="U172" s="537"/>
      <c r="V172" s="529"/>
      <c r="W172" s="539"/>
      <c r="X172" s="539"/>
      <c r="Y172" s="539"/>
      <c r="Z172" s="539"/>
      <c r="AA172" s="539"/>
      <c r="AB172" s="539"/>
      <c r="AC172" s="529"/>
      <c r="AD172" s="539"/>
      <c r="AE172" s="539"/>
      <c r="AF172" s="539"/>
      <c r="AG172" s="539"/>
      <c r="AH172" s="539"/>
      <c r="AI172" s="539"/>
      <c r="AJ172" s="529"/>
      <c r="AK172" s="539"/>
      <c r="AL172" s="539"/>
      <c r="AM172" s="539"/>
      <c r="AN172" s="539"/>
      <c r="AO172" s="539"/>
      <c r="AP172" s="542"/>
      <c r="AQ172" s="549"/>
      <c r="AR172" s="550"/>
      <c r="AS172" s="550"/>
      <c r="AT172" s="550"/>
      <c r="AU172" s="550"/>
      <c r="AV172" s="550"/>
      <c r="AW172" s="551"/>
      <c r="AX172" s="495"/>
      <c r="AY172" s="496"/>
      <c r="AZ172" s="108">
        <v>6</v>
      </c>
      <c r="BA172" s="513"/>
      <c r="BB172" s="514"/>
      <c r="BC172" s="514"/>
      <c r="BD172" s="515"/>
      <c r="BE172" s="644"/>
      <c r="BF172" s="645"/>
      <c r="BG172" s="111"/>
      <c r="BH172" s="510"/>
      <c r="BI172" s="511"/>
      <c r="BJ172" s="511"/>
      <c r="BK172" s="511"/>
      <c r="BL172" s="511"/>
      <c r="BM172" s="512"/>
      <c r="BN172" s="510"/>
      <c r="BO172" s="511"/>
      <c r="BP172" s="511"/>
      <c r="BQ172" s="511"/>
      <c r="BR172" s="511"/>
      <c r="BS172" s="512"/>
      <c r="BT172" s="510"/>
      <c r="BU172" s="511"/>
      <c r="BV172" s="511"/>
      <c r="BW172" s="511"/>
      <c r="BX172" s="511"/>
      <c r="BY172" s="512"/>
      <c r="BZ172" s="513"/>
      <c r="CA172" s="514"/>
      <c r="CB172" s="514"/>
      <c r="CC172" s="515"/>
      <c r="CD172" s="477"/>
      <c r="CE172" s="478"/>
      <c r="CF172" s="478"/>
      <c r="CG172" s="478"/>
      <c r="CH172" s="479"/>
      <c r="CI172" s="477"/>
      <c r="CJ172" s="478"/>
      <c r="CK172" s="478"/>
      <c r="CL172" s="478"/>
      <c r="CM172" s="479"/>
      <c r="CN172" s="477"/>
      <c r="CO172" s="478"/>
      <c r="CP172" s="478"/>
      <c r="CQ172" s="478"/>
      <c r="CR172" s="479"/>
      <c r="CS172" s="480"/>
      <c r="CT172" s="481"/>
      <c r="CU172" s="481"/>
      <c r="CV172" s="481"/>
      <c r="CW172" s="482"/>
    </row>
    <row r="173" spans="1:101" s="91" customFormat="1" ht="15.75" customHeight="1" x14ac:dyDescent="0.15">
      <c r="A173" s="516">
        <v>28</v>
      </c>
      <c r="B173" s="102"/>
      <c r="C173" s="216" t="str">
        <f t="shared" ca="1" si="7"/>
        <v/>
      </c>
      <c r="D173" s="519"/>
      <c r="E173" s="649"/>
      <c r="F173" s="649"/>
      <c r="G173" s="649"/>
      <c r="H173" s="649"/>
      <c r="I173" s="649"/>
      <c r="J173" s="649"/>
      <c r="K173" s="525"/>
      <c r="L173" s="526"/>
      <c r="M173" s="526"/>
      <c r="N173" s="526"/>
      <c r="O173" s="526"/>
      <c r="P173" s="526"/>
      <c r="Q173" s="526"/>
      <c r="R173" s="531"/>
      <c r="S173" s="532"/>
      <c r="T173" s="531"/>
      <c r="U173" s="532"/>
      <c r="V173" s="525"/>
      <c r="W173" s="538"/>
      <c r="X173" s="538"/>
      <c r="Y173" s="538"/>
      <c r="Z173" s="538"/>
      <c r="AA173" s="538"/>
      <c r="AB173" s="538"/>
      <c r="AC173" s="525"/>
      <c r="AD173" s="538"/>
      <c r="AE173" s="538"/>
      <c r="AF173" s="538"/>
      <c r="AG173" s="538"/>
      <c r="AH173" s="538"/>
      <c r="AI173" s="538"/>
      <c r="AJ173" s="525"/>
      <c r="AK173" s="538"/>
      <c r="AL173" s="538"/>
      <c r="AM173" s="538"/>
      <c r="AN173" s="538"/>
      <c r="AO173" s="538"/>
      <c r="AP173" s="540"/>
      <c r="AQ173" s="525"/>
      <c r="AR173" s="544"/>
      <c r="AS173" s="544"/>
      <c r="AT173" s="544"/>
      <c r="AU173" s="544"/>
      <c r="AV173" s="544"/>
      <c r="AW173" s="545"/>
      <c r="AX173" s="491"/>
      <c r="AY173" s="492"/>
      <c r="AZ173" s="103">
        <v>1</v>
      </c>
      <c r="BA173" s="497"/>
      <c r="BB173" s="498"/>
      <c r="BC173" s="498"/>
      <c r="BD173" s="499"/>
      <c r="BE173" s="500"/>
      <c r="BF173" s="501"/>
      <c r="BG173" s="104"/>
      <c r="BH173" s="502"/>
      <c r="BI173" s="503"/>
      <c r="BJ173" s="503"/>
      <c r="BK173" s="503"/>
      <c r="BL173" s="503"/>
      <c r="BM173" s="504"/>
      <c r="BN173" s="502"/>
      <c r="BO173" s="503"/>
      <c r="BP173" s="503"/>
      <c r="BQ173" s="503"/>
      <c r="BR173" s="503"/>
      <c r="BS173" s="504"/>
      <c r="BT173" s="502"/>
      <c r="BU173" s="503"/>
      <c r="BV173" s="503"/>
      <c r="BW173" s="503"/>
      <c r="BX173" s="503"/>
      <c r="BY173" s="504"/>
      <c r="BZ173" s="552"/>
      <c r="CA173" s="553"/>
      <c r="CB173" s="553"/>
      <c r="CC173" s="554"/>
      <c r="CD173" s="477"/>
      <c r="CE173" s="478"/>
      <c r="CF173" s="478"/>
      <c r="CG173" s="478"/>
      <c r="CH173" s="479"/>
      <c r="CI173" s="477"/>
      <c r="CJ173" s="478"/>
      <c r="CK173" s="478"/>
      <c r="CL173" s="478"/>
      <c r="CM173" s="479"/>
      <c r="CN173" s="477"/>
      <c r="CO173" s="478"/>
      <c r="CP173" s="478"/>
      <c r="CQ173" s="478"/>
      <c r="CR173" s="479"/>
      <c r="CS173" s="480"/>
      <c r="CT173" s="481"/>
      <c r="CU173" s="481"/>
      <c r="CV173" s="481"/>
      <c r="CW173" s="482"/>
    </row>
    <row r="174" spans="1:101" s="91" customFormat="1" ht="16.5" x14ac:dyDescent="0.15">
      <c r="A174" s="517"/>
      <c r="B174" s="102"/>
      <c r="C174" s="220" t="str">
        <f t="shared" ca="1" si="7"/>
        <v/>
      </c>
      <c r="D174" s="521"/>
      <c r="E174" s="522"/>
      <c r="F174" s="522"/>
      <c r="G174" s="522"/>
      <c r="H174" s="522"/>
      <c r="I174" s="522"/>
      <c r="J174" s="522"/>
      <c r="K174" s="527"/>
      <c r="L174" s="528"/>
      <c r="M174" s="528"/>
      <c r="N174" s="528"/>
      <c r="O174" s="528"/>
      <c r="P174" s="528"/>
      <c r="Q174" s="528"/>
      <c r="R174" s="533"/>
      <c r="S174" s="534"/>
      <c r="T174" s="533"/>
      <c r="U174" s="534"/>
      <c r="V174" s="527"/>
      <c r="W174" s="528"/>
      <c r="X174" s="528"/>
      <c r="Y174" s="528"/>
      <c r="Z174" s="528"/>
      <c r="AA174" s="528"/>
      <c r="AB174" s="528"/>
      <c r="AC174" s="527"/>
      <c r="AD174" s="528"/>
      <c r="AE174" s="528"/>
      <c r="AF174" s="528"/>
      <c r="AG174" s="528"/>
      <c r="AH174" s="528"/>
      <c r="AI174" s="528"/>
      <c r="AJ174" s="527"/>
      <c r="AK174" s="528"/>
      <c r="AL174" s="528"/>
      <c r="AM174" s="528"/>
      <c r="AN174" s="528"/>
      <c r="AO174" s="528"/>
      <c r="AP174" s="541"/>
      <c r="AQ174" s="546"/>
      <c r="AR174" s="547"/>
      <c r="AS174" s="547"/>
      <c r="AT174" s="547"/>
      <c r="AU174" s="547"/>
      <c r="AV174" s="547"/>
      <c r="AW174" s="548"/>
      <c r="AX174" s="493"/>
      <c r="AY174" s="494"/>
      <c r="AZ174" s="105">
        <v>2</v>
      </c>
      <c r="BA174" s="483"/>
      <c r="BB174" s="484"/>
      <c r="BC174" s="484"/>
      <c r="BD174" s="485"/>
      <c r="BE174" s="486"/>
      <c r="BF174" s="487"/>
      <c r="BG174" s="106"/>
      <c r="BH174" s="488"/>
      <c r="BI174" s="489"/>
      <c r="BJ174" s="489"/>
      <c r="BK174" s="489"/>
      <c r="BL174" s="489"/>
      <c r="BM174" s="490"/>
      <c r="BN174" s="488"/>
      <c r="BO174" s="489"/>
      <c r="BP174" s="489"/>
      <c r="BQ174" s="489"/>
      <c r="BR174" s="489"/>
      <c r="BS174" s="490"/>
      <c r="BT174" s="488"/>
      <c r="BU174" s="489"/>
      <c r="BV174" s="489"/>
      <c r="BW174" s="489"/>
      <c r="BX174" s="489"/>
      <c r="BY174" s="490"/>
      <c r="BZ174" s="483"/>
      <c r="CA174" s="484"/>
      <c r="CB174" s="484"/>
      <c r="CC174" s="485"/>
      <c r="CD174" s="477"/>
      <c r="CE174" s="478"/>
      <c r="CF174" s="478"/>
      <c r="CG174" s="478"/>
      <c r="CH174" s="479"/>
      <c r="CI174" s="477"/>
      <c r="CJ174" s="478"/>
      <c r="CK174" s="478"/>
      <c r="CL174" s="478"/>
      <c r="CM174" s="479"/>
      <c r="CN174" s="477"/>
      <c r="CO174" s="478"/>
      <c r="CP174" s="478"/>
      <c r="CQ174" s="478"/>
      <c r="CR174" s="479"/>
      <c r="CS174" s="480"/>
      <c r="CT174" s="481"/>
      <c r="CU174" s="481"/>
      <c r="CV174" s="481"/>
      <c r="CW174" s="482"/>
    </row>
    <row r="175" spans="1:101" s="91" customFormat="1" ht="16.5" x14ac:dyDescent="0.15">
      <c r="A175" s="517"/>
      <c r="B175" s="102"/>
      <c r="C175" s="220" t="str">
        <f t="shared" ca="1" si="7"/>
        <v/>
      </c>
      <c r="D175" s="521"/>
      <c r="E175" s="522"/>
      <c r="F175" s="522"/>
      <c r="G175" s="522"/>
      <c r="H175" s="522"/>
      <c r="I175" s="522"/>
      <c r="J175" s="522"/>
      <c r="K175" s="527"/>
      <c r="L175" s="528"/>
      <c r="M175" s="528"/>
      <c r="N175" s="528"/>
      <c r="O175" s="528"/>
      <c r="P175" s="528"/>
      <c r="Q175" s="528"/>
      <c r="R175" s="533"/>
      <c r="S175" s="534"/>
      <c r="T175" s="533"/>
      <c r="U175" s="534"/>
      <c r="V175" s="527"/>
      <c r="W175" s="528"/>
      <c r="X175" s="528"/>
      <c r="Y175" s="528"/>
      <c r="Z175" s="528"/>
      <c r="AA175" s="528"/>
      <c r="AB175" s="528"/>
      <c r="AC175" s="527"/>
      <c r="AD175" s="528"/>
      <c r="AE175" s="528"/>
      <c r="AF175" s="528"/>
      <c r="AG175" s="528"/>
      <c r="AH175" s="528"/>
      <c r="AI175" s="528"/>
      <c r="AJ175" s="527"/>
      <c r="AK175" s="528"/>
      <c r="AL175" s="528"/>
      <c r="AM175" s="528"/>
      <c r="AN175" s="528"/>
      <c r="AO175" s="528"/>
      <c r="AP175" s="541"/>
      <c r="AQ175" s="546"/>
      <c r="AR175" s="547"/>
      <c r="AS175" s="547"/>
      <c r="AT175" s="547"/>
      <c r="AU175" s="547"/>
      <c r="AV175" s="547"/>
      <c r="AW175" s="548"/>
      <c r="AX175" s="493"/>
      <c r="AY175" s="494"/>
      <c r="AZ175" s="105">
        <v>3</v>
      </c>
      <c r="BA175" s="483"/>
      <c r="BB175" s="484"/>
      <c r="BC175" s="484"/>
      <c r="BD175" s="485"/>
      <c r="BE175" s="486"/>
      <c r="BF175" s="487"/>
      <c r="BG175" s="106"/>
      <c r="BH175" s="488"/>
      <c r="BI175" s="489"/>
      <c r="BJ175" s="489"/>
      <c r="BK175" s="489"/>
      <c r="BL175" s="489"/>
      <c r="BM175" s="490"/>
      <c r="BN175" s="488"/>
      <c r="BO175" s="489"/>
      <c r="BP175" s="489"/>
      <c r="BQ175" s="489"/>
      <c r="BR175" s="489"/>
      <c r="BS175" s="490"/>
      <c r="BT175" s="488"/>
      <c r="BU175" s="489"/>
      <c r="BV175" s="489"/>
      <c r="BW175" s="489"/>
      <c r="BX175" s="489"/>
      <c r="BY175" s="490"/>
      <c r="BZ175" s="483"/>
      <c r="CA175" s="484"/>
      <c r="CB175" s="484"/>
      <c r="CC175" s="485"/>
      <c r="CD175" s="477"/>
      <c r="CE175" s="478"/>
      <c r="CF175" s="478"/>
      <c r="CG175" s="478"/>
      <c r="CH175" s="479"/>
      <c r="CI175" s="477"/>
      <c r="CJ175" s="478"/>
      <c r="CK175" s="478"/>
      <c r="CL175" s="478"/>
      <c r="CM175" s="479"/>
      <c r="CN175" s="477"/>
      <c r="CO175" s="478"/>
      <c r="CP175" s="478"/>
      <c r="CQ175" s="478"/>
      <c r="CR175" s="479"/>
      <c r="CS175" s="480"/>
      <c r="CT175" s="481"/>
      <c r="CU175" s="481"/>
      <c r="CV175" s="481"/>
      <c r="CW175" s="482"/>
    </row>
    <row r="176" spans="1:101" s="91" customFormat="1" ht="16.5" x14ac:dyDescent="0.15">
      <c r="A176" s="517"/>
      <c r="B176" s="102"/>
      <c r="C176" s="220" t="str">
        <f t="shared" ca="1" si="7"/>
        <v/>
      </c>
      <c r="D176" s="521"/>
      <c r="E176" s="522"/>
      <c r="F176" s="522"/>
      <c r="G176" s="522"/>
      <c r="H176" s="522"/>
      <c r="I176" s="522"/>
      <c r="J176" s="522"/>
      <c r="K176" s="527"/>
      <c r="L176" s="528"/>
      <c r="M176" s="528"/>
      <c r="N176" s="528"/>
      <c r="O176" s="528"/>
      <c r="P176" s="528"/>
      <c r="Q176" s="528"/>
      <c r="R176" s="533"/>
      <c r="S176" s="534"/>
      <c r="T176" s="533"/>
      <c r="U176" s="534"/>
      <c r="V176" s="527"/>
      <c r="W176" s="528"/>
      <c r="X176" s="528"/>
      <c r="Y176" s="528"/>
      <c r="Z176" s="528"/>
      <c r="AA176" s="528"/>
      <c r="AB176" s="528"/>
      <c r="AC176" s="527"/>
      <c r="AD176" s="528"/>
      <c r="AE176" s="528"/>
      <c r="AF176" s="528"/>
      <c r="AG176" s="528"/>
      <c r="AH176" s="528"/>
      <c r="AI176" s="528"/>
      <c r="AJ176" s="527"/>
      <c r="AK176" s="528"/>
      <c r="AL176" s="528"/>
      <c r="AM176" s="528"/>
      <c r="AN176" s="528"/>
      <c r="AO176" s="528"/>
      <c r="AP176" s="541"/>
      <c r="AQ176" s="546"/>
      <c r="AR176" s="547"/>
      <c r="AS176" s="547"/>
      <c r="AT176" s="547"/>
      <c r="AU176" s="547"/>
      <c r="AV176" s="547"/>
      <c r="AW176" s="548"/>
      <c r="AX176" s="493"/>
      <c r="AY176" s="494"/>
      <c r="AZ176" s="105">
        <v>4</v>
      </c>
      <c r="BA176" s="483"/>
      <c r="BB176" s="484"/>
      <c r="BC176" s="484"/>
      <c r="BD176" s="485"/>
      <c r="BE176" s="486"/>
      <c r="BF176" s="487"/>
      <c r="BG176" s="106"/>
      <c r="BH176" s="488"/>
      <c r="BI176" s="489"/>
      <c r="BJ176" s="489"/>
      <c r="BK176" s="489"/>
      <c r="BL176" s="489"/>
      <c r="BM176" s="490"/>
      <c r="BN176" s="488"/>
      <c r="BO176" s="489"/>
      <c r="BP176" s="489"/>
      <c r="BQ176" s="489"/>
      <c r="BR176" s="489"/>
      <c r="BS176" s="490"/>
      <c r="BT176" s="488"/>
      <c r="BU176" s="489"/>
      <c r="BV176" s="489"/>
      <c r="BW176" s="489"/>
      <c r="BX176" s="489"/>
      <c r="BY176" s="490"/>
      <c r="BZ176" s="483"/>
      <c r="CA176" s="484"/>
      <c r="CB176" s="484"/>
      <c r="CC176" s="485"/>
      <c r="CD176" s="477"/>
      <c r="CE176" s="478"/>
      <c r="CF176" s="478"/>
      <c r="CG176" s="478"/>
      <c r="CH176" s="479"/>
      <c r="CI176" s="477"/>
      <c r="CJ176" s="478"/>
      <c r="CK176" s="478"/>
      <c r="CL176" s="478"/>
      <c r="CM176" s="479"/>
      <c r="CN176" s="477"/>
      <c r="CO176" s="478"/>
      <c r="CP176" s="478"/>
      <c r="CQ176" s="478"/>
      <c r="CR176" s="479"/>
      <c r="CS176" s="480"/>
      <c r="CT176" s="481"/>
      <c r="CU176" s="481"/>
      <c r="CV176" s="481"/>
      <c r="CW176" s="482"/>
    </row>
    <row r="177" spans="1:101" s="91" customFormat="1" ht="16.5" x14ac:dyDescent="0.15">
      <c r="A177" s="517"/>
      <c r="B177" s="102"/>
      <c r="C177" s="220" t="str">
        <f t="shared" ca="1" si="7"/>
        <v/>
      </c>
      <c r="D177" s="521"/>
      <c r="E177" s="522"/>
      <c r="F177" s="522"/>
      <c r="G177" s="522"/>
      <c r="H177" s="522"/>
      <c r="I177" s="522"/>
      <c r="J177" s="522"/>
      <c r="K177" s="527"/>
      <c r="L177" s="528"/>
      <c r="M177" s="528"/>
      <c r="N177" s="528"/>
      <c r="O177" s="528"/>
      <c r="P177" s="528"/>
      <c r="Q177" s="528"/>
      <c r="R177" s="533"/>
      <c r="S177" s="534"/>
      <c r="T177" s="533"/>
      <c r="U177" s="534"/>
      <c r="V177" s="527"/>
      <c r="W177" s="528"/>
      <c r="X177" s="528"/>
      <c r="Y177" s="528"/>
      <c r="Z177" s="528"/>
      <c r="AA177" s="528"/>
      <c r="AB177" s="528"/>
      <c r="AC177" s="527"/>
      <c r="AD177" s="528"/>
      <c r="AE177" s="528"/>
      <c r="AF177" s="528"/>
      <c r="AG177" s="528"/>
      <c r="AH177" s="528"/>
      <c r="AI177" s="528"/>
      <c r="AJ177" s="527"/>
      <c r="AK177" s="528"/>
      <c r="AL177" s="528"/>
      <c r="AM177" s="528"/>
      <c r="AN177" s="528"/>
      <c r="AO177" s="528"/>
      <c r="AP177" s="541"/>
      <c r="AQ177" s="546"/>
      <c r="AR177" s="547"/>
      <c r="AS177" s="547"/>
      <c r="AT177" s="547"/>
      <c r="AU177" s="547"/>
      <c r="AV177" s="547"/>
      <c r="AW177" s="548"/>
      <c r="AX177" s="493"/>
      <c r="AY177" s="494"/>
      <c r="AZ177" s="105">
        <v>5</v>
      </c>
      <c r="BA177" s="483"/>
      <c r="BB177" s="484"/>
      <c r="BC177" s="484"/>
      <c r="BD177" s="485"/>
      <c r="BE177" s="486"/>
      <c r="BF177" s="487"/>
      <c r="BG177" s="106"/>
      <c r="BH177" s="488"/>
      <c r="BI177" s="489"/>
      <c r="BJ177" s="489"/>
      <c r="BK177" s="489"/>
      <c r="BL177" s="489"/>
      <c r="BM177" s="490"/>
      <c r="BN177" s="488"/>
      <c r="BO177" s="489"/>
      <c r="BP177" s="489"/>
      <c r="BQ177" s="489"/>
      <c r="BR177" s="489"/>
      <c r="BS177" s="490"/>
      <c r="BT177" s="488"/>
      <c r="BU177" s="489"/>
      <c r="BV177" s="489"/>
      <c r="BW177" s="489"/>
      <c r="BX177" s="489"/>
      <c r="BY177" s="490"/>
      <c r="BZ177" s="483"/>
      <c r="CA177" s="484"/>
      <c r="CB177" s="484"/>
      <c r="CC177" s="485"/>
      <c r="CD177" s="477"/>
      <c r="CE177" s="478"/>
      <c r="CF177" s="478"/>
      <c r="CG177" s="478"/>
      <c r="CH177" s="479"/>
      <c r="CI177" s="477"/>
      <c r="CJ177" s="478"/>
      <c r="CK177" s="478"/>
      <c r="CL177" s="478"/>
      <c r="CM177" s="479"/>
      <c r="CN177" s="477"/>
      <c r="CO177" s="478"/>
      <c r="CP177" s="478"/>
      <c r="CQ177" s="478"/>
      <c r="CR177" s="479"/>
      <c r="CS177" s="480"/>
      <c r="CT177" s="481"/>
      <c r="CU177" s="481"/>
      <c r="CV177" s="481"/>
      <c r="CW177" s="482"/>
    </row>
    <row r="178" spans="1:101" s="91" customFormat="1" ht="16.5" x14ac:dyDescent="0.15">
      <c r="A178" s="518"/>
      <c r="B178" s="107"/>
      <c r="C178" s="219" t="str">
        <f t="shared" ca="1" si="7"/>
        <v/>
      </c>
      <c r="D178" s="523"/>
      <c r="E178" s="650"/>
      <c r="F178" s="650"/>
      <c r="G178" s="650"/>
      <c r="H178" s="650"/>
      <c r="I178" s="650"/>
      <c r="J178" s="650"/>
      <c r="K178" s="529"/>
      <c r="L178" s="530"/>
      <c r="M178" s="530"/>
      <c r="N178" s="530"/>
      <c r="O178" s="530"/>
      <c r="P178" s="530"/>
      <c r="Q178" s="530"/>
      <c r="R178" s="535"/>
      <c r="S178" s="537"/>
      <c r="T178" s="535"/>
      <c r="U178" s="537"/>
      <c r="V178" s="529"/>
      <c r="W178" s="539"/>
      <c r="X178" s="539"/>
      <c r="Y178" s="539"/>
      <c r="Z178" s="539"/>
      <c r="AA178" s="539"/>
      <c r="AB178" s="539"/>
      <c r="AC178" s="529"/>
      <c r="AD178" s="539"/>
      <c r="AE178" s="539"/>
      <c r="AF178" s="539"/>
      <c r="AG178" s="539"/>
      <c r="AH178" s="539"/>
      <c r="AI178" s="539"/>
      <c r="AJ178" s="529"/>
      <c r="AK178" s="539"/>
      <c r="AL178" s="539"/>
      <c r="AM178" s="539"/>
      <c r="AN178" s="539"/>
      <c r="AO178" s="539"/>
      <c r="AP178" s="542"/>
      <c r="AQ178" s="549"/>
      <c r="AR178" s="550"/>
      <c r="AS178" s="550"/>
      <c r="AT178" s="550"/>
      <c r="AU178" s="550"/>
      <c r="AV178" s="550"/>
      <c r="AW178" s="551"/>
      <c r="AX178" s="495"/>
      <c r="AY178" s="496"/>
      <c r="AZ178" s="108">
        <v>6</v>
      </c>
      <c r="BA178" s="505"/>
      <c r="BB178" s="506"/>
      <c r="BC178" s="506"/>
      <c r="BD178" s="507"/>
      <c r="BE178" s="644"/>
      <c r="BF178" s="645"/>
      <c r="BG178" s="109"/>
      <c r="BH178" s="510"/>
      <c r="BI178" s="511"/>
      <c r="BJ178" s="511"/>
      <c r="BK178" s="511"/>
      <c r="BL178" s="511"/>
      <c r="BM178" s="512"/>
      <c r="BN178" s="510"/>
      <c r="BO178" s="511"/>
      <c r="BP178" s="511"/>
      <c r="BQ178" s="511"/>
      <c r="BR178" s="511"/>
      <c r="BS178" s="512"/>
      <c r="BT178" s="510"/>
      <c r="BU178" s="511"/>
      <c r="BV178" s="511"/>
      <c r="BW178" s="511"/>
      <c r="BX178" s="511"/>
      <c r="BY178" s="512"/>
      <c r="BZ178" s="505"/>
      <c r="CA178" s="506"/>
      <c r="CB178" s="506"/>
      <c r="CC178" s="507"/>
      <c r="CD178" s="477"/>
      <c r="CE178" s="478"/>
      <c r="CF178" s="478"/>
      <c r="CG178" s="478"/>
      <c r="CH178" s="479"/>
      <c r="CI178" s="477"/>
      <c r="CJ178" s="478"/>
      <c r="CK178" s="478"/>
      <c r="CL178" s="478"/>
      <c r="CM178" s="479"/>
      <c r="CN178" s="477"/>
      <c r="CO178" s="478"/>
      <c r="CP178" s="478"/>
      <c r="CQ178" s="478"/>
      <c r="CR178" s="479"/>
      <c r="CS178" s="480"/>
      <c r="CT178" s="481"/>
      <c r="CU178" s="481"/>
      <c r="CV178" s="481"/>
      <c r="CW178" s="482"/>
    </row>
    <row r="179" spans="1:101" s="91" customFormat="1" ht="16.5" x14ac:dyDescent="0.15">
      <c r="A179" s="516">
        <v>29</v>
      </c>
      <c r="B179" s="102"/>
      <c r="C179" s="222" t="str">
        <f t="shared" ca="1" si="7"/>
        <v/>
      </c>
      <c r="D179" s="519"/>
      <c r="E179" s="649"/>
      <c r="F179" s="649"/>
      <c r="G179" s="649"/>
      <c r="H179" s="649"/>
      <c r="I179" s="649"/>
      <c r="J179" s="649"/>
      <c r="K179" s="525"/>
      <c r="L179" s="526"/>
      <c r="M179" s="526"/>
      <c r="N179" s="526"/>
      <c r="O179" s="526"/>
      <c r="P179" s="526"/>
      <c r="Q179" s="526"/>
      <c r="R179" s="531"/>
      <c r="S179" s="532"/>
      <c r="T179" s="531"/>
      <c r="U179" s="532"/>
      <c r="V179" s="525"/>
      <c r="W179" s="538"/>
      <c r="X179" s="538"/>
      <c r="Y179" s="538"/>
      <c r="Z179" s="538"/>
      <c r="AA179" s="538"/>
      <c r="AB179" s="538"/>
      <c r="AC179" s="525"/>
      <c r="AD179" s="538"/>
      <c r="AE179" s="538"/>
      <c r="AF179" s="538"/>
      <c r="AG179" s="538"/>
      <c r="AH179" s="538"/>
      <c r="AI179" s="538"/>
      <c r="AJ179" s="525"/>
      <c r="AK179" s="538"/>
      <c r="AL179" s="538"/>
      <c r="AM179" s="538"/>
      <c r="AN179" s="538"/>
      <c r="AO179" s="538"/>
      <c r="AP179" s="540"/>
      <c r="AQ179" s="525"/>
      <c r="AR179" s="544"/>
      <c r="AS179" s="544"/>
      <c r="AT179" s="544"/>
      <c r="AU179" s="544"/>
      <c r="AV179" s="544"/>
      <c r="AW179" s="545"/>
      <c r="AX179" s="491"/>
      <c r="AY179" s="492"/>
      <c r="AZ179" s="103">
        <v>1</v>
      </c>
      <c r="BA179" s="497"/>
      <c r="BB179" s="498"/>
      <c r="BC179" s="498"/>
      <c r="BD179" s="499"/>
      <c r="BE179" s="500"/>
      <c r="BF179" s="501"/>
      <c r="BG179" s="110"/>
      <c r="BH179" s="502"/>
      <c r="BI179" s="503"/>
      <c r="BJ179" s="503"/>
      <c r="BK179" s="503"/>
      <c r="BL179" s="503"/>
      <c r="BM179" s="504"/>
      <c r="BN179" s="502"/>
      <c r="BO179" s="503"/>
      <c r="BP179" s="503"/>
      <c r="BQ179" s="503"/>
      <c r="BR179" s="503"/>
      <c r="BS179" s="504"/>
      <c r="BT179" s="502"/>
      <c r="BU179" s="503"/>
      <c r="BV179" s="503"/>
      <c r="BW179" s="503"/>
      <c r="BX179" s="503"/>
      <c r="BY179" s="504"/>
      <c r="BZ179" s="497"/>
      <c r="CA179" s="498"/>
      <c r="CB179" s="498"/>
      <c r="CC179" s="499"/>
      <c r="CD179" s="477"/>
      <c r="CE179" s="478"/>
      <c r="CF179" s="478"/>
      <c r="CG179" s="478"/>
      <c r="CH179" s="479"/>
      <c r="CI179" s="477"/>
      <c r="CJ179" s="478"/>
      <c r="CK179" s="478"/>
      <c r="CL179" s="478"/>
      <c r="CM179" s="479"/>
      <c r="CN179" s="477"/>
      <c r="CO179" s="478"/>
      <c r="CP179" s="478"/>
      <c r="CQ179" s="478"/>
      <c r="CR179" s="479"/>
      <c r="CS179" s="480"/>
      <c r="CT179" s="481"/>
      <c r="CU179" s="481"/>
      <c r="CV179" s="481"/>
      <c r="CW179" s="482"/>
    </row>
    <row r="180" spans="1:101" s="91" customFormat="1" ht="16.5" x14ac:dyDescent="0.15">
      <c r="A180" s="517"/>
      <c r="B180" s="102"/>
      <c r="C180" s="220" t="str">
        <f t="shared" ca="1" si="7"/>
        <v/>
      </c>
      <c r="D180" s="521"/>
      <c r="E180" s="522"/>
      <c r="F180" s="522"/>
      <c r="G180" s="522"/>
      <c r="H180" s="522"/>
      <c r="I180" s="522"/>
      <c r="J180" s="522"/>
      <c r="K180" s="527"/>
      <c r="L180" s="528"/>
      <c r="M180" s="528"/>
      <c r="N180" s="528"/>
      <c r="O180" s="528"/>
      <c r="P180" s="528"/>
      <c r="Q180" s="528"/>
      <c r="R180" s="533"/>
      <c r="S180" s="534"/>
      <c r="T180" s="533"/>
      <c r="U180" s="534"/>
      <c r="V180" s="527"/>
      <c r="W180" s="528"/>
      <c r="X180" s="528"/>
      <c r="Y180" s="528"/>
      <c r="Z180" s="528"/>
      <c r="AA180" s="528"/>
      <c r="AB180" s="528"/>
      <c r="AC180" s="527"/>
      <c r="AD180" s="528"/>
      <c r="AE180" s="528"/>
      <c r="AF180" s="528"/>
      <c r="AG180" s="528"/>
      <c r="AH180" s="528"/>
      <c r="AI180" s="528"/>
      <c r="AJ180" s="527"/>
      <c r="AK180" s="528"/>
      <c r="AL180" s="528"/>
      <c r="AM180" s="528"/>
      <c r="AN180" s="528"/>
      <c r="AO180" s="528"/>
      <c r="AP180" s="541"/>
      <c r="AQ180" s="546"/>
      <c r="AR180" s="547"/>
      <c r="AS180" s="547"/>
      <c r="AT180" s="547"/>
      <c r="AU180" s="547"/>
      <c r="AV180" s="547"/>
      <c r="AW180" s="548"/>
      <c r="AX180" s="493"/>
      <c r="AY180" s="494"/>
      <c r="AZ180" s="105">
        <v>2</v>
      </c>
      <c r="BA180" s="483"/>
      <c r="BB180" s="484"/>
      <c r="BC180" s="484"/>
      <c r="BD180" s="485"/>
      <c r="BE180" s="486"/>
      <c r="BF180" s="487"/>
      <c r="BG180" s="106"/>
      <c r="BH180" s="488"/>
      <c r="BI180" s="489"/>
      <c r="BJ180" s="489"/>
      <c r="BK180" s="489"/>
      <c r="BL180" s="489"/>
      <c r="BM180" s="490"/>
      <c r="BN180" s="488"/>
      <c r="BO180" s="489"/>
      <c r="BP180" s="489"/>
      <c r="BQ180" s="489"/>
      <c r="BR180" s="489"/>
      <c r="BS180" s="490"/>
      <c r="BT180" s="488"/>
      <c r="BU180" s="489"/>
      <c r="BV180" s="489"/>
      <c r="BW180" s="489"/>
      <c r="BX180" s="489"/>
      <c r="BY180" s="490"/>
      <c r="BZ180" s="483"/>
      <c r="CA180" s="484"/>
      <c r="CB180" s="484"/>
      <c r="CC180" s="485"/>
      <c r="CD180" s="477"/>
      <c r="CE180" s="478"/>
      <c r="CF180" s="478"/>
      <c r="CG180" s="478"/>
      <c r="CH180" s="479"/>
      <c r="CI180" s="477"/>
      <c r="CJ180" s="478"/>
      <c r="CK180" s="478"/>
      <c r="CL180" s="478"/>
      <c r="CM180" s="479"/>
      <c r="CN180" s="477"/>
      <c r="CO180" s="478"/>
      <c r="CP180" s="478"/>
      <c r="CQ180" s="478"/>
      <c r="CR180" s="479"/>
      <c r="CS180" s="480"/>
      <c r="CT180" s="481"/>
      <c r="CU180" s="481"/>
      <c r="CV180" s="481"/>
      <c r="CW180" s="482"/>
    </row>
    <row r="181" spans="1:101" s="91" customFormat="1" ht="16.5" x14ac:dyDescent="0.15">
      <c r="A181" s="517"/>
      <c r="B181" s="102"/>
      <c r="C181" s="220" t="str">
        <f t="shared" ca="1" si="7"/>
        <v/>
      </c>
      <c r="D181" s="521"/>
      <c r="E181" s="522"/>
      <c r="F181" s="522"/>
      <c r="G181" s="522"/>
      <c r="H181" s="522"/>
      <c r="I181" s="522"/>
      <c r="J181" s="522"/>
      <c r="K181" s="527"/>
      <c r="L181" s="528"/>
      <c r="M181" s="528"/>
      <c r="N181" s="528"/>
      <c r="O181" s="528"/>
      <c r="P181" s="528"/>
      <c r="Q181" s="528"/>
      <c r="R181" s="533"/>
      <c r="S181" s="534"/>
      <c r="T181" s="533"/>
      <c r="U181" s="534"/>
      <c r="V181" s="527"/>
      <c r="W181" s="528"/>
      <c r="X181" s="528"/>
      <c r="Y181" s="528"/>
      <c r="Z181" s="528"/>
      <c r="AA181" s="528"/>
      <c r="AB181" s="528"/>
      <c r="AC181" s="527"/>
      <c r="AD181" s="528"/>
      <c r="AE181" s="528"/>
      <c r="AF181" s="528"/>
      <c r="AG181" s="528"/>
      <c r="AH181" s="528"/>
      <c r="AI181" s="528"/>
      <c r="AJ181" s="527"/>
      <c r="AK181" s="528"/>
      <c r="AL181" s="528"/>
      <c r="AM181" s="528"/>
      <c r="AN181" s="528"/>
      <c r="AO181" s="528"/>
      <c r="AP181" s="541"/>
      <c r="AQ181" s="546"/>
      <c r="AR181" s="547"/>
      <c r="AS181" s="547"/>
      <c r="AT181" s="547"/>
      <c r="AU181" s="547"/>
      <c r="AV181" s="547"/>
      <c r="AW181" s="548"/>
      <c r="AX181" s="493"/>
      <c r="AY181" s="494"/>
      <c r="AZ181" s="105">
        <v>3</v>
      </c>
      <c r="BA181" s="483"/>
      <c r="BB181" s="484"/>
      <c r="BC181" s="484"/>
      <c r="BD181" s="485"/>
      <c r="BE181" s="486"/>
      <c r="BF181" s="487"/>
      <c r="BG181" s="106"/>
      <c r="BH181" s="488"/>
      <c r="BI181" s="489"/>
      <c r="BJ181" s="489"/>
      <c r="BK181" s="489"/>
      <c r="BL181" s="489"/>
      <c r="BM181" s="490"/>
      <c r="BN181" s="488"/>
      <c r="BO181" s="489"/>
      <c r="BP181" s="489"/>
      <c r="BQ181" s="489"/>
      <c r="BR181" s="489"/>
      <c r="BS181" s="490"/>
      <c r="BT181" s="488"/>
      <c r="BU181" s="489"/>
      <c r="BV181" s="489"/>
      <c r="BW181" s="489"/>
      <c r="BX181" s="489"/>
      <c r="BY181" s="490"/>
      <c r="BZ181" s="483"/>
      <c r="CA181" s="484"/>
      <c r="CB181" s="484"/>
      <c r="CC181" s="485"/>
      <c r="CD181" s="477"/>
      <c r="CE181" s="478"/>
      <c r="CF181" s="478"/>
      <c r="CG181" s="478"/>
      <c r="CH181" s="479"/>
      <c r="CI181" s="477"/>
      <c r="CJ181" s="478"/>
      <c r="CK181" s="478"/>
      <c r="CL181" s="478"/>
      <c r="CM181" s="479"/>
      <c r="CN181" s="477"/>
      <c r="CO181" s="478"/>
      <c r="CP181" s="478"/>
      <c r="CQ181" s="478"/>
      <c r="CR181" s="479"/>
      <c r="CS181" s="480"/>
      <c r="CT181" s="481"/>
      <c r="CU181" s="481"/>
      <c r="CV181" s="481"/>
      <c r="CW181" s="482"/>
    </row>
    <row r="182" spans="1:101" s="91" customFormat="1" ht="16.5" x14ac:dyDescent="0.15">
      <c r="A182" s="517"/>
      <c r="B182" s="102"/>
      <c r="C182" s="220" t="str">
        <f t="shared" ca="1" si="7"/>
        <v/>
      </c>
      <c r="D182" s="521"/>
      <c r="E182" s="522"/>
      <c r="F182" s="522"/>
      <c r="G182" s="522"/>
      <c r="H182" s="522"/>
      <c r="I182" s="522"/>
      <c r="J182" s="522"/>
      <c r="K182" s="527"/>
      <c r="L182" s="528"/>
      <c r="M182" s="528"/>
      <c r="N182" s="528"/>
      <c r="O182" s="528"/>
      <c r="P182" s="528"/>
      <c r="Q182" s="528"/>
      <c r="R182" s="533"/>
      <c r="S182" s="534"/>
      <c r="T182" s="533"/>
      <c r="U182" s="534"/>
      <c r="V182" s="527"/>
      <c r="W182" s="528"/>
      <c r="X182" s="528"/>
      <c r="Y182" s="528"/>
      <c r="Z182" s="528"/>
      <c r="AA182" s="528"/>
      <c r="AB182" s="528"/>
      <c r="AC182" s="527"/>
      <c r="AD182" s="528"/>
      <c r="AE182" s="528"/>
      <c r="AF182" s="528"/>
      <c r="AG182" s="528"/>
      <c r="AH182" s="528"/>
      <c r="AI182" s="528"/>
      <c r="AJ182" s="527"/>
      <c r="AK182" s="528"/>
      <c r="AL182" s="528"/>
      <c r="AM182" s="528"/>
      <c r="AN182" s="528"/>
      <c r="AO182" s="528"/>
      <c r="AP182" s="541"/>
      <c r="AQ182" s="546"/>
      <c r="AR182" s="547"/>
      <c r="AS182" s="547"/>
      <c r="AT182" s="547"/>
      <c r="AU182" s="547"/>
      <c r="AV182" s="547"/>
      <c r="AW182" s="548"/>
      <c r="AX182" s="493"/>
      <c r="AY182" s="494"/>
      <c r="AZ182" s="105">
        <v>4</v>
      </c>
      <c r="BA182" s="483"/>
      <c r="BB182" s="484"/>
      <c r="BC182" s="484"/>
      <c r="BD182" s="485"/>
      <c r="BE182" s="486"/>
      <c r="BF182" s="487"/>
      <c r="BG182" s="106"/>
      <c r="BH182" s="488"/>
      <c r="BI182" s="489"/>
      <c r="BJ182" s="489"/>
      <c r="BK182" s="489"/>
      <c r="BL182" s="489"/>
      <c r="BM182" s="490"/>
      <c r="BN182" s="488"/>
      <c r="BO182" s="489"/>
      <c r="BP182" s="489"/>
      <c r="BQ182" s="489"/>
      <c r="BR182" s="489"/>
      <c r="BS182" s="490"/>
      <c r="BT182" s="488"/>
      <c r="BU182" s="489"/>
      <c r="BV182" s="489"/>
      <c r="BW182" s="489"/>
      <c r="BX182" s="489"/>
      <c r="BY182" s="490"/>
      <c r="BZ182" s="483"/>
      <c r="CA182" s="484"/>
      <c r="CB182" s="484"/>
      <c r="CC182" s="485"/>
      <c r="CD182" s="477"/>
      <c r="CE182" s="478"/>
      <c r="CF182" s="478"/>
      <c r="CG182" s="478"/>
      <c r="CH182" s="479"/>
      <c r="CI182" s="477"/>
      <c r="CJ182" s="478"/>
      <c r="CK182" s="478"/>
      <c r="CL182" s="478"/>
      <c r="CM182" s="479"/>
      <c r="CN182" s="477"/>
      <c r="CO182" s="478"/>
      <c r="CP182" s="478"/>
      <c r="CQ182" s="478"/>
      <c r="CR182" s="479"/>
      <c r="CS182" s="480"/>
      <c r="CT182" s="481"/>
      <c r="CU182" s="481"/>
      <c r="CV182" s="481"/>
      <c r="CW182" s="482"/>
    </row>
    <row r="183" spans="1:101" s="91" customFormat="1" ht="16.5" x14ac:dyDescent="0.15">
      <c r="A183" s="517"/>
      <c r="B183" s="102"/>
      <c r="C183" s="220" t="str">
        <f t="shared" ca="1" si="7"/>
        <v/>
      </c>
      <c r="D183" s="521"/>
      <c r="E183" s="522"/>
      <c r="F183" s="522"/>
      <c r="G183" s="522"/>
      <c r="H183" s="522"/>
      <c r="I183" s="522"/>
      <c r="J183" s="522"/>
      <c r="K183" s="527"/>
      <c r="L183" s="528"/>
      <c r="M183" s="528"/>
      <c r="N183" s="528"/>
      <c r="O183" s="528"/>
      <c r="P183" s="528"/>
      <c r="Q183" s="528"/>
      <c r="R183" s="533"/>
      <c r="S183" s="534"/>
      <c r="T183" s="533"/>
      <c r="U183" s="534"/>
      <c r="V183" s="527"/>
      <c r="W183" s="528"/>
      <c r="X183" s="528"/>
      <c r="Y183" s="528"/>
      <c r="Z183" s="528"/>
      <c r="AA183" s="528"/>
      <c r="AB183" s="528"/>
      <c r="AC183" s="527"/>
      <c r="AD183" s="528"/>
      <c r="AE183" s="528"/>
      <c r="AF183" s="528"/>
      <c r="AG183" s="528"/>
      <c r="AH183" s="528"/>
      <c r="AI183" s="528"/>
      <c r="AJ183" s="527"/>
      <c r="AK183" s="528"/>
      <c r="AL183" s="528"/>
      <c r="AM183" s="528"/>
      <c r="AN183" s="528"/>
      <c r="AO183" s="528"/>
      <c r="AP183" s="541"/>
      <c r="AQ183" s="546"/>
      <c r="AR183" s="547"/>
      <c r="AS183" s="547"/>
      <c r="AT183" s="547"/>
      <c r="AU183" s="547"/>
      <c r="AV183" s="547"/>
      <c r="AW183" s="548"/>
      <c r="AX183" s="493"/>
      <c r="AY183" s="494"/>
      <c r="AZ183" s="105">
        <v>5</v>
      </c>
      <c r="BA183" s="483"/>
      <c r="BB183" s="484"/>
      <c r="BC183" s="484"/>
      <c r="BD183" s="485"/>
      <c r="BE183" s="486"/>
      <c r="BF183" s="487"/>
      <c r="BG183" s="106"/>
      <c r="BH183" s="488"/>
      <c r="BI183" s="489"/>
      <c r="BJ183" s="489"/>
      <c r="BK183" s="489"/>
      <c r="BL183" s="489"/>
      <c r="BM183" s="490"/>
      <c r="BN183" s="488"/>
      <c r="BO183" s="489"/>
      <c r="BP183" s="489"/>
      <c r="BQ183" s="489"/>
      <c r="BR183" s="489"/>
      <c r="BS183" s="490"/>
      <c r="BT183" s="488"/>
      <c r="BU183" s="489"/>
      <c r="BV183" s="489"/>
      <c r="BW183" s="489"/>
      <c r="BX183" s="489"/>
      <c r="BY183" s="490"/>
      <c r="BZ183" s="483"/>
      <c r="CA183" s="484"/>
      <c r="CB183" s="484"/>
      <c r="CC183" s="485"/>
      <c r="CD183" s="477"/>
      <c r="CE183" s="478"/>
      <c r="CF183" s="478"/>
      <c r="CG183" s="478"/>
      <c r="CH183" s="479"/>
      <c r="CI183" s="477"/>
      <c r="CJ183" s="478"/>
      <c r="CK183" s="478"/>
      <c r="CL183" s="478"/>
      <c r="CM183" s="479"/>
      <c r="CN183" s="477"/>
      <c r="CO183" s="478"/>
      <c r="CP183" s="478"/>
      <c r="CQ183" s="478"/>
      <c r="CR183" s="479"/>
      <c r="CS183" s="480"/>
      <c r="CT183" s="481"/>
      <c r="CU183" s="481"/>
      <c r="CV183" s="481"/>
      <c r="CW183" s="482"/>
    </row>
    <row r="184" spans="1:101" s="91" customFormat="1" ht="16.5" x14ac:dyDescent="0.15">
      <c r="A184" s="518"/>
      <c r="B184" s="107"/>
      <c r="C184" s="220" t="str">
        <f t="shared" ca="1" si="7"/>
        <v/>
      </c>
      <c r="D184" s="523"/>
      <c r="E184" s="650"/>
      <c r="F184" s="650"/>
      <c r="G184" s="650"/>
      <c r="H184" s="650"/>
      <c r="I184" s="650"/>
      <c r="J184" s="650"/>
      <c r="K184" s="529"/>
      <c r="L184" s="530"/>
      <c r="M184" s="530"/>
      <c r="N184" s="530"/>
      <c r="O184" s="530"/>
      <c r="P184" s="530"/>
      <c r="Q184" s="530"/>
      <c r="R184" s="535"/>
      <c r="S184" s="537"/>
      <c r="T184" s="535"/>
      <c r="U184" s="537"/>
      <c r="V184" s="529"/>
      <c r="W184" s="539"/>
      <c r="X184" s="539"/>
      <c r="Y184" s="539"/>
      <c r="Z184" s="539"/>
      <c r="AA184" s="539"/>
      <c r="AB184" s="539"/>
      <c r="AC184" s="529"/>
      <c r="AD184" s="539"/>
      <c r="AE184" s="539"/>
      <c r="AF184" s="539"/>
      <c r="AG184" s="539"/>
      <c r="AH184" s="539"/>
      <c r="AI184" s="539"/>
      <c r="AJ184" s="529"/>
      <c r="AK184" s="539"/>
      <c r="AL184" s="539"/>
      <c r="AM184" s="539"/>
      <c r="AN184" s="539"/>
      <c r="AO184" s="539"/>
      <c r="AP184" s="542"/>
      <c r="AQ184" s="549"/>
      <c r="AR184" s="550"/>
      <c r="AS184" s="550"/>
      <c r="AT184" s="550"/>
      <c r="AU184" s="550"/>
      <c r="AV184" s="550"/>
      <c r="AW184" s="551"/>
      <c r="AX184" s="495"/>
      <c r="AY184" s="496"/>
      <c r="AZ184" s="108">
        <v>6</v>
      </c>
      <c r="BA184" s="513"/>
      <c r="BB184" s="514"/>
      <c r="BC184" s="514"/>
      <c r="BD184" s="515"/>
      <c r="BE184" s="644"/>
      <c r="BF184" s="645"/>
      <c r="BG184" s="111"/>
      <c r="BH184" s="510"/>
      <c r="BI184" s="511"/>
      <c r="BJ184" s="511"/>
      <c r="BK184" s="511"/>
      <c r="BL184" s="511"/>
      <c r="BM184" s="512"/>
      <c r="BN184" s="510"/>
      <c r="BO184" s="511"/>
      <c r="BP184" s="511"/>
      <c r="BQ184" s="511"/>
      <c r="BR184" s="511"/>
      <c r="BS184" s="512"/>
      <c r="BT184" s="510"/>
      <c r="BU184" s="511"/>
      <c r="BV184" s="511"/>
      <c r="BW184" s="511"/>
      <c r="BX184" s="511"/>
      <c r="BY184" s="512"/>
      <c r="BZ184" s="513"/>
      <c r="CA184" s="514"/>
      <c r="CB184" s="514"/>
      <c r="CC184" s="515"/>
      <c r="CD184" s="477"/>
      <c r="CE184" s="478"/>
      <c r="CF184" s="478"/>
      <c r="CG184" s="478"/>
      <c r="CH184" s="479"/>
      <c r="CI184" s="477"/>
      <c r="CJ184" s="478"/>
      <c r="CK184" s="478"/>
      <c r="CL184" s="478"/>
      <c r="CM184" s="479"/>
      <c r="CN184" s="477"/>
      <c r="CO184" s="478"/>
      <c r="CP184" s="478"/>
      <c r="CQ184" s="478"/>
      <c r="CR184" s="479"/>
      <c r="CS184" s="480"/>
      <c r="CT184" s="481"/>
      <c r="CU184" s="481"/>
      <c r="CV184" s="481"/>
      <c r="CW184" s="482"/>
    </row>
    <row r="185" spans="1:101" s="91" customFormat="1" ht="16.5" x14ac:dyDescent="0.15">
      <c r="A185" s="516">
        <v>30</v>
      </c>
      <c r="B185" s="102"/>
      <c r="C185" s="216" t="str">
        <f t="shared" ca="1" si="7"/>
        <v/>
      </c>
      <c r="D185" s="519"/>
      <c r="E185" s="649"/>
      <c r="F185" s="649"/>
      <c r="G185" s="649"/>
      <c r="H185" s="649"/>
      <c r="I185" s="649"/>
      <c r="J185" s="649"/>
      <c r="K185" s="525"/>
      <c r="L185" s="526"/>
      <c r="M185" s="526"/>
      <c r="N185" s="526"/>
      <c r="O185" s="526"/>
      <c r="P185" s="526"/>
      <c r="Q185" s="526"/>
      <c r="R185" s="531"/>
      <c r="S185" s="532"/>
      <c r="T185" s="531"/>
      <c r="U185" s="532"/>
      <c r="V185" s="525"/>
      <c r="W185" s="538"/>
      <c r="X185" s="538"/>
      <c r="Y185" s="538"/>
      <c r="Z185" s="538"/>
      <c r="AA185" s="538"/>
      <c r="AB185" s="538"/>
      <c r="AC185" s="525"/>
      <c r="AD185" s="538"/>
      <c r="AE185" s="538"/>
      <c r="AF185" s="538"/>
      <c r="AG185" s="538"/>
      <c r="AH185" s="538"/>
      <c r="AI185" s="538"/>
      <c r="AJ185" s="525"/>
      <c r="AK185" s="538"/>
      <c r="AL185" s="538"/>
      <c r="AM185" s="538"/>
      <c r="AN185" s="538"/>
      <c r="AO185" s="538"/>
      <c r="AP185" s="540"/>
      <c r="AQ185" s="525"/>
      <c r="AR185" s="544"/>
      <c r="AS185" s="544"/>
      <c r="AT185" s="544"/>
      <c r="AU185" s="544"/>
      <c r="AV185" s="544"/>
      <c r="AW185" s="545"/>
      <c r="AX185" s="491"/>
      <c r="AY185" s="492"/>
      <c r="AZ185" s="103">
        <v>1</v>
      </c>
      <c r="BA185" s="497"/>
      <c r="BB185" s="498"/>
      <c r="BC185" s="498"/>
      <c r="BD185" s="499"/>
      <c r="BE185" s="500"/>
      <c r="BF185" s="501"/>
      <c r="BG185" s="104"/>
      <c r="BH185" s="502"/>
      <c r="BI185" s="503"/>
      <c r="BJ185" s="503"/>
      <c r="BK185" s="503"/>
      <c r="BL185" s="503"/>
      <c r="BM185" s="504"/>
      <c r="BN185" s="502"/>
      <c r="BO185" s="503"/>
      <c r="BP185" s="503"/>
      <c r="BQ185" s="503"/>
      <c r="BR185" s="503"/>
      <c r="BS185" s="504"/>
      <c r="BT185" s="502"/>
      <c r="BU185" s="503"/>
      <c r="BV185" s="503"/>
      <c r="BW185" s="503"/>
      <c r="BX185" s="503"/>
      <c r="BY185" s="504"/>
      <c r="BZ185" s="552"/>
      <c r="CA185" s="553"/>
      <c r="CB185" s="553"/>
      <c r="CC185" s="554"/>
      <c r="CD185" s="477"/>
      <c r="CE185" s="478"/>
      <c r="CF185" s="478"/>
      <c r="CG185" s="478"/>
      <c r="CH185" s="479"/>
      <c r="CI185" s="477"/>
      <c r="CJ185" s="478"/>
      <c r="CK185" s="478"/>
      <c r="CL185" s="478"/>
      <c r="CM185" s="479"/>
      <c r="CN185" s="477"/>
      <c r="CO185" s="478"/>
      <c r="CP185" s="478"/>
      <c r="CQ185" s="478"/>
      <c r="CR185" s="479"/>
      <c r="CS185" s="480"/>
      <c r="CT185" s="481"/>
      <c r="CU185" s="481"/>
      <c r="CV185" s="481"/>
      <c r="CW185" s="482"/>
    </row>
    <row r="186" spans="1:101" s="91" customFormat="1" ht="16.5" x14ac:dyDescent="0.15">
      <c r="A186" s="517"/>
      <c r="B186" s="102"/>
      <c r="C186" s="220" t="str">
        <f t="shared" ca="1" si="7"/>
        <v/>
      </c>
      <c r="D186" s="521"/>
      <c r="E186" s="522"/>
      <c r="F186" s="522"/>
      <c r="G186" s="522"/>
      <c r="H186" s="522"/>
      <c r="I186" s="522"/>
      <c r="J186" s="522"/>
      <c r="K186" s="527"/>
      <c r="L186" s="528"/>
      <c r="M186" s="528"/>
      <c r="N186" s="528"/>
      <c r="O186" s="528"/>
      <c r="P186" s="528"/>
      <c r="Q186" s="528"/>
      <c r="R186" s="533"/>
      <c r="S186" s="534"/>
      <c r="T186" s="533"/>
      <c r="U186" s="534"/>
      <c r="V186" s="527"/>
      <c r="W186" s="528"/>
      <c r="X186" s="528"/>
      <c r="Y186" s="528"/>
      <c r="Z186" s="528"/>
      <c r="AA186" s="528"/>
      <c r="AB186" s="528"/>
      <c r="AC186" s="527"/>
      <c r="AD186" s="528"/>
      <c r="AE186" s="528"/>
      <c r="AF186" s="528"/>
      <c r="AG186" s="528"/>
      <c r="AH186" s="528"/>
      <c r="AI186" s="528"/>
      <c r="AJ186" s="527"/>
      <c r="AK186" s="528"/>
      <c r="AL186" s="528"/>
      <c r="AM186" s="528"/>
      <c r="AN186" s="528"/>
      <c r="AO186" s="528"/>
      <c r="AP186" s="541"/>
      <c r="AQ186" s="546"/>
      <c r="AR186" s="547"/>
      <c r="AS186" s="547"/>
      <c r="AT186" s="547"/>
      <c r="AU186" s="547"/>
      <c r="AV186" s="547"/>
      <c r="AW186" s="548"/>
      <c r="AX186" s="493"/>
      <c r="AY186" s="494"/>
      <c r="AZ186" s="105">
        <v>2</v>
      </c>
      <c r="BA186" s="483"/>
      <c r="BB186" s="484"/>
      <c r="BC186" s="484"/>
      <c r="BD186" s="485"/>
      <c r="BE186" s="486"/>
      <c r="BF186" s="487"/>
      <c r="BG186" s="106"/>
      <c r="BH186" s="488"/>
      <c r="BI186" s="489"/>
      <c r="BJ186" s="489"/>
      <c r="BK186" s="489"/>
      <c r="BL186" s="489"/>
      <c r="BM186" s="490"/>
      <c r="BN186" s="488"/>
      <c r="BO186" s="489"/>
      <c r="BP186" s="489"/>
      <c r="BQ186" s="489"/>
      <c r="BR186" s="489"/>
      <c r="BS186" s="490"/>
      <c r="BT186" s="488"/>
      <c r="BU186" s="489"/>
      <c r="BV186" s="489"/>
      <c r="BW186" s="489"/>
      <c r="BX186" s="489"/>
      <c r="BY186" s="490"/>
      <c r="BZ186" s="483"/>
      <c r="CA186" s="484"/>
      <c r="CB186" s="484"/>
      <c r="CC186" s="485"/>
      <c r="CD186" s="477"/>
      <c r="CE186" s="478"/>
      <c r="CF186" s="478"/>
      <c r="CG186" s="478"/>
      <c r="CH186" s="479"/>
      <c r="CI186" s="477"/>
      <c r="CJ186" s="478"/>
      <c r="CK186" s="478"/>
      <c r="CL186" s="478"/>
      <c r="CM186" s="479"/>
      <c r="CN186" s="477"/>
      <c r="CO186" s="478"/>
      <c r="CP186" s="478"/>
      <c r="CQ186" s="478"/>
      <c r="CR186" s="479"/>
      <c r="CS186" s="480"/>
      <c r="CT186" s="481"/>
      <c r="CU186" s="481"/>
      <c r="CV186" s="481"/>
      <c r="CW186" s="482"/>
    </row>
    <row r="187" spans="1:101" s="91" customFormat="1" ht="16.5" x14ac:dyDescent="0.15">
      <c r="A187" s="517"/>
      <c r="B187" s="102"/>
      <c r="C187" s="220" t="str">
        <f t="shared" ca="1" si="7"/>
        <v/>
      </c>
      <c r="D187" s="521"/>
      <c r="E187" s="522"/>
      <c r="F187" s="522"/>
      <c r="G187" s="522"/>
      <c r="H187" s="522"/>
      <c r="I187" s="522"/>
      <c r="J187" s="522"/>
      <c r="K187" s="527"/>
      <c r="L187" s="528"/>
      <c r="M187" s="528"/>
      <c r="N187" s="528"/>
      <c r="O187" s="528"/>
      <c r="P187" s="528"/>
      <c r="Q187" s="528"/>
      <c r="R187" s="533"/>
      <c r="S187" s="534"/>
      <c r="T187" s="533"/>
      <c r="U187" s="534"/>
      <c r="V187" s="527"/>
      <c r="W187" s="528"/>
      <c r="X187" s="528"/>
      <c r="Y187" s="528"/>
      <c r="Z187" s="528"/>
      <c r="AA187" s="528"/>
      <c r="AB187" s="528"/>
      <c r="AC187" s="527"/>
      <c r="AD187" s="528"/>
      <c r="AE187" s="528"/>
      <c r="AF187" s="528"/>
      <c r="AG187" s="528"/>
      <c r="AH187" s="528"/>
      <c r="AI187" s="528"/>
      <c r="AJ187" s="527"/>
      <c r="AK187" s="528"/>
      <c r="AL187" s="528"/>
      <c r="AM187" s="528"/>
      <c r="AN187" s="528"/>
      <c r="AO187" s="528"/>
      <c r="AP187" s="541"/>
      <c r="AQ187" s="546"/>
      <c r="AR187" s="547"/>
      <c r="AS187" s="547"/>
      <c r="AT187" s="547"/>
      <c r="AU187" s="547"/>
      <c r="AV187" s="547"/>
      <c r="AW187" s="548"/>
      <c r="AX187" s="493"/>
      <c r="AY187" s="494"/>
      <c r="AZ187" s="105">
        <v>3</v>
      </c>
      <c r="BA187" s="483"/>
      <c r="BB187" s="484"/>
      <c r="BC187" s="484"/>
      <c r="BD187" s="485"/>
      <c r="BE187" s="486"/>
      <c r="BF187" s="487"/>
      <c r="BG187" s="106"/>
      <c r="BH187" s="488"/>
      <c r="BI187" s="489"/>
      <c r="BJ187" s="489"/>
      <c r="BK187" s="489"/>
      <c r="BL187" s="489"/>
      <c r="BM187" s="490"/>
      <c r="BN187" s="488"/>
      <c r="BO187" s="489"/>
      <c r="BP187" s="489"/>
      <c r="BQ187" s="489"/>
      <c r="BR187" s="489"/>
      <c r="BS187" s="490"/>
      <c r="BT187" s="488"/>
      <c r="BU187" s="489"/>
      <c r="BV187" s="489"/>
      <c r="BW187" s="489"/>
      <c r="BX187" s="489"/>
      <c r="BY187" s="490"/>
      <c r="BZ187" s="483"/>
      <c r="CA187" s="484"/>
      <c r="CB187" s="484"/>
      <c r="CC187" s="485"/>
      <c r="CD187" s="477"/>
      <c r="CE187" s="478"/>
      <c r="CF187" s="478"/>
      <c r="CG187" s="478"/>
      <c r="CH187" s="479"/>
      <c r="CI187" s="477"/>
      <c r="CJ187" s="478"/>
      <c r="CK187" s="478"/>
      <c r="CL187" s="478"/>
      <c r="CM187" s="479"/>
      <c r="CN187" s="477"/>
      <c r="CO187" s="478"/>
      <c r="CP187" s="478"/>
      <c r="CQ187" s="478"/>
      <c r="CR187" s="479"/>
      <c r="CS187" s="480"/>
      <c r="CT187" s="481"/>
      <c r="CU187" s="481"/>
      <c r="CV187" s="481"/>
      <c r="CW187" s="482"/>
    </row>
    <row r="188" spans="1:101" s="91" customFormat="1" ht="16.5" x14ac:dyDescent="0.15">
      <c r="A188" s="517"/>
      <c r="B188" s="102"/>
      <c r="C188" s="220" t="str">
        <f t="shared" ca="1" si="7"/>
        <v/>
      </c>
      <c r="D188" s="521"/>
      <c r="E188" s="522"/>
      <c r="F188" s="522"/>
      <c r="G188" s="522"/>
      <c r="H188" s="522"/>
      <c r="I188" s="522"/>
      <c r="J188" s="522"/>
      <c r="K188" s="527"/>
      <c r="L188" s="528"/>
      <c r="M188" s="528"/>
      <c r="N188" s="528"/>
      <c r="O188" s="528"/>
      <c r="P188" s="528"/>
      <c r="Q188" s="528"/>
      <c r="R188" s="533"/>
      <c r="S188" s="534"/>
      <c r="T188" s="533"/>
      <c r="U188" s="534"/>
      <c r="V188" s="527"/>
      <c r="W188" s="528"/>
      <c r="X188" s="528"/>
      <c r="Y188" s="528"/>
      <c r="Z188" s="528"/>
      <c r="AA188" s="528"/>
      <c r="AB188" s="528"/>
      <c r="AC188" s="527"/>
      <c r="AD188" s="528"/>
      <c r="AE188" s="528"/>
      <c r="AF188" s="528"/>
      <c r="AG188" s="528"/>
      <c r="AH188" s="528"/>
      <c r="AI188" s="528"/>
      <c r="AJ188" s="527"/>
      <c r="AK188" s="528"/>
      <c r="AL188" s="528"/>
      <c r="AM188" s="528"/>
      <c r="AN188" s="528"/>
      <c r="AO188" s="528"/>
      <c r="AP188" s="541"/>
      <c r="AQ188" s="546"/>
      <c r="AR188" s="547"/>
      <c r="AS188" s="547"/>
      <c r="AT188" s="547"/>
      <c r="AU188" s="547"/>
      <c r="AV188" s="547"/>
      <c r="AW188" s="548"/>
      <c r="AX188" s="493"/>
      <c r="AY188" s="494"/>
      <c r="AZ188" s="105">
        <v>4</v>
      </c>
      <c r="BA188" s="483"/>
      <c r="BB188" s="484"/>
      <c r="BC188" s="484"/>
      <c r="BD188" s="485"/>
      <c r="BE188" s="486"/>
      <c r="BF188" s="487"/>
      <c r="BG188" s="106"/>
      <c r="BH188" s="488"/>
      <c r="BI188" s="489"/>
      <c r="BJ188" s="489"/>
      <c r="BK188" s="489"/>
      <c r="BL188" s="489"/>
      <c r="BM188" s="490"/>
      <c r="BN188" s="488"/>
      <c r="BO188" s="489"/>
      <c r="BP188" s="489"/>
      <c r="BQ188" s="489"/>
      <c r="BR188" s="489"/>
      <c r="BS188" s="490"/>
      <c r="BT188" s="488"/>
      <c r="BU188" s="489"/>
      <c r="BV188" s="489"/>
      <c r="BW188" s="489"/>
      <c r="BX188" s="489"/>
      <c r="BY188" s="490"/>
      <c r="BZ188" s="483"/>
      <c r="CA188" s="484"/>
      <c r="CB188" s="484"/>
      <c r="CC188" s="485"/>
      <c r="CD188" s="477"/>
      <c r="CE188" s="478"/>
      <c r="CF188" s="478"/>
      <c r="CG188" s="478"/>
      <c r="CH188" s="479"/>
      <c r="CI188" s="477"/>
      <c r="CJ188" s="478"/>
      <c r="CK188" s="478"/>
      <c r="CL188" s="478"/>
      <c r="CM188" s="479"/>
      <c r="CN188" s="477"/>
      <c r="CO188" s="478"/>
      <c r="CP188" s="478"/>
      <c r="CQ188" s="478"/>
      <c r="CR188" s="479"/>
      <c r="CS188" s="480"/>
      <c r="CT188" s="481"/>
      <c r="CU188" s="481"/>
      <c r="CV188" s="481"/>
      <c r="CW188" s="482"/>
    </row>
    <row r="189" spans="1:101" s="91" customFormat="1" ht="16.5" x14ac:dyDescent="0.15">
      <c r="A189" s="517"/>
      <c r="B189" s="102"/>
      <c r="C189" s="220" t="str">
        <f t="shared" ca="1" si="7"/>
        <v/>
      </c>
      <c r="D189" s="521"/>
      <c r="E189" s="522"/>
      <c r="F189" s="522"/>
      <c r="G189" s="522"/>
      <c r="H189" s="522"/>
      <c r="I189" s="522"/>
      <c r="J189" s="522"/>
      <c r="K189" s="527"/>
      <c r="L189" s="528"/>
      <c r="M189" s="528"/>
      <c r="N189" s="528"/>
      <c r="O189" s="528"/>
      <c r="P189" s="528"/>
      <c r="Q189" s="528"/>
      <c r="R189" s="533"/>
      <c r="S189" s="534"/>
      <c r="T189" s="533"/>
      <c r="U189" s="534"/>
      <c r="V189" s="527"/>
      <c r="W189" s="528"/>
      <c r="X189" s="528"/>
      <c r="Y189" s="528"/>
      <c r="Z189" s="528"/>
      <c r="AA189" s="528"/>
      <c r="AB189" s="528"/>
      <c r="AC189" s="527"/>
      <c r="AD189" s="528"/>
      <c r="AE189" s="528"/>
      <c r="AF189" s="528"/>
      <c r="AG189" s="528"/>
      <c r="AH189" s="528"/>
      <c r="AI189" s="528"/>
      <c r="AJ189" s="527"/>
      <c r="AK189" s="528"/>
      <c r="AL189" s="528"/>
      <c r="AM189" s="528"/>
      <c r="AN189" s="528"/>
      <c r="AO189" s="528"/>
      <c r="AP189" s="541"/>
      <c r="AQ189" s="546"/>
      <c r="AR189" s="547"/>
      <c r="AS189" s="547"/>
      <c r="AT189" s="547"/>
      <c r="AU189" s="547"/>
      <c r="AV189" s="547"/>
      <c r="AW189" s="548"/>
      <c r="AX189" s="493"/>
      <c r="AY189" s="494"/>
      <c r="AZ189" s="105">
        <v>5</v>
      </c>
      <c r="BA189" s="483"/>
      <c r="BB189" s="484"/>
      <c r="BC189" s="484"/>
      <c r="BD189" s="485"/>
      <c r="BE189" s="486"/>
      <c r="BF189" s="487"/>
      <c r="BG189" s="106"/>
      <c r="BH189" s="488"/>
      <c r="BI189" s="489"/>
      <c r="BJ189" s="489"/>
      <c r="BK189" s="489"/>
      <c r="BL189" s="489"/>
      <c r="BM189" s="490"/>
      <c r="BN189" s="488"/>
      <c r="BO189" s="489"/>
      <c r="BP189" s="489"/>
      <c r="BQ189" s="489"/>
      <c r="BR189" s="489"/>
      <c r="BS189" s="490"/>
      <c r="BT189" s="488"/>
      <c r="BU189" s="489"/>
      <c r="BV189" s="489"/>
      <c r="BW189" s="489"/>
      <c r="BX189" s="489"/>
      <c r="BY189" s="490"/>
      <c r="BZ189" s="483"/>
      <c r="CA189" s="484"/>
      <c r="CB189" s="484"/>
      <c r="CC189" s="485"/>
      <c r="CD189" s="477"/>
      <c r="CE189" s="478"/>
      <c r="CF189" s="478"/>
      <c r="CG189" s="478"/>
      <c r="CH189" s="479"/>
      <c r="CI189" s="477"/>
      <c r="CJ189" s="478"/>
      <c r="CK189" s="478"/>
      <c r="CL189" s="478"/>
      <c r="CM189" s="479"/>
      <c r="CN189" s="477"/>
      <c r="CO189" s="478"/>
      <c r="CP189" s="478"/>
      <c r="CQ189" s="478"/>
      <c r="CR189" s="479"/>
      <c r="CS189" s="480"/>
      <c r="CT189" s="481"/>
      <c r="CU189" s="481"/>
      <c r="CV189" s="481"/>
      <c r="CW189" s="482"/>
    </row>
    <row r="190" spans="1:101" s="91" customFormat="1" ht="16.5" x14ac:dyDescent="0.15">
      <c r="A190" s="518"/>
      <c r="B190" s="107"/>
      <c r="C190" s="219" t="str">
        <f t="shared" ca="1" si="7"/>
        <v/>
      </c>
      <c r="D190" s="523"/>
      <c r="E190" s="650"/>
      <c r="F190" s="650"/>
      <c r="G190" s="650"/>
      <c r="H190" s="650"/>
      <c r="I190" s="650"/>
      <c r="J190" s="650"/>
      <c r="K190" s="529"/>
      <c r="L190" s="530"/>
      <c r="M190" s="530"/>
      <c r="N190" s="530"/>
      <c r="O190" s="530"/>
      <c r="P190" s="530"/>
      <c r="Q190" s="530"/>
      <c r="R190" s="535"/>
      <c r="S190" s="537"/>
      <c r="T190" s="535"/>
      <c r="U190" s="537"/>
      <c r="V190" s="529"/>
      <c r="W190" s="539"/>
      <c r="X190" s="539"/>
      <c r="Y190" s="539"/>
      <c r="Z190" s="539"/>
      <c r="AA190" s="539"/>
      <c r="AB190" s="539"/>
      <c r="AC190" s="529"/>
      <c r="AD190" s="539"/>
      <c r="AE190" s="539"/>
      <c r="AF190" s="539"/>
      <c r="AG190" s="539"/>
      <c r="AH190" s="539"/>
      <c r="AI190" s="539"/>
      <c r="AJ190" s="529"/>
      <c r="AK190" s="539"/>
      <c r="AL190" s="539"/>
      <c r="AM190" s="539"/>
      <c r="AN190" s="539"/>
      <c r="AO190" s="539"/>
      <c r="AP190" s="542"/>
      <c r="AQ190" s="549"/>
      <c r="AR190" s="550"/>
      <c r="AS190" s="550"/>
      <c r="AT190" s="550"/>
      <c r="AU190" s="550"/>
      <c r="AV190" s="550"/>
      <c r="AW190" s="551"/>
      <c r="AX190" s="495"/>
      <c r="AY190" s="496"/>
      <c r="AZ190" s="108">
        <v>6</v>
      </c>
      <c r="BA190" s="505"/>
      <c r="BB190" s="506"/>
      <c r="BC190" s="506"/>
      <c r="BD190" s="507"/>
      <c r="BE190" s="644"/>
      <c r="BF190" s="645"/>
      <c r="BG190" s="109"/>
      <c r="BH190" s="510"/>
      <c r="BI190" s="511"/>
      <c r="BJ190" s="511"/>
      <c r="BK190" s="511"/>
      <c r="BL190" s="511"/>
      <c r="BM190" s="512"/>
      <c r="BN190" s="510"/>
      <c r="BO190" s="511"/>
      <c r="BP190" s="511"/>
      <c r="BQ190" s="511"/>
      <c r="BR190" s="511"/>
      <c r="BS190" s="512"/>
      <c r="BT190" s="510"/>
      <c r="BU190" s="511"/>
      <c r="BV190" s="511"/>
      <c r="BW190" s="511"/>
      <c r="BX190" s="511"/>
      <c r="BY190" s="512"/>
      <c r="BZ190" s="505"/>
      <c r="CA190" s="506"/>
      <c r="CB190" s="506"/>
      <c r="CC190" s="507"/>
      <c r="CD190" s="477"/>
      <c r="CE190" s="478"/>
      <c r="CF190" s="478"/>
      <c r="CG190" s="478"/>
      <c r="CH190" s="479"/>
      <c r="CI190" s="477"/>
      <c r="CJ190" s="478"/>
      <c r="CK190" s="478"/>
      <c r="CL190" s="478"/>
      <c r="CM190" s="479"/>
      <c r="CN190" s="477"/>
      <c r="CO190" s="478"/>
      <c r="CP190" s="478"/>
      <c r="CQ190" s="478"/>
      <c r="CR190" s="479"/>
      <c r="CS190" s="480"/>
      <c r="CT190" s="481"/>
      <c r="CU190" s="481"/>
      <c r="CV190" s="481"/>
      <c r="CW190" s="482"/>
    </row>
    <row r="191" spans="1:101" s="91" customFormat="1" ht="16.149999999999999" customHeight="1" x14ac:dyDescent="0.15">
      <c r="A191" s="516">
        <v>31</v>
      </c>
      <c r="B191" s="102"/>
      <c r="C191" s="222" t="str">
        <f t="shared" ca="1" si="7"/>
        <v/>
      </c>
      <c r="D191" s="519"/>
      <c r="E191" s="649"/>
      <c r="F191" s="649"/>
      <c r="G191" s="649"/>
      <c r="H191" s="649"/>
      <c r="I191" s="649"/>
      <c r="J191" s="649"/>
      <c r="K191" s="525"/>
      <c r="L191" s="526"/>
      <c r="M191" s="526"/>
      <c r="N191" s="526"/>
      <c r="O191" s="526"/>
      <c r="P191" s="526"/>
      <c r="Q191" s="526"/>
      <c r="R191" s="531"/>
      <c r="S191" s="532"/>
      <c r="T191" s="531"/>
      <c r="U191" s="532"/>
      <c r="V191" s="525"/>
      <c r="W191" s="538"/>
      <c r="X191" s="538"/>
      <c r="Y191" s="538"/>
      <c r="Z191" s="538"/>
      <c r="AA191" s="538"/>
      <c r="AB191" s="538"/>
      <c r="AC191" s="525"/>
      <c r="AD191" s="538"/>
      <c r="AE191" s="538"/>
      <c r="AF191" s="538"/>
      <c r="AG191" s="538"/>
      <c r="AH191" s="538"/>
      <c r="AI191" s="538"/>
      <c r="AJ191" s="525"/>
      <c r="AK191" s="526"/>
      <c r="AL191" s="526"/>
      <c r="AM191" s="526"/>
      <c r="AN191" s="526"/>
      <c r="AO191" s="526"/>
      <c r="AP191" s="540"/>
      <c r="AQ191" s="525"/>
      <c r="AR191" s="544"/>
      <c r="AS191" s="544"/>
      <c r="AT191" s="544"/>
      <c r="AU191" s="544"/>
      <c r="AV191" s="544"/>
      <c r="AW191" s="545"/>
      <c r="AX191" s="491"/>
      <c r="AY191" s="492"/>
      <c r="AZ191" s="103">
        <v>1</v>
      </c>
      <c r="BA191" s="497"/>
      <c r="BB191" s="498"/>
      <c r="BC191" s="498"/>
      <c r="BD191" s="499"/>
      <c r="BE191" s="500"/>
      <c r="BF191" s="501"/>
      <c r="BG191" s="110"/>
      <c r="BH191" s="502"/>
      <c r="BI191" s="503"/>
      <c r="BJ191" s="503"/>
      <c r="BK191" s="503"/>
      <c r="BL191" s="503"/>
      <c r="BM191" s="504"/>
      <c r="BN191" s="502"/>
      <c r="BO191" s="503"/>
      <c r="BP191" s="503"/>
      <c r="BQ191" s="503"/>
      <c r="BR191" s="503"/>
      <c r="BS191" s="504"/>
      <c r="BT191" s="502"/>
      <c r="BU191" s="503"/>
      <c r="BV191" s="503"/>
      <c r="BW191" s="503"/>
      <c r="BX191" s="503"/>
      <c r="BY191" s="504"/>
      <c r="BZ191" s="497"/>
      <c r="CA191" s="498"/>
      <c r="CB191" s="498"/>
      <c r="CC191" s="499"/>
      <c r="CD191" s="477"/>
      <c r="CE191" s="478"/>
      <c r="CF191" s="478"/>
      <c r="CG191" s="478"/>
      <c r="CH191" s="479"/>
      <c r="CI191" s="477"/>
      <c r="CJ191" s="478"/>
      <c r="CK191" s="478"/>
      <c r="CL191" s="478"/>
      <c r="CM191" s="479"/>
      <c r="CN191" s="477"/>
      <c r="CO191" s="478"/>
      <c r="CP191" s="478"/>
      <c r="CQ191" s="478"/>
      <c r="CR191" s="479"/>
      <c r="CS191" s="480"/>
      <c r="CT191" s="481"/>
      <c r="CU191" s="481"/>
      <c r="CV191" s="481"/>
      <c r="CW191" s="482"/>
    </row>
    <row r="192" spans="1:101" s="91" customFormat="1" ht="16.5" x14ac:dyDescent="0.15">
      <c r="A192" s="517"/>
      <c r="B192" s="102"/>
      <c r="C192" s="220" t="str">
        <f t="shared" ca="1" si="7"/>
        <v/>
      </c>
      <c r="D192" s="521"/>
      <c r="E192" s="522"/>
      <c r="F192" s="522"/>
      <c r="G192" s="522"/>
      <c r="H192" s="522"/>
      <c r="I192" s="522"/>
      <c r="J192" s="522"/>
      <c r="K192" s="527"/>
      <c r="L192" s="528"/>
      <c r="M192" s="528"/>
      <c r="N192" s="528"/>
      <c r="O192" s="528"/>
      <c r="P192" s="528"/>
      <c r="Q192" s="528"/>
      <c r="R192" s="533"/>
      <c r="S192" s="534"/>
      <c r="T192" s="533"/>
      <c r="U192" s="534"/>
      <c r="V192" s="527"/>
      <c r="W192" s="528"/>
      <c r="X192" s="528"/>
      <c r="Y192" s="528"/>
      <c r="Z192" s="528"/>
      <c r="AA192" s="528"/>
      <c r="AB192" s="528"/>
      <c r="AC192" s="527"/>
      <c r="AD192" s="528"/>
      <c r="AE192" s="528"/>
      <c r="AF192" s="528"/>
      <c r="AG192" s="528"/>
      <c r="AH192" s="528"/>
      <c r="AI192" s="528"/>
      <c r="AJ192" s="527"/>
      <c r="AK192" s="528"/>
      <c r="AL192" s="528"/>
      <c r="AM192" s="528"/>
      <c r="AN192" s="528"/>
      <c r="AO192" s="528"/>
      <c r="AP192" s="541"/>
      <c r="AQ192" s="546"/>
      <c r="AR192" s="547"/>
      <c r="AS192" s="547"/>
      <c r="AT192" s="547"/>
      <c r="AU192" s="547"/>
      <c r="AV192" s="547"/>
      <c r="AW192" s="548"/>
      <c r="AX192" s="493"/>
      <c r="AY192" s="494"/>
      <c r="AZ192" s="105">
        <v>2</v>
      </c>
      <c r="BA192" s="483"/>
      <c r="BB192" s="484"/>
      <c r="BC192" s="484"/>
      <c r="BD192" s="485"/>
      <c r="BE192" s="486"/>
      <c r="BF192" s="487"/>
      <c r="BG192" s="106"/>
      <c r="BH192" s="488"/>
      <c r="BI192" s="489"/>
      <c r="BJ192" s="489"/>
      <c r="BK192" s="489"/>
      <c r="BL192" s="489"/>
      <c r="BM192" s="490"/>
      <c r="BN192" s="488"/>
      <c r="BO192" s="489"/>
      <c r="BP192" s="489"/>
      <c r="BQ192" s="489"/>
      <c r="BR192" s="489"/>
      <c r="BS192" s="490"/>
      <c r="BT192" s="488"/>
      <c r="BU192" s="489"/>
      <c r="BV192" s="489"/>
      <c r="BW192" s="489"/>
      <c r="BX192" s="489"/>
      <c r="BY192" s="490"/>
      <c r="BZ192" s="483"/>
      <c r="CA192" s="484"/>
      <c r="CB192" s="484"/>
      <c r="CC192" s="485"/>
      <c r="CD192" s="477"/>
      <c r="CE192" s="478"/>
      <c r="CF192" s="478"/>
      <c r="CG192" s="478"/>
      <c r="CH192" s="479"/>
      <c r="CI192" s="477"/>
      <c r="CJ192" s="478"/>
      <c r="CK192" s="478"/>
      <c r="CL192" s="478"/>
      <c r="CM192" s="479"/>
      <c r="CN192" s="477"/>
      <c r="CO192" s="478"/>
      <c r="CP192" s="478"/>
      <c r="CQ192" s="478"/>
      <c r="CR192" s="479"/>
      <c r="CS192" s="480"/>
      <c r="CT192" s="481"/>
      <c r="CU192" s="481"/>
      <c r="CV192" s="481"/>
      <c r="CW192" s="482"/>
    </row>
    <row r="193" spans="1:101" s="91" customFormat="1" ht="16.5" x14ac:dyDescent="0.15">
      <c r="A193" s="517"/>
      <c r="B193" s="102"/>
      <c r="C193" s="220" t="str">
        <f t="shared" ca="1" si="7"/>
        <v/>
      </c>
      <c r="D193" s="521"/>
      <c r="E193" s="522"/>
      <c r="F193" s="522"/>
      <c r="G193" s="522"/>
      <c r="H193" s="522"/>
      <c r="I193" s="522"/>
      <c r="J193" s="522"/>
      <c r="K193" s="527"/>
      <c r="L193" s="528"/>
      <c r="M193" s="528"/>
      <c r="N193" s="528"/>
      <c r="O193" s="528"/>
      <c r="P193" s="528"/>
      <c r="Q193" s="528"/>
      <c r="R193" s="533"/>
      <c r="S193" s="534"/>
      <c r="T193" s="533"/>
      <c r="U193" s="534"/>
      <c r="V193" s="527"/>
      <c r="W193" s="528"/>
      <c r="X193" s="528"/>
      <c r="Y193" s="528"/>
      <c r="Z193" s="528"/>
      <c r="AA193" s="528"/>
      <c r="AB193" s="528"/>
      <c r="AC193" s="527"/>
      <c r="AD193" s="528"/>
      <c r="AE193" s="528"/>
      <c r="AF193" s="528"/>
      <c r="AG193" s="528"/>
      <c r="AH193" s="528"/>
      <c r="AI193" s="528"/>
      <c r="AJ193" s="527"/>
      <c r="AK193" s="528"/>
      <c r="AL193" s="528"/>
      <c r="AM193" s="528"/>
      <c r="AN193" s="528"/>
      <c r="AO193" s="528"/>
      <c r="AP193" s="541"/>
      <c r="AQ193" s="546"/>
      <c r="AR193" s="547"/>
      <c r="AS193" s="547"/>
      <c r="AT193" s="547"/>
      <c r="AU193" s="547"/>
      <c r="AV193" s="547"/>
      <c r="AW193" s="548"/>
      <c r="AX193" s="493"/>
      <c r="AY193" s="494"/>
      <c r="AZ193" s="105">
        <v>3</v>
      </c>
      <c r="BA193" s="483"/>
      <c r="BB193" s="484"/>
      <c r="BC193" s="484"/>
      <c r="BD193" s="485"/>
      <c r="BE193" s="486"/>
      <c r="BF193" s="487"/>
      <c r="BG193" s="106"/>
      <c r="BH193" s="488"/>
      <c r="BI193" s="489"/>
      <c r="BJ193" s="489"/>
      <c r="BK193" s="489"/>
      <c r="BL193" s="489"/>
      <c r="BM193" s="490"/>
      <c r="BN193" s="488"/>
      <c r="BO193" s="489"/>
      <c r="BP193" s="489"/>
      <c r="BQ193" s="489"/>
      <c r="BR193" s="489"/>
      <c r="BS193" s="490"/>
      <c r="BT193" s="488"/>
      <c r="BU193" s="489"/>
      <c r="BV193" s="489"/>
      <c r="BW193" s="489"/>
      <c r="BX193" s="489"/>
      <c r="BY193" s="490"/>
      <c r="BZ193" s="483"/>
      <c r="CA193" s="484"/>
      <c r="CB193" s="484"/>
      <c r="CC193" s="485"/>
      <c r="CD193" s="477"/>
      <c r="CE193" s="478"/>
      <c r="CF193" s="478"/>
      <c r="CG193" s="478"/>
      <c r="CH193" s="479"/>
      <c r="CI193" s="477"/>
      <c r="CJ193" s="478"/>
      <c r="CK193" s="478"/>
      <c r="CL193" s="478"/>
      <c r="CM193" s="479"/>
      <c r="CN193" s="477"/>
      <c r="CO193" s="478"/>
      <c r="CP193" s="478"/>
      <c r="CQ193" s="478"/>
      <c r="CR193" s="479"/>
      <c r="CS193" s="480"/>
      <c r="CT193" s="481"/>
      <c r="CU193" s="481"/>
      <c r="CV193" s="481"/>
      <c r="CW193" s="482"/>
    </row>
    <row r="194" spans="1:101" s="91" customFormat="1" ht="16.5" x14ac:dyDescent="0.15">
      <c r="A194" s="517"/>
      <c r="B194" s="102"/>
      <c r="C194" s="220" t="str">
        <f t="shared" ca="1" si="7"/>
        <v/>
      </c>
      <c r="D194" s="521"/>
      <c r="E194" s="522"/>
      <c r="F194" s="522"/>
      <c r="G194" s="522"/>
      <c r="H194" s="522"/>
      <c r="I194" s="522"/>
      <c r="J194" s="522"/>
      <c r="K194" s="527"/>
      <c r="L194" s="528"/>
      <c r="M194" s="528"/>
      <c r="N194" s="528"/>
      <c r="O194" s="528"/>
      <c r="P194" s="528"/>
      <c r="Q194" s="528"/>
      <c r="R194" s="533"/>
      <c r="S194" s="534"/>
      <c r="T194" s="533"/>
      <c r="U194" s="534"/>
      <c r="V194" s="527"/>
      <c r="W194" s="528"/>
      <c r="X194" s="528"/>
      <c r="Y194" s="528"/>
      <c r="Z194" s="528"/>
      <c r="AA194" s="528"/>
      <c r="AB194" s="528"/>
      <c r="AC194" s="527"/>
      <c r="AD194" s="528"/>
      <c r="AE194" s="528"/>
      <c r="AF194" s="528"/>
      <c r="AG194" s="528"/>
      <c r="AH194" s="528"/>
      <c r="AI194" s="528"/>
      <c r="AJ194" s="527"/>
      <c r="AK194" s="528"/>
      <c r="AL194" s="528"/>
      <c r="AM194" s="528"/>
      <c r="AN194" s="528"/>
      <c r="AO194" s="528"/>
      <c r="AP194" s="541"/>
      <c r="AQ194" s="546"/>
      <c r="AR194" s="547"/>
      <c r="AS194" s="547"/>
      <c r="AT194" s="547"/>
      <c r="AU194" s="547"/>
      <c r="AV194" s="547"/>
      <c r="AW194" s="548"/>
      <c r="AX194" s="493"/>
      <c r="AY194" s="494"/>
      <c r="AZ194" s="105">
        <v>4</v>
      </c>
      <c r="BA194" s="483"/>
      <c r="BB194" s="484"/>
      <c r="BC194" s="484"/>
      <c r="BD194" s="485"/>
      <c r="BE194" s="486"/>
      <c r="BF194" s="487"/>
      <c r="BG194" s="106"/>
      <c r="BH194" s="488"/>
      <c r="BI194" s="489"/>
      <c r="BJ194" s="489"/>
      <c r="BK194" s="489"/>
      <c r="BL194" s="489"/>
      <c r="BM194" s="490"/>
      <c r="BN194" s="488"/>
      <c r="BO194" s="489"/>
      <c r="BP194" s="489"/>
      <c r="BQ194" s="489"/>
      <c r="BR194" s="489"/>
      <c r="BS194" s="490"/>
      <c r="BT194" s="488"/>
      <c r="BU194" s="489"/>
      <c r="BV194" s="489"/>
      <c r="BW194" s="489"/>
      <c r="BX194" s="489"/>
      <c r="BY194" s="490"/>
      <c r="BZ194" s="483"/>
      <c r="CA194" s="484"/>
      <c r="CB194" s="484"/>
      <c r="CC194" s="485"/>
      <c r="CD194" s="477"/>
      <c r="CE194" s="478"/>
      <c r="CF194" s="478"/>
      <c r="CG194" s="478"/>
      <c r="CH194" s="479"/>
      <c r="CI194" s="477"/>
      <c r="CJ194" s="478"/>
      <c r="CK194" s="478"/>
      <c r="CL194" s="478"/>
      <c r="CM194" s="479"/>
      <c r="CN194" s="477"/>
      <c r="CO194" s="478"/>
      <c r="CP194" s="478"/>
      <c r="CQ194" s="478"/>
      <c r="CR194" s="479"/>
      <c r="CS194" s="480"/>
      <c r="CT194" s="481"/>
      <c r="CU194" s="481"/>
      <c r="CV194" s="481"/>
      <c r="CW194" s="482"/>
    </row>
    <row r="195" spans="1:101" s="91" customFormat="1" ht="16.5" x14ac:dyDescent="0.15">
      <c r="A195" s="517"/>
      <c r="B195" s="102"/>
      <c r="C195" s="220" t="str">
        <f t="shared" ca="1" si="7"/>
        <v/>
      </c>
      <c r="D195" s="521"/>
      <c r="E195" s="522"/>
      <c r="F195" s="522"/>
      <c r="G195" s="522"/>
      <c r="H195" s="522"/>
      <c r="I195" s="522"/>
      <c r="J195" s="522"/>
      <c r="K195" s="527"/>
      <c r="L195" s="528"/>
      <c r="M195" s="528"/>
      <c r="N195" s="528"/>
      <c r="O195" s="528"/>
      <c r="P195" s="528"/>
      <c r="Q195" s="528"/>
      <c r="R195" s="533"/>
      <c r="S195" s="534"/>
      <c r="T195" s="533"/>
      <c r="U195" s="534"/>
      <c r="V195" s="527"/>
      <c r="W195" s="528"/>
      <c r="X195" s="528"/>
      <c r="Y195" s="528"/>
      <c r="Z195" s="528"/>
      <c r="AA195" s="528"/>
      <c r="AB195" s="528"/>
      <c r="AC195" s="527"/>
      <c r="AD195" s="528"/>
      <c r="AE195" s="528"/>
      <c r="AF195" s="528"/>
      <c r="AG195" s="528"/>
      <c r="AH195" s="528"/>
      <c r="AI195" s="528"/>
      <c r="AJ195" s="527"/>
      <c r="AK195" s="528"/>
      <c r="AL195" s="528"/>
      <c r="AM195" s="528"/>
      <c r="AN195" s="528"/>
      <c r="AO195" s="528"/>
      <c r="AP195" s="541"/>
      <c r="AQ195" s="546"/>
      <c r="AR195" s="547"/>
      <c r="AS195" s="547"/>
      <c r="AT195" s="547"/>
      <c r="AU195" s="547"/>
      <c r="AV195" s="547"/>
      <c r="AW195" s="548"/>
      <c r="AX195" s="493"/>
      <c r="AY195" s="494"/>
      <c r="AZ195" s="105">
        <v>5</v>
      </c>
      <c r="BA195" s="483"/>
      <c r="BB195" s="484"/>
      <c r="BC195" s="484"/>
      <c r="BD195" s="485"/>
      <c r="BE195" s="486"/>
      <c r="BF195" s="487"/>
      <c r="BG195" s="106"/>
      <c r="BH195" s="488"/>
      <c r="BI195" s="489"/>
      <c r="BJ195" s="489"/>
      <c r="BK195" s="489"/>
      <c r="BL195" s="489"/>
      <c r="BM195" s="490"/>
      <c r="BN195" s="488"/>
      <c r="BO195" s="489"/>
      <c r="BP195" s="489"/>
      <c r="BQ195" s="489"/>
      <c r="BR195" s="489"/>
      <c r="BS195" s="490"/>
      <c r="BT195" s="488"/>
      <c r="BU195" s="489"/>
      <c r="BV195" s="489"/>
      <c r="BW195" s="489"/>
      <c r="BX195" s="489"/>
      <c r="BY195" s="490"/>
      <c r="BZ195" s="483"/>
      <c r="CA195" s="484"/>
      <c r="CB195" s="484"/>
      <c r="CC195" s="485"/>
      <c r="CD195" s="477"/>
      <c r="CE195" s="478"/>
      <c r="CF195" s="478"/>
      <c r="CG195" s="478"/>
      <c r="CH195" s="479"/>
      <c r="CI195" s="477"/>
      <c r="CJ195" s="478"/>
      <c r="CK195" s="478"/>
      <c r="CL195" s="478"/>
      <c r="CM195" s="479"/>
      <c r="CN195" s="477"/>
      <c r="CO195" s="478"/>
      <c r="CP195" s="478"/>
      <c r="CQ195" s="478"/>
      <c r="CR195" s="479"/>
      <c r="CS195" s="480"/>
      <c r="CT195" s="481"/>
      <c r="CU195" s="481"/>
      <c r="CV195" s="481"/>
      <c r="CW195" s="482"/>
    </row>
    <row r="196" spans="1:101" s="91" customFormat="1" ht="16.5" x14ac:dyDescent="0.15">
      <c r="A196" s="518"/>
      <c r="B196" s="107"/>
      <c r="C196" s="219" t="str">
        <f t="shared" ca="1" si="7"/>
        <v/>
      </c>
      <c r="D196" s="523"/>
      <c r="E196" s="650"/>
      <c r="F196" s="650"/>
      <c r="G196" s="650"/>
      <c r="H196" s="650"/>
      <c r="I196" s="650"/>
      <c r="J196" s="650"/>
      <c r="K196" s="529"/>
      <c r="L196" s="530"/>
      <c r="M196" s="530"/>
      <c r="N196" s="530"/>
      <c r="O196" s="530"/>
      <c r="P196" s="530"/>
      <c r="Q196" s="530"/>
      <c r="R196" s="535"/>
      <c r="S196" s="537"/>
      <c r="T196" s="535"/>
      <c r="U196" s="537"/>
      <c r="V196" s="529"/>
      <c r="W196" s="539"/>
      <c r="X196" s="539"/>
      <c r="Y196" s="539"/>
      <c r="Z196" s="539"/>
      <c r="AA196" s="539"/>
      <c r="AB196" s="539"/>
      <c r="AC196" s="529"/>
      <c r="AD196" s="539"/>
      <c r="AE196" s="539"/>
      <c r="AF196" s="539"/>
      <c r="AG196" s="539"/>
      <c r="AH196" s="539"/>
      <c r="AI196" s="539"/>
      <c r="AJ196" s="529"/>
      <c r="AK196" s="530"/>
      <c r="AL196" s="530"/>
      <c r="AM196" s="530"/>
      <c r="AN196" s="530"/>
      <c r="AO196" s="530"/>
      <c r="AP196" s="555"/>
      <c r="AQ196" s="549"/>
      <c r="AR196" s="550"/>
      <c r="AS196" s="550"/>
      <c r="AT196" s="550"/>
      <c r="AU196" s="550"/>
      <c r="AV196" s="550"/>
      <c r="AW196" s="551"/>
      <c r="AX196" s="495"/>
      <c r="AY196" s="496"/>
      <c r="AZ196" s="112">
        <v>6</v>
      </c>
      <c r="BA196" s="513"/>
      <c r="BB196" s="514"/>
      <c r="BC196" s="514"/>
      <c r="BD196" s="515"/>
      <c r="BE196" s="644"/>
      <c r="BF196" s="645"/>
      <c r="BG196" s="111"/>
      <c r="BH196" s="646"/>
      <c r="BI196" s="647"/>
      <c r="BJ196" s="647"/>
      <c r="BK196" s="647"/>
      <c r="BL196" s="647"/>
      <c r="BM196" s="648"/>
      <c r="BN196" s="646"/>
      <c r="BO196" s="647"/>
      <c r="BP196" s="647"/>
      <c r="BQ196" s="647"/>
      <c r="BR196" s="647"/>
      <c r="BS196" s="648"/>
      <c r="BT196" s="646"/>
      <c r="BU196" s="647"/>
      <c r="BV196" s="647"/>
      <c r="BW196" s="647"/>
      <c r="BX196" s="647"/>
      <c r="BY196" s="648"/>
      <c r="BZ196" s="513"/>
      <c r="CA196" s="514"/>
      <c r="CB196" s="514"/>
      <c r="CC196" s="515"/>
      <c r="CD196" s="477"/>
      <c r="CE196" s="478"/>
      <c r="CF196" s="478"/>
      <c r="CG196" s="478"/>
      <c r="CH196" s="479"/>
      <c r="CI196" s="477"/>
      <c r="CJ196" s="478"/>
      <c r="CK196" s="478"/>
      <c r="CL196" s="478"/>
      <c r="CM196" s="479"/>
      <c r="CN196" s="477"/>
      <c r="CO196" s="478"/>
      <c r="CP196" s="478"/>
      <c r="CQ196" s="478"/>
      <c r="CR196" s="479"/>
      <c r="CS196" s="480"/>
      <c r="CT196" s="481"/>
      <c r="CU196" s="481"/>
      <c r="CV196" s="481"/>
      <c r="CW196" s="482"/>
    </row>
    <row r="197" spans="1:101" s="91" customFormat="1" ht="16.5" x14ac:dyDescent="0.15">
      <c r="A197" s="516">
        <v>32</v>
      </c>
      <c r="B197" s="102"/>
      <c r="C197" s="222" t="str">
        <f t="shared" ca="1" si="7"/>
        <v/>
      </c>
      <c r="D197" s="519"/>
      <c r="E197" s="649"/>
      <c r="F197" s="649"/>
      <c r="G197" s="649"/>
      <c r="H197" s="649"/>
      <c r="I197" s="649"/>
      <c r="J197" s="649"/>
      <c r="K197" s="525"/>
      <c r="L197" s="526"/>
      <c r="M197" s="526"/>
      <c r="N197" s="526"/>
      <c r="O197" s="526"/>
      <c r="P197" s="526"/>
      <c r="Q197" s="526"/>
      <c r="R197" s="531"/>
      <c r="S197" s="532"/>
      <c r="T197" s="531"/>
      <c r="U197" s="532"/>
      <c r="V197" s="525"/>
      <c r="W197" s="538"/>
      <c r="X197" s="538"/>
      <c r="Y197" s="538"/>
      <c r="Z197" s="538"/>
      <c r="AA197" s="538"/>
      <c r="AB197" s="538"/>
      <c r="AC197" s="525"/>
      <c r="AD197" s="538"/>
      <c r="AE197" s="538"/>
      <c r="AF197" s="538"/>
      <c r="AG197" s="538"/>
      <c r="AH197" s="538"/>
      <c r="AI197" s="538"/>
      <c r="AJ197" s="525"/>
      <c r="AK197" s="526"/>
      <c r="AL197" s="526"/>
      <c r="AM197" s="526"/>
      <c r="AN197" s="526"/>
      <c r="AO197" s="526"/>
      <c r="AP197" s="540"/>
      <c r="AQ197" s="525"/>
      <c r="AR197" s="544"/>
      <c r="AS197" s="544"/>
      <c r="AT197" s="544"/>
      <c r="AU197" s="544"/>
      <c r="AV197" s="544"/>
      <c r="AW197" s="545"/>
      <c r="AX197" s="491"/>
      <c r="AY197" s="492"/>
      <c r="AZ197" s="103">
        <v>1</v>
      </c>
      <c r="BA197" s="497"/>
      <c r="BB197" s="498"/>
      <c r="BC197" s="498"/>
      <c r="BD197" s="499"/>
      <c r="BE197" s="500"/>
      <c r="BF197" s="501"/>
      <c r="BG197" s="110"/>
      <c r="BH197" s="502"/>
      <c r="BI197" s="503"/>
      <c r="BJ197" s="503"/>
      <c r="BK197" s="503"/>
      <c r="BL197" s="503"/>
      <c r="BM197" s="504"/>
      <c r="BN197" s="502"/>
      <c r="BO197" s="503"/>
      <c r="BP197" s="503"/>
      <c r="BQ197" s="503"/>
      <c r="BR197" s="503"/>
      <c r="BS197" s="504"/>
      <c r="BT197" s="502"/>
      <c r="BU197" s="503"/>
      <c r="BV197" s="503"/>
      <c r="BW197" s="503"/>
      <c r="BX197" s="503"/>
      <c r="BY197" s="504"/>
      <c r="BZ197" s="497"/>
      <c r="CA197" s="498"/>
      <c r="CB197" s="498"/>
      <c r="CC197" s="499"/>
      <c r="CD197" s="477"/>
      <c r="CE197" s="478"/>
      <c r="CF197" s="478"/>
      <c r="CG197" s="478"/>
      <c r="CH197" s="479"/>
      <c r="CI197" s="477"/>
      <c r="CJ197" s="478"/>
      <c r="CK197" s="478"/>
      <c r="CL197" s="478"/>
      <c r="CM197" s="479"/>
      <c r="CN197" s="477"/>
      <c r="CO197" s="478"/>
      <c r="CP197" s="478"/>
      <c r="CQ197" s="478"/>
      <c r="CR197" s="479"/>
      <c r="CS197" s="480"/>
      <c r="CT197" s="481"/>
      <c r="CU197" s="481"/>
      <c r="CV197" s="481"/>
      <c r="CW197" s="482"/>
    </row>
    <row r="198" spans="1:101" s="91" customFormat="1" ht="16.5" x14ac:dyDescent="0.15">
      <c r="A198" s="517"/>
      <c r="B198" s="102"/>
      <c r="C198" s="220" t="str">
        <f t="shared" ca="1" si="7"/>
        <v/>
      </c>
      <c r="D198" s="521"/>
      <c r="E198" s="522"/>
      <c r="F198" s="522"/>
      <c r="G198" s="522"/>
      <c r="H198" s="522"/>
      <c r="I198" s="522"/>
      <c r="J198" s="522"/>
      <c r="K198" s="527"/>
      <c r="L198" s="528"/>
      <c r="M198" s="528"/>
      <c r="N198" s="528"/>
      <c r="O198" s="528"/>
      <c r="P198" s="528"/>
      <c r="Q198" s="528"/>
      <c r="R198" s="533"/>
      <c r="S198" s="534"/>
      <c r="T198" s="533"/>
      <c r="U198" s="534"/>
      <c r="V198" s="527"/>
      <c r="W198" s="528"/>
      <c r="X198" s="528"/>
      <c r="Y198" s="528"/>
      <c r="Z198" s="528"/>
      <c r="AA198" s="528"/>
      <c r="AB198" s="528"/>
      <c r="AC198" s="527"/>
      <c r="AD198" s="528"/>
      <c r="AE198" s="528"/>
      <c r="AF198" s="528"/>
      <c r="AG198" s="528"/>
      <c r="AH198" s="528"/>
      <c r="AI198" s="528"/>
      <c r="AJ198" s="527"/>
      <c r="AK198" s="528"/>
      <c r="AL198" s="528"/>
      <c r="AM198" s="528"/>
      <c r="AN198" s="528"/>
      <c r="AO198" s="528"/>
      <c r="AP198" s="541"/>
      <c r="AQ198" s="546"/>
      <c r="AR198" s="547"/>
      <c r="AS198" s="547"/>
      <c r="AT198" s="547"/>
      <c r="AU198" s="547"/>
      <c r="AV198" s="547"/>
      <c r="AW198" s="548"/>
      <c r="AX198" s="493"/>
      <c r="AY198" s="494"/>
      <c r="AZ198" s="105">
        <v>2</v>
      </c>
      <c r="BA198" s="483"/>
      <c r="BB198" s="484"/>
      <c r="BC198" s="484"/>
      <c r="BD198" s="485"/>
      <c r="BE198" s="486"/>
      <c r="BF198" s="487"/>
      <c r="BG198" s="106"/>
      <c r="BH198" s="488"/>
      <c r="BI198" s="489"/>
      <c r="BJ198" s="489"/>
      <c r="BK198" s="489"/>
      <c r="BL198" s="489"/>
      <c r="BM198" s="490"/>
      <c r="BN198" s="488"/>
      <c r="BO198" s="489"/>
      <c r="BP198" s="489"/>
      <c r="BQ198" s="489"/>
      <c r="BR198" s="489"/>
      <c r="BS198" s="490"/>
      <c r="BT198" s="488"/>
      <c r="BU198" s="489"/>
      <c r="BV198" s="489"/>
      <c r="BW198" s="489"/>
      <c r="BX198" s="489"/>
      <c r="BY198" s="490"/>
      <c r="BZ198" s="483"/>
      <c r="CA198" s="484"/>
      <c r="CB198" s="484"/>
      <c r="CC198" s="485"/>
      <c r="CD198" s="477"/>
      <c r="CE198" s="478"/>
      <c r="CF198" s="478"/>
      <c r="CG198" s="478"/>
      <c r="CH198" s="479"/>
      <c r="CI198" s="477"/>
      <c r="CJ198" s="478"/>
      <c r="CK198" s="478"/>
      <c r="CL198" s="478"/>
      <c r="CM198" s="479"/>
      <c r="CN198" s="477"/>
      <c r="CO198" s="478"/>
      <c r="CP198" s="478"/>
      <c r="CQ198" s="478"/>
      <c r="CR198" s="479"/>
      <c r="CS198" s="480"/>
      <c r="CT198" s="481"/>
      <c r="CU198" s="481"/>
      <c r="CV198" s="481"/>
      <c r="CW198" s="482"/>
    </row>
    <row r="199" spans="1:101" s="91" customFormat="1" ht="16.5" x14ac:dyDescent="0.15">
      <c r="A199" s="517"/>
      <c r="B199" s="102"/>
      <c r="C199" s="220" t="str">
        <f t="shared" ca="1" si="7"/>
        <v/>
      </c>
      <c r="D199" s="521"/>
      <c r="E199" s="522"/>
      <c r="F199" s="522"/>
      <c r="G199" s="522"/>
      <c r="H199" s="522"/>
      <c r="I199" s="522"/>
      <c r="J199" s="522"/>
      <c r="K199" s="527"/>
      <c r="L199" s="528"/>
      <c r="M199" s="528"/>
      <c r="N199" s="528"/>
      <c r="O199" s="528"/>
      <c r="P199" s="528"/>
      <c r="Q199" s="528"/>
      <c r="R199" s="533"/>
      <c r="S199" s="534"/>
      <c r="T199" s="533"/>
      <c r="U199" s="534"/>
      <c r="V199" s="527"/>
      <c r="W199" s="528"/>
      <c r="X199" s="528"/>
      <c r="Y199" s="528"/>
      <c r="Z199" s="528"/>
      <c r="AA199" s="528"/>
      <c r="AB199" s="528"/>
      <c r="AC199" s="527"/>
      <c r="AD199" s="528"/>
      <c r="AE199" s="528"/>
      <c r="AF199" s="528"/>
      <c r="AG199" s="528"/>
      <c r="AH199" s="528"/>
      <c r="AI199" s="528"/>
      <c r="AJ199" s="527"/>
      <c r="AK199" s="528"/>
      <c r="AL199" s="528"/>
      <c r="AM199" s="528"/>
      <c r="AN199" s="528"/>
      <c r="AO199" s="528"/>
      <c r="AP199" s="541"/>
      <c r="AQ199" s="546"/>
      <c r="AR199" s="547"/>
      <c r="AS199" s="547"/>
      <c r="AT199" s="547"/>
      <c r="AU199" s="547"/>
      <c r="AV199" s="547"/>
      <c r="AW199" s="548"/>
      <c r="AX199" s="493"/>
      <c r="AY199" s="494"/>
      <c r="AZ199" s="105">
        <v>3</v>
      </c>
      <c r="BA199" s="483"/>
      <c r="BB199" s="484"/>
      <c r="BC199" s="484"/>
      <c r="BD199" s="485"/>
      <c r="BE199" s="486"/>
      <c r="BF199" s="487"/>
      <c r="BG199" s="106"/>
      <c r="BH199" s="488"/>
      <c r="BI199" s="489"/>
      <c r="BJ199" s="489"/>
      <c r="BK199" s="489"/>
      <c r="BL199" s="489"/>
      <c r="BM199" s="490"/>
      <c r="BN199" s="488"/>
      <c r="BO199" s="489"/>
      <c r="BP199" s="489"/>
      <c r="BQ199" s="489"/>
      <c r="BR199" s="489"/>
      <c r="BS199" s="490"/>
      <c r="BT199" s="488"/>
      <c r="BU199" s="489"/>
      <c r="BV199" s="489"/>
      <c r="BW199" s="489"/>
      <c r="BX199" s="489"/>
      <c r="BY199" s="490"/>
      <c r="BZ199" s="483"/>
      <c r="CA199" s="484"/>
      <c r="CB199" s="484"/>
      <c r="CC199" s="485"/>
      <c r="CD199" s="477"/>
      <c r="CE199" s="478"/>
      <c r="CF199" s="478"/>
      <c r="CG199" s="478"/>
      <c r="CH199" s="479"/>
      <c r="CI199" s="477"/>
      <c r="CJ199" s="478"/>
      <c r="CK199" s="478"/>
      <c r="CL199" s="478"/>
      <c r="CM199" s="479"/>
      <c r="CN199" s="477"/>
      <c r="CO199" s="478"/>
      <c r="CP199" s="478"/>
      <c r="CQ199" s="478"/>
      <c r="CR199" s="479"/>
      <c r="CS199" s="480"/>
      <c r="CT199" s="481"/>
      <c r="CU199" s="481"/>
      <c r="CV199" s="481"/>
      <c r="CW199" s="482"/>
    </row>
    <row r="200" spans="1:101" s="91" customFormat="1" ht="16.5" x14ac:dyDescent="0.15">
      <c r="A200" s="517"/>
      <c r="B200" s="102"/>
      <c r="C200" s="220" t="str">
        <f t="shared" ca="1" si="7"/>
        <v/>
      </c>
      <c r="D200" s="521"/>
      <c r="E200" s="522"/>
      <c r="F200" s="522"/>
      <c r="G200" s="522"/>
      <c r="H200" s="522"/>
      <c r="I200" s="522"/>
      <c r="J200" s="522"/>
      <c r="K200" s="527"/>
      <c r="L200" s="528"/>
      <c r="M200" s="528"/>
      <c r="N200" s="528"/>
      <c r="O200" s="528"/>
      <c r="P200" s="528"/>
      <c r="Q200" s="528"/>
      <c r="R200" s="533"/>
      <c r="S200" s="534"/>
      <c r="T200" s="533"/>
      <c r="U200" s="534"/>
      <c r="V200" s="527"/>
      <c r="W200" s="528"/>
      <c r="X200" s="528"/>
      <c r="Y200" s="528"/>
      <c r="Z200" s="528"/>
      <c r="AA200" s="528"/>
      <c r="AB200" s="528"/>
      <c r="AC200" s="527"/>
      <c r="AD200" s="528"/>
      <c r="AE200" s="528"/>
      <c r="AF200" s="528"/>
      <c r="AG200" s="528"/>
      <c r="AH200" s="528"/>
      <c r="AI200" s="528"/>
      <c r="AJ200" s="527"/>
      <c r="AK200" s="528"/>
      <c r="AL200" s="528"/>
      <c r="AM200" s="528"/>
      <c r="AN200" s="528"/>
      <c r="AO200" s="528"/>
      <c r="AP200" s="541"/>
      <c r="AQ200" s="546"/>
      <c r="AR200" s="547"/>
      <c r="AS200" s="547"/>
      <c r="AT200" s="547"/>
      <c r="AU200" s="547"/>
      <c r="AV200" s="547"/>
      <c r="AW200" s="548"/>
      <c r="AX200" s="493"/>
      <c r="AY200" s="494"/>
      <c r="AZ200" s="105">
        <v>4</v>
      </c>
      <c r="BA200" s="483"/>
      <c r="BB200" s="484"/>
      <c r="BC200" s="484"/>
      <c r="BD200" s="485"/>
      <c r="BE200" s="486"/>
      <c r="BF200" s="487"/>
      <c r="BG200" s="106"/>
      <c r="BH200" s="488"/>
      <c r="BI200" s="489"/>
      <c r="BJ200" s="489"/>
      <c r="BK200" s="489"/>
      <c r="BL200" s="489"/>
      <c r="BM200" s="490"/>
      <c r="BN200" s="488"/>
      <c r="BO200" s="489"/>
      <c r="BP200" s="489"/>
      <c r="BQ200" s="489"/>
      <c r="BR200" s="489"/>
      <c r="BS200" s="490"/>
      <c r="BT200" s="488"/>
      <c r="BU200" s="489"/>
      <c r="BV200" s="489"/>
      <c r="BW200" s="489"/>
      <c r="BX200" s="489"/>
      <c r="BY200" s="490"/>
      <c r="BZ200" s="483"/>
      <c r="CA200" s="484"/>
      <c r="CB200" s="484"/>
      <c r="CC200" s="485"/>
      <c r="CD200" s="477"/>
      <c r="CE200" s="478"/>
      <c r="CF200" s="478"/>
      <c r="CG200" s="478"/>
      <c r="CH200" s="479"/>
      <c r="CI200" s="477"/>
      <c r="CJ200" s="478"/>
      <c r="CK200" s="478"/>
      <c r="CL200" s="478"/>
      <c r="CM200" s="479"/>
      <c r="CN200" s="477"/>
      <c r="CO200" s="478"/>
      <c r="CP200" s="478"/>
      <c r="CQ200" s="478"/>
      <c r="CR200" s="479"/>
      <c r="CS200" s="480"/>
      <c r="CT200" s="481"/>
      <c r="CU200" s="481"/>
      <c r="CV200" s="481"/>
      <c r="CW200" s="482"/>
    </row>
    <row r="201" spans="1:101" s="91" customFormat="1" ht="16.5" x14ac:dyDescent="0.15">
      <c r="A201" s="517"/>
      <c r="B201" s="102"/>
      <c r="C201" s="220" t="str">
        <f t="shared" ca="1" si="7"/>
        <v/>
      </c>
      <c r="D201" s="521"/>
      <c r="E201" s="522"/>
      <c r="F201" s="522"/>
      <c r="G201" s="522"/>
      <c r="H201" s="522"/>
      <c r="I201" s="522"/>
      <c r="J201" s="522"/>
      <c r="K201" s="527"/>
      <c r="L201" s="528"/>
      <c r="M201" s="528"/>
      <c r="N201" s="528"/>
      <c r="O201" s="528"/>
      <c r="P201" s="528"/>
      <c r="Q201" s="528"/>
      <c r="R201" s="533"/>
      <c r="S201" s="534"/>
      <c r="T201" s="533"/>
      <c r="U201" s="534"/>
      <c r="V201" s="527"/>
      <c r="W201" s="528"/>
      <c r="X201" s="528"/>
      <c r="Y201" s="528"/>
      <c r="Z201" s="528"/>
      <c r="AA201" s="528"/>
      <c r="AB201" s="528"/>
      <c r="AC201" s="527"/>
      <c r="AD201" s="528"/>
      <c r="AE201" s="528"/>
      <c r="AF201" s="528"/>
      <c r="AG201" s="528"/>
      <c r="AH201" s="528"/>
      <c r="AI201" s="528"/>
      <c r="AJ201" s="527"/>
      <c r="AK201" s="528"/>
      <c r="AL201" s="528"/>
      <c r="AM201" s="528"/>
      <c r="AN201" s="528"/>
      <c r="AO201" s="528"/>
      <c r="AP201" s="541"/>
      <c r="AQ201" s="546"/>
      <c r="AR201" s="547"/>
      <c r="AS201" s="547"/>
      <c r="AT201" s="547"/>
      <c r="AU201" s="547"/>
      <c r="AV201" s="547"/>
      <c r="AW201" s="548"/>
      <c r="AX201" s="493"/>
      <c r="AY201" s="494"/>
      <c r="AZ201" s="105">
        <v>5</v>
      </c>
      <c r="BA201" s="483"/>
      <c r="BB201" s="484"/>
      <c r="BC201" s="484"/>
      <c r="BD201" s="485"/>
      <c r="BE201" s="486"/>
      <c r="BF201" s="487"/>
      <c r="BG201" s="106"/>
      <c r="BH201" s="488"/>
      <c r="BI201" s="489"/>
      <c r="BJ201" s="489"/>
      <c r="BK201" s="489"/>
      <c r="BL201" s="489"/>
      <c r="BM201" s="490"/>
      <c r="BN201" s="488"/>
      <c r="BO201" s="489"/>
      <c r="BP201" s="489"/>
      <c r="BQ201" s="489"/>
      <c r="BR201" s="489"/>
      <c r="BS201" s="490"/>
      <c r="BT201" s="488"/>
      <c r="BU201" s="489"/>
      <c r="BV201" s="489"/>
      <c r="BW201" s="489"/>
      <c r="BX201" s="489"/>
      <c r="BY201" s="490"/>
      <c r="BZ201" s="483"/>
      <c r="CA201" s="484"/>
      <c r="CB201" s="484"/>
      <c r="CC201" s="485"/>
      <c r="CD201" s="477"/>
      <c r="CE201" s="478"/>
      <c r="CF201" s="478"/>
      <c r="CG201" s="478"/>
      <c r="CH201" s="479"/>
      <c r="CI201" s="477"/>
      <c r="CJ201" s="478"/>
      <c r="CK201" s="478"/>
      <c r="CL201" s="478"/>
      <c r="CM201" s="479"/>
      <c r="CN201" s="477"/>
      <c r="CO201" s="478"/>
      <c r="CP201" s="478"/>
      <c r="CQ201" s="478"/>
      <c r="CR201" s="479"/>
      <c r="CS201" s="480"/>
      <c r="CT201" s="481"/>
      <c r="CU201" s="481"/>
      <c r="CV201" s="481"/>
      <c r="CW201" s="482"/>
    </row>
    <row r="202" spans="1:101" s="91" customFormat="1" ht="16.5" x14ac:dyDescent="0.15">
      <c r="A202" s="518"/>
      <c r="B202" s="107"/>
      <c r="C202" s="220" t="str">
        <f t="shared" ca="1" si="7"/>
        <v/>
      </c>
      <c r="D202" s="523"/>
      <c r="E202" s="650"/>
      <c r="F202" s="650"/>
      <c r="G202" s="650"/>
      <c r="H202" s="650"/>
      <c r="I202" s="650"/>
      <c r="J202" s="650"/>
      <c r="K202" s="529"/>
      <c r="L202" s="530"/>
      <c r="M202" s="530"/>
      <c r="N202" s="530"/>
      <c r="O202" s="530"/>
      <c r="P202" s="530"/>
      <c r="Q202" s="530"/>
      <c r="R202" s="535"/>
      <c r="S202" s="537"/>
      <c r="T202" s="535"/>
      <c r="U202" s="537"/>
      <c r="V202" s="529"/>
      <c r="W202" s="539"/>
      <c r="X202" s="539"/>
      <c r="Y202" s="539"/>
      <c r="Z202" s="539"/>
      <c r="AA202" s="539"/>
      <c r="AB202" s="539"/>
      <c r="AC202" s="529"/>
      <c r="AD202" s="539"/>
      <c r="AE202" s="539"/>
      <c r="AF202" s="539"/>
      <c r="AG202" s="539"/>
      <c r="AH202" s="539"/>
      <c r="AI202" s="539"/>
      <c r="AJ202" s="529"/>
      <c r="AK202" s="530"/>
      <c r="AL202" s="530"/>
      <c r="AM202" s="530"/>
      <c r="AN202" s="530"/>
      <c r="AO202" s="530"/>
      <c r="AP202" s="555"/>
      <c r="AQ202" s="549"/>
      <c r="AR202" s="550"/>
      <c r="AS202" s="550"/>
      <c r="AT202" s="550"/>
      <c r="AU202" s="550"/>
      <c r="AV202" s="550"/>
      <c r="AW202" s="551"/>
      <c r="AX202" s="495"/>
      <c r="AY202" s="496"/>
      <c r="AZ202" s="108">
        <v>6</v>
      </c>
      <c r="BA202" s="513"/>
      <c r="BB202" s="514"/>
      <c r="BC202" s="514"/>
      <c r="BD202" s="515"/>
      <c r="BE202" s="644"/>
      <c r="BF202" s="645"/>
      <c r="BG202" s="111"/>
      <c r="BH202" s="510"/>
      <c r="BI202" s="511"/>
      <c r="BJ202" s="511"/>
      <c r="BK202" s="511"/>
      <c r="BL202" s="511"/>
      <c r="BM202" s="512"/>
      <c r="BN202" s="510"/>
      <c r="BO202" s="511"/>
      <c r="BP202" s="511"/>
      <c r="BQ202" s="511"/>
      <c r="BR202" s="511"/>
      <c r="BS202" s="512"/>
      <c r="BT202" s="510"/>
      <c r="BU202" s="511"/>
      <c r="BV202" s="511"/>
      <c r="BW202" s="511"/>
      <c r="BX202" s="511"/>
      <c r="BY202" s="512"/>
      <c r="BZ202" s="513"/>
      <c r="CA202" s="514"/>
      <c r="CB202" s="514"/>
      <c r="CC202" s="515"/>
      <c r="CD202" s="477"/>
      <c r="CE202" s="478"/>
      <c r="CF202" s="478"/>
      <c r="CG202" s="478"/>
      <c r="CH202" s="479"/>
      <c r="CI202" s="477"/>
      <c r="CJ202" s="478"/>
      <c r="CK202" s="478"/>
      <c r="CL202" s="478"/>
      <c r="CM202" s="479"/>
      <c r="CN202" s="477"/>
      <c r="CO202" s="478"/>
      <c r="CP202" s="478"/>
      <c r="CQ202" s="478"/>
      <c r="CR202" s="479"/>
      <c r="CS202" s="480"/>
      <c r="CT202" s="481"/>
      <c r="CU202" s="481"/>
      <c r="CV202" s="481"/>
      <c r="CW202" s="482"/>
    </row>
    <row r="203" spans="1:101" s="91" customFormat="1" ht="16.5" x14ac:dyDescent="0.15">
      <c r="A203" s="516">
        <v>33</v>
      </c>
      <c r="B203" s="102"/>
      <c r="C203" s="216" t="str">
        <f t="shared" ca="1" si="7"/>
        <v/>
      </c>
      <c r="D203" s="519"/>
      <c r="E203" s="649"/>
      <c r="F203" s="649"/>
      <c r="G203" s="649"/>
      <c r="H203" s="649"/>
      <c r="I203" s="649"/>
      <c r="J203" s="649"/>
      <c r="K203" s="525"/>
      <c r="L203" s="538"/>
      <c r="M203" s="538"/>
      <c r="N203" s="538"/>
      <c r="O203" s="538"/>
      <c r="P203" s="538"/>
      <c r="Q203" s="538"/>
      <c r="R203" s="531"/>
      <c r="S203" s="532"/>
      <c r="T203" s="531"/>
      <c r="U203" s="532"/>
      <c r="V203" s="525"/>
      <c r="W203" s="538"/>
      <c r="X203" s="538"/>
      <c r="Y203" s="538"/>
      <c r="Z203" s="538"/>
      <c r="AA203" s="538"/>
      <c r="AB203" s="538"/>
      <c r="AC203" s="525"/>
      <c r="AD203" s="538"/>
      <c r="AE203" s="538"/>
      <c r="AF203" s="538"/>
      <c r="AG203" s="538"/>
      <c r="AH203" s="538"/>
      <c r="AI203" s="538"/>
      <c r="AJ203" s="525"/>
      <c r="AK203" s="526"/>
      <c r="AL203" s="526"/>
      <c r="AM203" s="526"/>
      <c r="AN203" s="526"/>
      <c r="AO203" s="526"/>
      <c r="AP203" s="540"/>
      <c r="AQ203" s="525"/>
      <c r="AR203" s="544"/>
      <c r="AS203" s="544"/>
      <c r="AT203" s="544"/>
      <c r="AU203" s="544"/>
      <c r="AV203" s="544"/>
      <c r="AW203" s="545"/>
      <c r="AX203" s="491"/>
      <c r="AY203" s="492"/>
      <c r="AZ203" s="103">
        <v>1</v>
      </c>
      <c r="BA203" s="497"/>
      <c r="BB203" s="498"/>
      <c r="BC203" s="498"/>
      <c r="BD203" s="499"/>
      <c r="BE203" s="500"/>
      <c r="BF203" s="501"/>
      <c r="BG203" s="104"/>
      <c r="BH203" s="502"/>
      <c r="BI203" s="503"/>
      <c r="BJ203" s="503"/>
      <c r="BK203" s="503"/>
      <c r="BL203" s="503"/>
      <c r="BM203" s="504"/>
      <c r="BN203" s="502"/>
      <c r="BO203" s="503"/>
      <c r="BP203" s="503"/>
      <c r="BQ203" s="503"/>
      <c r="BR203" s="503"/>
      <c r="BS203" s="504"/>
      <c r="BT203" s="502"/>
      <c r="BU203" s="503"/>
      <c r="BV203" s="503"/>
      <c r="BW203" s="503"/>
      <c r="BX203" s="503"/>
      <c r="BY203" s="504"/>
      <c r="BZ203" s="552"/>
      <c r="CA203" s="553"/>
      <c r="CB203" s="553"/>
      <c r="CC203" s="554"/>
      <c r="CD203" s="477"/>
      <c r="CE203" s="478"/>
      <c r="CF203" s="478"/>
      <c r="CG203" s="478"/>
      <c r="CH203" s="479"/>
      <c r="CI203" s="477"/>
      <c r="CJ203" s="478"/>
      <c r="CK203" s="478"/>
      <c r="CL203" s="478"/>
      <c r="CM203" s="479"/>
      <c r="CN203" s="477"/>
      <c r="CO203" s="478"/>
      <c r="CP203" s="478"/>
      <c r="CQ203" s="478"/>
      <c r="CR203" s="479"/>
      <c r="CS203" s="480"/>
      <c r="CT203" s="481"/>
      <c r="CU203" s="481"/>
      <c r="CV203" s="481"/>
      <c r="CW203" s="482"/>
    </row>
    <row r="204" spans="1:101" s="91" customFormat="1" ht="16.5" x14ac:dyDescent="0.15">
      <c r="A204" s="517"/>
      <c r="B204" s="102"/>
      <c r="C204" s="220" t="str">
        <f t="shared" ca="1" si="7"/>
        <v/>
      </c>
      <c r="D204" s="521"/>
      <c r="E204" s="522"/>
      <c r="F204" s="522"/>
      <c r="G204" s="522"/>
      <c r="H204" s="522"/>
      <c r="I204" s="522"/>
      <c r="J204" s="522"/>
      <c r="K204" s="527"/>
      <c r="L204" s="528"/>
      <c r="M204" s="528"/>
      <c r="N204" s="528"/>
      <c r="O204" s="528"/>
      <c r="P204" s="528"/>
      <c r="Q204" s="528"/>
      <c r="R204" s="533"/>
      <c r="S204" s="534"/>
      <c r="T204" s="533"/>
      <c r="U204" s="534"/>
      <c r="V204" s="527"/>
      <c r="W204" s="528"/>
      <c r="X204" s="528"/>
      <c r="Y204" s="528"/>
      <c r="Z204" s="528"/>
      <c r="AA204" s="528"/>
      <c r="AB204" s="528"/>
      <c r="AC204" s="527"/>
      <c r="AD204" s="528"/>
      <c r="AE204" s="528"/>
      <c r="AF204" s="528"/>
      <c r="AG204" s="528"/>
      <c r="AH204" s="528"/>
      <c r="AI204" s="528"/>
      <c r="AJ204" s="527"/>
      <c r="AK204" s="528"/>
      <c r="AL204" s="528"/>
      <c r="AM204" s="528"/>
      <c r="AN204" s="528"/>
      <c r="AO204" s="528"/>
      <c r="AP204" s="541"/>
      <c r="AQ204" s="546"/>
      <c r="AR204" s="547"/>
      <c r="AS204" s="547"/>
      <c r="AT204" s="547"/>
      <c r="AU204" s="547"/>
      <c r="AV204" s="547"/>
      <c r="AW204" s="548"/>
      <c r="AX204" s="493"/>
      <c r="AY204" s="494"/>
      <c r="AZ204" s="105">
        <v>2</v>
      </c>
      <c r="BA204" s="483"/>
      <c r="BB204" s="484"/>
      <c r="BC204" s="484"/>
      <c r="BD204" s="485"/>
      <c r="BE204" s="486"/>
      <c r="BF204" s="487"/>
      <c r="BG204" s="106"/>
      <c r="BH204" s="488"/>
      <c r="BI204" s="489"/>
      <c r="BJ204" s="489"/>
      <c r="BK204" s="489"/>
      <c r="BL204" s="489"/>
      <c r="BM204" s="490"/>
      <c r="BN204" s="488"/>
      <c r="BO204" s="489"/>
      <c r="BP204" s="489"/>
      <c r="BQ204" s="489"/>
      <c r="BR204" s="489"/>
      <c r="BS204" s="490"/>
      <c r="BT204" s="488"/>
      <c r="BU204" s="489"/>
      <c r="BV204" s="489"/>
      <c r="BW204" s="489"/>
      <c r="BX204" s="489"/>
      <c r="BY204" s="490"/>
      <c r="BZ204" s="483"/>
      <c r="CA204" s="484"/>
      <c r="CB204" s="484"/>
      <c r="CC204" s="485"/>
      <c r="CD204" s="477"/>
      <c r="CE204" s="478"/>
      <c r="CF204" s="478"/>
      <c r="CG204" s="478"/>
      <c r="CH204" s="479"/>
      <c r="CI204" s="477"/>
      <c r="CJ204" s="478"/>
      <c r="CK204" s="478"/>
      <c r="CL204" s="478"/>
      <c r="CM204" s="479"/>
      <c r="CN204" s="477"/>
      <c r="CO204" s="478"/>
      <c r="CP204" s="478"/>
      <c r="CQ204" s="478"/>
      <c r="CR204" s="479"/>
      <c r="CS204" s="480"/>
      <c r="CT204" s="481"/>
      <c r="CU204" s="481"/>
      <c r="CV204" s="481"/>
      <c r="CW204" s="482"/>
    </row>
    <row r="205" spans="1:101" s="91" customFormat="1" ht="16.5" x14ac:dyDescent="0.15">
      <c r="A205" s="517"/>
      <c r="B205" s="102"/>
      <c r="C205" s="220" t="str">
        <f t="shared" ca="1" si="7"/>
        <v/>
      </c>
      <c r="D205" s="521"/>
      <c r="E205" s="522"/>
      <c r="F205" s="522"/>
      <c r="G205" s="522"/>
      <c r="H205" s="522"/>
      <c r="I205" s="522"/>
      <c r="J205" s="522"/>
      <c r="K205" s="527"/>
      <c r="L205" s="528"/>
      <c r="M205" s="528"/>
      <c r="N205" s="528"/>
      <c r="O205" s="528"/>
      <c r="P205" s="528"/>
      <c r="Q205" s="528"/>
      <c r="R205" s="533"/>
      <c r="S205" s="534"/>
      <c r="T205" s="533"/>
      <c r="U205" s="534"/>
      <c r="V205" s="527"/>
      <c r="W205" s="528"/>
      <c r="X205" s="528"/>
      <c r="Y205" s="528"/>
      <c r="Z205" s="528"/>
      <c r="AA205" s="528"/>
      <c r="AB205" s="528"/>
      <c r="AC205" s="527"/>
      <c r="AD205" s="528"/>
      <c r="AE205" s="528"/>
      <c r="AF205" s="528"/>
      <c r="AG205" s="528"/>
      <c r="AH205" s="528"/>
      <c r="AI205" s="528"/>
      <c r="AJ205" s="527"/>
      <c r="AK205" s="528"/>
      <c r="AL205" s="528"/>
      <c r="AM205" s="528"/>
      <c r="AN205" s="528"/>
      <c r="AO205" s="528"/>
      <c r="AP205" s="541"/>
      <c r="AQ205" s="546"/>
      <c r="AR205" s="547"/>
      <c r="AS205" s="547"/>
      <c r="AT205" s="547"/>
      <c r="AU205" s="547"/>
      <c r="AV205" s="547"/>
      <c r="AW205" s="548"/>
      <c r="AX205" s="493"/>
      <c r="AY205" s="494"/>
      <c r="AZ205" s="105">
        <v>3</v>
      </c>
      <c r="BA205" s="483"/>
      <c r="BB205" s="484"/>
      <c r="BC205" s="484"/>
      <c r="BD205" s="485"/>
      <c r="BE205" s="486"/>
      <c r="BF205" s="487"/>
      <c r="BG205" s="106"/>
      <c r="BH205" s="488"/>
      <c r="BI205" s="489"/>
      <c r="BJ205" s="489"/>
      <c r="BK205" s="489"/>
      <c r="BL205" s="489"/>
      <c r="BM205" s="490"/>
      <c r="BN205" s="488"/>
      <c r="BO205" s="489"/>
      <c r="BP205" s="489"/>
      <c r="BQ205" s="489"/>
      <c r="BR205" s="489"/>
      <c r="BS205" s="490"/>
      <c r="BT205" s="488"/>
      <c r="BU205" s="489"/>
      <c r="BV205" s="489"/>
      <c r="BW205" s="489"/>
      <c r="BX205" s="489"/>
      <c r="BY205" s="490"/>
      <c r="BZ205" s="483"/>
      <c r="CA205" s="484"/>
      <c r="CB205" s="484"/>
      <c r="CC205" s="485"/>
      <c r="CD205" s="477"/>
      <c r="CE205" s="478"/>
      <c r="CF205" s="478"/>
      <c r="CG205" s="478"/>
      <c r="CH205" s="479"/>
      <c r="CI205" s="477"/>
      <c r="CJ205" s="478"/>
      <c r="CK205" s="478"/>
      <c r="CL205" s="478"/>
      <c r="CM205" s="479"/>
      <c r="CN205" s="477"/>
      <c r="CO205" s="478"/>
      <c r="CP205" s="478"/>
      <c r="CQ205" s="478"/>
      <c r="CR205" s="479"/>
      <c r="CS205" s="480"/>
      <c r="CT205" s="481"/>
      <c r="CU205" s="481"/>
      <c r="CV205" s="481"/>
      <c r="CW205" s="482"/>
    </row>
    <row r="206" spans="1:101" s="91" customFormat="1" ht="16.5" x14ac:dyDescent="0.15">
      <c r="A206" s="517"/>
      <c r="B206" s="102"/>
      <c r="C206" s="220" t="str">
        <f t="shared" ca="1" si="7"/>
        <v/>
      </c>
      <c r="D206" s="521"/>
      <c r="E206" s="522"/>
      <c r="F206" s="522"/>
      <c r="G206" s="522"/>
      <c r="H206" s="522"/>
      <c r="I206" s="522"/>
      <c r="J206" s="522"/>
      <c r="K206" s="527"/>
      <c r="L206" s="528"/>
      <c r="M206" s="528"/>
      <c r="N206" s="528"/>
      <c r="O206" s="528"/>
      <c r="P206" s="528"/>
      <c r="Q206" s="528"/>
      <c r="R206" s="533"/>
      <c r="S206" s="534"/>
      <c r="T206" s="533"/>
      <c r="U206" s="534"/>
      <c r="V206" s="527"/>
      <c r="W206" s="528"/>
      <c r="X206" s="528"/>
      <c r="Y206" s="528"/>
      <c r="Z206" s="528"/>
      <c r="AA206" s="528"/>
      <c r="AB206" s="528"/>
      <c r="AC206" s="527"/>
      <c r="AD206" s="528"/>
      <c r="AE206" s="528"/>
      <c r="AF206" s="528"/>
      <c r="AG206" s="528"/>
      <c r="AH206" s="528"/>
      <c r="AI206" s="528"/>
      <c r="AJ206" s="527"/>
      <c r="AK206" s="528"/>
      <c r="AL206" s="528"/>
      <c r="AM206" s="528"/>
      <c r="AN206" s="528"/>
      <c r="AO206" s="528"/>
      <c r="AP206" s="541"/>
      <c r="AQ206" s="546"/>
      <c r="AR206" s="547"/>
      <c r="AS206" s="547"/>
      <c r="AT206" s="547"/>
      <c r="AU206" s="547"/>
      <c r="AV206" s="547"/>
      <c r="AW206" s="548"/>
      <c r="AX206" s="493"/>
      <c r="AY206" s="494"/>
      <c r="AZ206" s="105">
        <v>4</v>
      </c>
      <c r="BA206" s="483"/>
      <c r="BB206" s="484"/>
      <c r="BC206" s="484"/>
      <c r="BD206" s="485"/>
      <c r="BE206" s="486"/>
      <c r="BF206" s="487"/>
      <c r="BG206" s="106"/>
      <c r="BH206" s="488"/>
      <c r="BI206" s="489"/>
      <c r="BJ206" s="489"/>
      <c r="BK206" s="489"/>
      <c r="BL206" s="489"/>
      <c r="BM206" s="490"/>
      <c r="BN206" s="488"/>
      <c r="BO206" s="489"/>
      <c r="BP206" s="489"/>
      <c r="BQ206" s="489"/>
      <c r="BR206" s="489"/>
      <c r="BS206" s="490"/>
      <c r="BT206" s="488"/>
      <c r="BU206" s="489"/>
      <c r="BV206" s="489"/>
      <c r="BW206" s="489"/>
      <c r="BX206" s="489"/>
      <c r="BY206" s="490"/>
      <c r="BZ206" s="483"/>
      <c r="CA206" s="484"/>
      <c r="CB206" s="484"/>
      <c r="CC206" s="485"/>
      <c r="CD206" s="477"/>
      <c r="CE206" s="478"/>
      <c r="CF206" s="478"/>
      <c r="CG206" s="478"/>
      <c r="CH206" s="479"/>
      <c r="CI206" s="477"/>
      <c r="CJ206" s="478"/>
      <c r="CK206" s="478"/>
      <c r="CL206" s="478"/>
      <c r="CM206" s="479"/>
      <c r="CN206" s="477"/>
      <c r="CO206" s="478"/>
      <c r="CP206" s="478"/>
      <c r="CQ206" s="478"/>
      <c r="CR206" s="479"/>
      <c r="CS206" s="480"/>
      <c r="CT206" s="481"/>
      <c r="CU206" s="481"/>
      <c r="CV206" s="481"/>
      <c r="CW206" s="482"/>
    </row>
    <row r="207" spans="1:101" s="91" customFormat="1" ht="16.5" x14ac:dyDescent="0.15">
      <c r="A207" s="517"/>
      <c r="B207" s="102"/>
      <c r="C207" s="220" t="str">
        <f t="shared" ca="1" si="7"/>
        <v/>
      </c>
      <c r="D207" s="521"/>
      <c r="E207" s="522"/>
      <c r="F207" s="522"/>
      <c r="G207" s="522"/>
      <c r="H207" s="522"/>
      <c r="I207" s="522"/>
      <c r="J207" s="522"/>
      <c r="K207" s="527"/>
      <c r="L207" s="528"/>
      <c r="M207" s="528"/>
      <c r="N207" s="528"/>
      <c r="O207" s="528"/>
      <c r="P207" s="528"/>
      <c r="Q207" s="528"/>
      <c r="R207" s="533"/>
      <c r="S207" s="534"/>
      <c r="T207" s="533"/>
      <c r="U207" s="534"/>
      <c r="V207" s="527"/>
      <c r="W207" s="528"/>
      <c r="X207" s="528"/>
      <c r="Y207" s="528"/>
      <c r="Z207" s="528"/>
      <c r="AA207" s="528"/>
      <c r="AB207" s="528"/>
      <c r="AC207" s="527"/>
      <c r="AD207" s="528"/>
      <c r="AE207" s="528"/>
      <c r="AF207" s="528"/>
      <c r="AG207" s="528"/>
      <c r="AH207" s="528"/>
      <c r="AI207" s="528"/>
      <c r="AJ207" s="527"/>
      <c r="AK207" s="528"/>
      <c r="AL207" s="528"/>
      <c r="AM207" s="528"/>
      <c r="AN207" s="528"/>
      <c r="AO207" s="528"/>
      <c r="AP207" s="541"/>
      <c r="AQ207" s="546"/>
      <c r="AR207" s="547"/>
      <c r="AS207" s="547"/>
      <c r="AT207" s="547"/>
      <c r="AU207" s="547"/>
      <c r="AV207" s="547"/>
      <c r="AW207" s="548"/>
      <c r="AX207" s="493"/>
      <c r="AY207" s="494"/>
      <c r="AZ207" s="105">
        <v>5</v>
      </c>
      <c r="BA207" s="483"/>
      <c r="BB207" s="484"/>
      <c r="BC207" s="484"/>
      <c r="BD207" s="485"/>
      <c r="BE207" s="486"/>
      <c r="BF207" s="487"/>
      <c r="BG207" s="106"/>
      <c r="BH207" s="488"/>
      <c r="BI207" s="489"/>
      <c r="BJ207" s="489"/>
      <c r="BK207" s="489"/>
      <c r="BL207" s="489"/>
      <c r="BM207" s="490"/>
      <c r="BN207" s="488"/>
      <c r="BO207" s="489"/>
      <c r="BP207" s="489"/>
      <c r="BQ207" s="489"/>
      <c r="BR207" s="489"/>
      <c r="BS207" s="490"/>
      <c r="BT207" s="488"/>
      <c r="BU207" s="489"/>
      <c r="BV207" s="489"/>
      <c r="BW207" s="489"/>
      <c r="BX207" s="489"/>
      <c r="BY207" s="490"/>
      <c r="BZ207" s="483"/>
      <c r="CA207" s="484"/>
      <c r="CB207" s="484"/>
      <c r="CC207" s="485"/>
      <c r="CD207" s="477"/>
      <c r="CE207" s="478"/>
      <c r="CF207" s="478"/>
      <c r="CG207" s="478"/>
      <c r="CH207" s="479"/>
      <c r="CI207" s="477"/>
      <c r="CJ207" s="478"/>
      <c r="CK207" s="478"/>
      <c r="CL207" s="478"/>
      <c r="CM207" s="479"/>
      <c r="CN207" s="477"/>
      <c r="CO207" s="478"/>
      <c r="CP207" s="478"/>
      <c r="CQ207" s="478"/>
      <c r="CR207" s="479"/>
      <c r="CS207" s="480"/>
      <c r="CT207" s="481"/>
      <c r="CU207" s="481"/>
      <c r="CV207" s="481"/>
      <c r="CW207" s="482"/>
    </row>
    <row r="208" spans="1:101" s="91" customFormat="1" ht="16.5" x14ac:dyDescent="0.15">
      <c r="A208" s="518"/>
      <c r="B208" s="107"/>
      <c r="C208" s="219" t="str">
        <f t="shared" ca="1" si="7"/>
        <v/>
      </c>
      <c r="D208" s="523"/>
      <c r="E208" s="650"/>
      <c r="F208" s="650"/>
      <c r="G208" s="650"/>
      <c r="H208" s="650"/>
      <c r="I208" s="650"/>
      <c r="J208" s="650"/>
      <c r="K208" s="529"/>
      <c r="L208" s="539"/>
      <c r="M208" s="539"/>
      <c r="N208" s="539"/>
      <c r="O208" s="539"/>
      <c r="P208" s="539"/>
      <c r="Q208" s="539"/>
      <c r="R208" s="535"/>
      <c r="S208" s="537"/>
      <c r="T208" s="535"/>
      <c r="U208" s="537"/>
      <c r="V208" s="529"/>
      <c r="W208" s="539"/>
      <c r="X208" s="539"/>
      <c r="Y208" s="539"/>
      <c r="Z208" s="539"/>
      <c r="AA208" s="539"/>
      <c r="AB208" s="539"/>
      <c r="AC208" s="529"/>
      <c r="AD208" s="539"/>
      <c r="AE208" s="539"/>
      <c r="AF208" s="539"/>
      <c r="AG208" s="539"/>
      <c r="AH208" s="539"/>
      <c r="AI208" s="539"/>
      <c r="AJ208" s="529"/>
      <c r="AK208" s="530"/>
      <c r="AL208" s="530"/>
      <c r="AM208" s="530"/>
      <c r="AN208" s="530"/>
      <c r="AO208" s="530"/>
      <c r="AP208" s="555"/>
      <c r="AQ208" s="549"/>
      <c r="AR208" s="550"/>
      <c r="AS208" s="550"/>
      <c r="AT208" s="550"/>
      <c r="AU208" s="550"/>
      <c r="AV208" s="550"/>
      <c r="AW208" s="551"/>
      <c r="AX208" s="495"/>
      <c r="AY208" s="496"/>
      <c r="AZ208" s="108">
        <v>6</v>
      </c>
      <c r="BA208" s="505"/>
      <c r="BB208" s="506"/>
      <c r="BC208" s="506"/>
      <c r="BD208" s="507"/>
      <c r="BE208" s="644"/>
      <c r="BF208" s="645"/>
      <c r="BG208" s="109"/>
      <c r="BH208" s="510"/>
      <c r="BI208" s="511"/>
      <c r="BJ208" s="511"/>
      <c r="BK208" s="511"/>
      <c r="BL208" s="511"/>
      <c r="BM208" s="512"/>
      <c r="BN208" s="510"/>
      <c r="BO208" s="511"/>
      <c r="BP208" s="511"/>
      <c r="BQ208" s="511"/>
      <c r="BR208" s="511"/>
      <c r="BS208" s="512"/>
      <c r="BT208" s="510"/>
      <c r="BU208" s="511"/>
      <c r="BV208" s="511"/>
      <c r="BW208" s="511"/>
      <c r="BX208" s="511"/>
      <c r="BY208" s="512"/>
      <c r="BZ208" s="505"/>
      <c r="CA208" s="506"/>
      <c r="CB208" s="506"/>
      <c r="CC208" s="507"/>
      <c r="CD208" s="477"/>
      <c r="CE208" s="478"/>
      <c r="CF208" s="478"/>
      <c r="CG208" s="478"/>
      <c r="CH208" s="479"/>
      <c r="CI208" s="477"/>
      <c r="CJ208" s="478"/>
      <c r="CK208" s="478"/>
      <c r="CL208" s="478"/>
      <c r="CM208" s="479"/>
      <c r="CN208" s="477"/>
      <c r="CO208" s="478"/>
      <c r="CP208" s="478"/>
      <c r="CQ208" s="478"/>
      <c r="CR208" s="479"/>
      <c r="CS208" s="480"/>
      <c r="CT208" s="481"/>
      <c r="CU208" s="481"/>
      <c r="CV208" s="481"/>
      <c r="CW208" s="482"/>
    </row>
    <row r="209" spans="1:101" s="91" customFormat="1" ht="16.5" x14ac:dyDescent="0.15">
      <c r="A209" s="516">
        <v>34</v>
      </c>
      <c r="B209" s="102"/>
      <c r="C209" s="222" t="str">
        <f t="shared" ca="1" si="7"/>
        <v/>
      </c>
      <c r="D209" s="519"/>
      <c r="E209" s="649"/>
      <c r="F209" s="649"/>
      <c r="G209" s="649"/>
      <c r="H209" s="649"/>
      <c r="I209" s="649"/>
      <c r="J209" s="649"/>
      <c r="K209" s="525"/>
      <c r="L209" s="538"/>
      <c r="M209" s="538"/>
      <c r="N209" s="538"/>
      <c r="O209" s="538"/>
      <c r="P209" s="538"/>
      <c r="Q209" s="538"/>
      <c r="R209" s="531"/>
      <c r="S209" s="532"/>
      <c r="T209" s="531"/>
      <c r="U209" s="532"/>
      <c r="V209" s="525"/>
      <c r="W209" s="538"/>
      <c r="X209" s="538"/>
      <c r="Y209" s="538"/>
      <c r="Z209" s="538"/>
      <c r="AA209" s="538"/>
      <c r="AB209" s="538"/>
      <c r="AC209" s="525"/>
      <c r="AD209" s="538"/>
      <c r="AE209" s="538"/>
      <c r="AF209" s="538"/>
      <c r="AG209" s="538"/>
      <c r="AH209" s="538"/>
      <c r="AI209" s="538"/>
      <c r="AJ209" s="525"/>
      <c r="AK209" s="526"/>
      <c r="AL209" s="526"/>
      <c r="AM209" s="526"/>
      <c r="AN209" s="526"/>
      <c r="AO209" s="526"/>
      <c r="AP209" s="540"/>
      <c r="AQ209" s="525"/>
      <c r="AR209" s="544"/>
      <c r="AS209" s="544"/>
      <c r="AT209" s="544"/>
      <c r="AU209" s="544"/>
      <c r="AV209" s="544"/>
      <c r="AW209" s="545"/>
      <c r="AX209" s="491"/>
      <c r="AY209" s="492"/>
      <c r="AZ209" s="103">
        <v>1</v>
      </c>
      <c r="BA209" s="497"/>
      <c r="BB209" s="498"/>
      <c r="BC209" s="498"/>
      <c r="BD209" s="499"/>
      <c r="BE209" s="500"/>
      <c r="BF209" s="501"/>
      <c r="BG209" s="110"/>
      <c r="BH209" s="502"/>
      <c r="BI209" s="503"/>
      <c r="BJ209" s="503"/>
      <c r="BK209" s="503"/>
      <c r="BL209" s="503"/>
      <c r="BM209" s="504"/>
      <c r="BN209" s="502"/>
      <c r="BO209" s="503"/>
      <c r="BP209" s="503"/>
      <c r="BQ209" s="503"/>
      <c r="BR209" s="503"/>
      <c r="BS209" s="504"/>
      <c r="BT209" s="502"/>
      <c r="BU209" s="503"/>
      <c r="BV209" s="503"/>
      <c r="BW209" s="503"/>
      <c r="BX209" s="503"/>
      <c r="BY209" s="504"/>
      <c r="BZ209" s="497"/>
      <c r="CA209" s="498"/>
      <c r="CB209" s="498"/>
      <c r="CC209" s="499"/>
      <c r="CD209" s="477"/>
      <c r="CE209" s="478"/>
      <c r="CF209" s="478"/>
      <c r="CG209" s="478"/>
      <c r="CH209" s="479"/>
      <c r="CI209" s="477"/>
      <c r="CJ209" s="478"/>
      <c r="CK209" s="478"/>
      <c r="CL209" s="478"/>
      <c r="CM209" s="479"/>
      <c r="CN209" s="477"/>
      <c r="CO209" s="478"/>
      <c r="CP209" s="478"/>
      <c r="CQ209" s="478"/>
      <c r="CR209" s="479"/>
      <c r="CS209" s="480"/>
      <c r="CT209" s="481"/>
      <c r="CU209" s="481"/>
      <c r="CV209" s="481"/>
      <c r="CW209" s="482"/>
    </row>
    <row r="210" spans="1:101" s="91" customFormat="1" ht="16.5" x14ac:dyDescent="0.15">
      <c r="A210" s="517"/>
      <c r="B210" s="102"/>
      <c r="C210" s="220" t="str">
        <f t="shared" ca="1" si="7"/>
        <v/>
      </c>
      <c r="D210" s="521"/>
      <c r="E210" s="522"/>
      <c r="F210" s="522"/>
      <c r="G210" s="522"/>
      <c r="H210" s="522"/>
      <c r="I210" s="522"/>
      <c r="J210" s="522"/>
      <c r="K210" s="527"/>
      <c r="L210" s="528"/>
      <c r="M210" s="528"/>
      <c r="N210" s="528"/>
      <c r="O210" s="528"/>
      <c r="P210" s="528"/>
      <c r="Q210" s="528"/>
      <c r="R210" s="533"/>
      <c r="S210" s="534"/>
      <c r="T210" s="533"/>
      <c r="U210" s="534"/>
      <c r="V210" s="527"/>
      <c r="W210" s="528"/>
      <c r="X210" s="528"/>
      <c r="Y210" s="528"/>
      <c r="Z210" s="528"/>
      <c r="AA210" s="528"/>
      <c r="AB210" s="528"/>
      <c r="AC210" s="527"/>
      <c r="AD210" s="528"/>
      <c r="AE210" s="528"/>
      <c r="AF210" s="528"/>
      <c r="AG210" s="528"/>
      <c r="AH210" s="528"/>
      <c r="AI210" s="528"/>
      <c r="AJ210" s="527"/>
      <c r="AK210" s="528"/>
      <c r="AL210" s="528"/>
      <c r="AM210" s="528"/>
      <c r="AN210" s="528"/>
      <c r="AO210" s="528"/>
      <c r="AP210" s="541"/>
      <c r="AQ210" s="546"/>
      <c r="AR210" s="547"/>
      <c r="AS210" s="547"/>
      <c r="AT210" s="547"/>
      <c r="AU210" s="547"/>
      <c r="AV210" s="547"/>
      <c r="AW210" s="548"/>
      <c r="AX210" s="493"/>
      <c r="AY210" s="494"/>
      <c r="AZ210" s="105">
        <v>2</v>
      </c>
      <c r="BA210" s="483"/>
      <c r="BB210" s="484"/>
      <c r="BC210" s="484"/>
      <c r="BD210" s="485"/>
      <c r="BE210" s="486"/>
      <c r="BF210" s="487"/>
      <c r="BG210" s="106"/>
      <c r="BH210" s="488"/>
      <c r="BI210" s="489"/>
      <c r="BJ210" s="489"/>
      <c r="BK210" s="489"/>
      <c r="BL210" s="489"/>
      <c r="BM210" s="490"/>
      <c r="BN210" s="488"/>
      <c r="BO210" s="489"/>
      <c r="BP210" s="489"/>
      <c r="BQ210" s="489"/>
      <c r="BR210" s="489"/>
      <c r="BS210" s="490"/>
      <c r="BT210" s="488"/>
      <c r="BU210" s="489"/>
      <c r="BV210" s="489"/>
      <c r="BW210" s="489"/>
      <c r="BX210" s="489"/>
      <c r="BY210" s="490"/>
      <c r="BZ210" s="483"/>
      <c r="CA210" s="484"/>
      <c r="CB210" s="484"/>
      <c r="CC210" s="485"/>
      <c r="CD210" s="477"/>
      <c r="CE210" s="478"/>
      <c r="CF210" s="478"/>
      <c r="CG210" s="478"/>
      <c r="CH210" s="479"/>
      <c r="CI210" s="477"/>
      <c r="CJ210" s="478"/>
      <c r="CK210" s="478"/>
      <c r="CL210" s="478"/>
      <c r="CM210" s="479"/>
      <c r="CN210" s="477"/>
      <c r="CO210" s="478"/>
      <c r="CP210" s="478"/>
      <c r="CQ210" s="478"/>
      <c r="CR210" s="479"/>
      <c r="CS210" s="480"/>
      <c r="CT210" s="481"/>
      <c r="CU210" s="481"/>
      <c r="CV210" s="481"/>
      <c r="CW210" s="482"/>
    </row>
    <row r="211" spans="1:101" s="91" customFormat="1" ht="16.5" x14ac:dyDescent="0.15">
      <c r="A211" s="517"/>
      <c r="B211" s="102"/>
      <c r="C211" s="220" t="str">
        <f t="shared" ca="1" si="7"/>
        <v/>
      </c>
      <c r="D211" s="521"/>
      <c r="E211" s="522"/>
      <c r="F211" s="522"/>
      <c r="G211" s="522"/>
      <c r="H211" s="522"/>
      <c r="I211" s="522"/>
      <c r="J211" s="522"/>
      <c r="K211" s="527"/>
      <c r="L211" s="528"/>
      <c r="M211" s="528"/>
      <c r="N211" s="528"/>
      <c r="O211" s="528"/>
      <c r="P211" s="528"/>
      <c r="Q211" s="528"/>
      <c r="R211" s="533"/>
      <c r="S211" s="534"/>
      <c r="T211" s="533"/>
      <c r="U211" s="534"/>
      <c r="V211" s="527"/>
      <c r="W211" s="528"/>
      <c r="X211" s="528"/>
      <c r="Y211" s="528"/>
      <c r="Z211" s="528"/>
      <c r="AA211" s="528"/>
      <c r="AB211" s="528"/>
      <c r="AC211" s="527"/>
      <c r="AD211" s="528"/>
      <c r="AE211" s="528"/>
      <c r="AF211" s="528"/>
      <c r="AG211" s="528"/>
      <c r="AH211" s="528"/>
      <c r="AI211" s="528"/>
      <c r="AJ211" s="527"/>
      <c r="AK211" s="528"/>
      <c r="AL211" s="528"/>
      <c r="AM211" s="528"/>
      <c r="AN211" s="528"/>
      <c r="AO211" s="528"/>
      <c r="AP211" s="541"/>
      <c r="AQ211" s="546"/>
      <c r="AR211" s="547"/>
      <c r="AS211" s="547"/>
      <c r="AT211" s="547"/>
      <c r="AU211" s="547"/>
      <c r="AV211" s="547"/>
      <c r="AW211" s="548"/>
      <c r="AX211" s="493"/>
      <c r="AY211" s="494"/>
      <c r="AZ211" s="105">
        <v>3</v>
      </c>
      <c r="BA211" s="483"/>
      <c r="BB211" s="484"/>
      <c r="BC211" s="484"/>
      <c r="BD211" s="485"/>
      <c r="BE211" s="486"/>
      <c r="BF211" s="487"/>
      <c r="BG211" s="106"/>
      <c r="BH211" s="488"/>
      <c r="BI211" s="489"/>
      <c r="BJ211" s="489"/>
      <c r="BK211" s="489"/>
      <c r="BL211" s="489"/>
      <c r="BM211" s="490"/>
      <c r="BN211" s="488"/>
      <c r="BO211" s="489"/>
      <c r="BP211" s="489"/>
      <c r="BQ211" s="489"/>
      <c r="BR211" s="489"/>
      <c r="BS211" s="490"/>
      <c r="BT211" s="488"/>
      <c r="BU211" s="489"/>
      <c r="BV211" s="489"/>
      <c r="BW211" s="489"/>
      <c r="BX211" s="489"/>
      <c r="BY211" s="490"/>
      <c r="BZ211" s="483"/>
      <c r="CA211" s="484"/>
      <c r="CB211" s="484"/>
      <c r="CC211" s="485"/>
      <c r="CD211" s="477"/>
      <c r="CE211" s="478"/>
      <c r="CF211" s="478"/>
      <c r="CG211" s="478"/>
      <c r="CH211" s="479"/>
      <c r="CI211" s="477"/>
      <c r="CJ211" s="478"/>
      <c r="CK211" s="478"/>
      <c r="CL211" s="478"/>
      <c r="CM211" s="479"/>
      <c r="CN211" s="477"/>
      <c r="CO211" s="478"/>
      <c r="CP211" s="478"/>
      <c r="CQ211" s="478"/>
      <c r="CR211" s="479"/>
      <c r="CS211" s="480"/>
      <c r="CT211" s="481"/>
      <c r="CU211" s="481"/>
      <c r="CV211" s="481"/>
      <c r="CW211" s="482"/>
    </row>
    <row r="212" spans="1:101" s="91" customFormat="1" ht="16.5" x14ac:dyDescent="0.15">
      <c r="A212" s="517"/>
      <c r="B212" s="102"/>
      <c r="C212" s="220" t="str">
        <f t="shared" ca="1" si="7"/>
        <v/>
      </c>
      <c r="D212" s="521"/>
      <c r="E212" s="522"/>
      <c r="F212" s="522"/>
      <c r="G212" s="522"/>
      <c r="H212" s="522"/>
      <c r="I212" s="522"/>
      <c r="J212" s="522"/>
      <c r="K212" s="527"/>
      <c r="L212" s="528"/>
      <c r="M212" s="528"/>
      <c r="N212" s="528"/>
      <c r="O212" s="528"/>
      <c r="P212" s="528"/>
      <c r="Q212" s="528"/>
      <c r="R212" s="533"/>
      <c r="S212" s="534"/>
      <c r="T212" s="533"/>
      <c r="U212" s="534"/>
      <c r="V212" s="527"/>
      <c r="W212" s="528"/>
      <c r="X212" s="528"/>
      <c r="Y212" s="528"/>
      <c r="Z212" s="528"/>
      <c r="AA212" s="528"/>
      <c r="AB212" s="528"/>
      <c r="AC212" s="527"/>
      <c r="AD212" s="528"/>
      <c r="AE212" s="528"/>
      <c r="AF212" s="528"/>
      <c r="AG212" s="528"/>
      <c r="AH212" s="528"/>
      <c r="AI212" s="528"/>
      <c r="AJ212" s="527"/>
      <c r="AK212" s="528"/>
      <c r="AL212" s="528"/>
      <c r="AM212" s="528"/>
      <c r="AN212" s="528"/>
      <c r="AO212" s="528"/>
      <c r="AP212" s="541"/>
      <c r="AQ212" s="546"/>
      <c r="AR212" s="547"/>
      <c r="AS212" s="547"/>
      <c r="AT212" s="547"/>
      <c r="AU212" s="547"/>
      <c r="AV212" s="547"/>
      <c r="AW212" s="548"/>
      <c r="AX212" s="493"/>
      <c r="AY212" s="494"/>
      <c r="AZ212" s="105">
        <v>4</v>
      </c>
      <c r="BA212" s="483"/>
      <c r="BB212" s="484"/>
      <c r="BC212" s="484"/>
      <c r="BD212" s="485"/>
      <c r="BE212" s="486"/>
      <c r="BF212" s="487"/>
      <c r="BG212" s="106"/>
      <c r="BH212" s="488"/>
      <c r="BI212" s="489"/>
      <c r="BJ212" s="489"/>
      <c r="BK212" s="489"/>
      <c r="BL212" s="489"/>
      <c r="BM212" s="490"/>
      <c r="BN212" s="488"/>
      <c r="BO212" s="489"/>
      <c r="BP212" s="489"/>
      <c r="BQ212" s="489"/>
      <c r="BR212" s="489"/>
      <c r="BS212" s="490"/>
      <c r="BT212" s="488"/>
      <c r="BU212" s="489"/>
      <c r="BV212" s="489"/>
      <c r="BW212" s="489"/>
      <c r="BX212" s="489"/>
      <c r="BY212" s="490"/>
      <c r="BZ212" s="483"/>
      <c r="CA212" s="484"/>
      <c r="CB212" s="484"/>
      <c r="CC212" s="485"/>
      <c r="CD212" s="477"/>
      <c r="CE212" s="478"/>
      <c r="CF212" s="478"/>
      <c r="CG212" s="478"/>
      <c r="CH212" s="479"/>
      <c r="CI212" s="477"/>
      <c r="CJ212" s="478"/>
      <c r="CK212" s="478"/>
      <c r="CL212" s="478"/>
      <c r="CM212" s="479"/>
      <c r="CN212" s="477"/>
      <c r="CO212" s="478"/>
      <c r="CP212" s="478"/>
      <c r="CQ212" s="478"/>
      <c r="CR212" s="479"/>
      <c r="CS212" s="480"/>
      <c r="CT212" s="481"/>
      <c r="CU212" s="481"/>
      <c r="CV212" s="481"/>
      <c r="CW212" s="482"/>
    </row>
    <row r="213" spans="1:101" s="91" customFormat="1" ht="16.5" x14ac:dyDescent="0.15">
      <c r="A213" s="517"/>
      <c r="B213" s="102"/>
      <c r="C213" s="220" t="str">
        <f t="shared" ca="1" si="7"/>
        <v/>
      </c>
      <c r="D213" s="521"/>
      <c r="E213" s="522"/>
      <c r="F213" s="522"/>
      <c r="G213" s="522"/>
      <c r="H213" s="522"/>
      <c r="I213" s="522"/>
      <c r="J213" s="522"/>
      <c r="K213" s="527"/>
      <c r="L213" s="528"/>
      <c r="M213" s="528"/>
      <c r="N213" s="528"/>
      <c r="O213" s="528"/>
      <c r="P213" s="528"/>
      <c r="Q213" s="528"/>
      <c r="R213" s="533"/>
      <c r="S213" s="534"/>
      <c r="T213" s="533"/>
      <c r="U213" s="534"/>
      <c r="V213" s="527"/>
      <c r="W213" s="528"/>
      <c r="X213" s="528"/>
      <c r="Y213" s="528"/>
      <c r="Z213" s="528"/>
      <c r="AA213" s="528"/>
      <c r="AB213" s="528"/>
      <c r="AC213" s="527"/>
      <c r="AD213" s="528"/>
      <c r="AE213" s="528"/>
      <c r="AF213" s="528"/>
      <c r="AG213" s="528"/>
      <c r="AH213" s="528"/>
      <c r="AI213" s="528"/>
      <c r="AJ213" s="527"/>
      <c r="AK213" s="528"/>
      <c r="AL213" s="528"/>
      <c r="AM213" s="528"/>
      <c r="AN213" s="528"/>
      <c r="AO213" s="528"/>
      <c r="AP213" s="541"/>
      <c r="AQ213" s="546"/>
      <c r="AR213" s="547"/>
      <c r="AS213" s="547"/>
      <c r="AT213" s="547"/>
      <c r="AU213" s="547"/>
      <c r="AV213" s="547"/>
      <c r="AW213" s="548"/>
      <c r="AX213" s="493"/>
      <c r="AY213" s="494"/>
      <c r="AZ213" s="105">
        <v>5</v>
      </c>
      <c r="BA213" s="483"/>
      <c r="BB213" s="484"/>
      <c r="BC213" s="484"/>
      <c r="BD213" s="485"/>
      <c r="BE213" s="486"/>
      <c r="BF213" s="487"/>
      <c r="BG213" s="106"/>
      <c r="BH213" s="488"/>
      <c r="BI213" s="489"/>
      <c r="BJ213" s="489"/>
      <c r="BK213" s="489"/>
      <c r="BL213" s="489"/>
      <c r="BM213" s="490"/>
      <c r="BN213" s="488"/>
      <c r="BO213" s="489"/>
      <c r="BP213" s="489"/>
      <c r="BQ213" s="489"/>
      <c r="BR213" s="489"/>
      <c r="BS213" s="490"/>
      <c r="BT213" s="488"/>
      <c r="BU213" s="489"/>
      <c r="BV213" s="489"/>
      <c r="BW213" s="489"/>
      <c r="BX213" s="489"/>
      <c r="BY213" s="490"/>
      <c r="BZ213" s="483"/>
      <c r="CA213" s="484"/>
      <c r="CB213" s="484"/>
      <c r="CC213" s="485"/>
      <c r="CD213" s="477"/>
      <c r="CE213" s="478"/>
      <c r="CF213" s="478"/>
      <c r="CG213" s="478"/>
      <c r="CH213" s="479"/>
      <c r="CI213" s="477"/>
      <c r="CJ213" s="478"/>
      <c r="CK213" s="478"/>
      <c r="CL213" s="478"/>
      <c r="CM213" s="479"/>
      <c r="CN213" s="477"/>
      <c r="CO213" s="478"/>
      <c r="CP213" s="478"/>
      <c r="CQ213" s="478"/>
      <c r="CR213" s="479"/>
      <c r="CS213" s="480"/>
      <c r="CT213" s="481"/>
      <c r="CU213" s="481"/>
      <c r="CV213" s="481"/>
      <c r="CW213" s="482"/>
    </row>
    <row r="214" spans="1:101" s="91" customFormat="1" ht="16.5" x14ac:dyDescent="0.15">
      <c r="A214" s="518"/>
      <c r="B214" s="107"/>
      <c r="C214" s="219" t="str">
        <f t="shared" ca="1" si="7"/>
        <v/>
      </c>
      <c r="D214" s="523"/>
      <c r="E214" s="650"/>
      <c r="F214" s="650"/>
      <c r="G214" s="650"/>
      <c r="H214" s="650"/>
      <c r="I214" s="650"/>
      <c r="J214" s="650"/>
      <c r="K214" s="529"/>
      <c r="L214" s="539"/>
      <c r="M214" s="539"/>
      <c r="N214" s="539"/>
      <c r="O214" s="539"/>
      <c r="P214" s="539"/>
      <c r="Q214" s="539"/>
      <c r="R214" s="535"/>
      <c r="S214" s="537"/>
      <c r="T214" s="535"/>
      <c r="U214" s="537"/>
      <c r="V214" s="529"/>
      <c r="W214" s="539"/>
      <c r="X214" s="539"/>
      <c r="Y214" s="539"/>
      <c r="Z214" s="539"/>
      <c r="AA214" s="539"/>
      <c r="AB214" s="539"/>
      <c r="AC214" s="529"/>
      <c r="AD214" s="539"/>
      <c r="AE214" s="539"/>
      <c r="AF214" s="539"/>
      <c r="AG214" s="539"/>
      <c r="AH214" s="539"/>
      <c r="AI214" s="539"/>
      <c r="AJ214" s="529"/>
      <c r="AK214" s="530"/>
      <c r="AL214" s="530"/>
      <c r="AM214" s="530"/>
      <c r="AN214" s="530"/>
      <c r="AO214" s="530"/>
      <c r="AP214" s="555"/>
      <c r="AQ214" s="549"/>
      <c r="AR214" s="550"/>
      <c r="AS214" s="550"/>
      <c r="AT214" s="550"/>
      <c r="AU214" s="550"/>
      <c r="AV214" s="550"/>
      <c r="AW214" s="551"/>
      <c r="AX214" s="495"/>
      <c r="AY214" s="496"/>
      <c r="AZ214" s="112">
        <v>6</v>
      </c>
      <c r="BA214" s="513"/>
      <c r="BB214" s="514"/>
      <c r="BC214" s="514"/>
      <c r="BD214" s="515"/>
      <c r="BE214" s="644"/>
      <c r="BF214" s="645"/>
      <c r="BG214" s="111"/>
      <c r="BH214" s="646"/>
      <c r="BI214" s="647"/>
      <c r="BJ214" s="647"/>
      <c r="BK214" s="647"/>
      <c r="BL214" s="647"/>
      <c r="BM214" s="648"/>
      <c r="BN214" s="646"/>
      <c r="BO214" s="647"/>
      <c r="BP214" s="647"/>
      <c r="BQ214" s="647"/>
      <c r="BR214" s="647"/>
      <c r="BS214" s="648"/>
      <c r="BT214" s="646"/>
      <c r="BU214" s="647"/>
      <c r="BV214" s="647"/>
      <c r="BW214" s="647"/>
      <c r="BX214" s="647"/>
      <c r="BY214" s="648"/>
      <c r="BZ214" s="513"/>
      <c r="CA214" s="514"/>
      <c r="CB214" s="514"/>
      <c r="CC214" s="515"/>
      <c r="CD214" s="477"/>
      <c r="CE214" s="478"/>
      <c r="CF214" s="478"/>
      <c r="CG214" s="478"/>
      <c r="CH214" s="479"/>
      <c r="CI214" s="477"/>
      <c r="CJ214" s="478"/>
      <c r="CK214" s="478"/>
      <c r="CL214" s="478"/>
      <c r="CM214" s="479"/>
      <c r="CN214" s="477"/>
      <c r="CO214" s="478"/>
      <c r="CP214" s="478"/>
      <c r="CQ214" s="478"/>
      <c r="CR214" s="479"/>
      <c r="CS214" s="480"/>
      <c r="CT214" s="481"/>
      <c r="CU214" s="481"/>
      <c r="CV214" s="481"/>
      <c r="CW214" s="482"/>
    </row>
    <row r="215" spans="1:101" s="91" customFormat="1" ht="16.149999999999999" customHeight="1" x14ac:dyDescent="0.15">
      <c r="A215" s="516">
        <v>35</v>
      </c>
      <c r="B215" s="102"/>
      <c r="C215" s="222" t="str">
        <f t="shared" ca="1" si="7"/>
        <v/>
      </c>
      <c r="D215" s="519"/>
      <c r="E215" s="649"/>
      <c r="F215" s="649"/>
      <c r="G215" s="649"/>
      <c r="H215" s="649"/>
      <c r="I215" s="649"/>
      <c r="J215" s="649"/>
      <c r="K215" s="525"/>
      <c r="L215" s="538"/>
      <c r="M215" s="538"/>
      <c r="N215" s="538"/>
      <c r="O215" s="538"/>
      <c r="P215" s="538"/>
      <c r="Q215" s="538"/>
      <c r="R215" s="531"/>
      <c r="S215" s="532"/>
      <c r="T215" s="531"/>
      <c r="U215" s="532"/>
      <c r="V215" s="525"/>
      <c r="W215" s="538"/>
      <c r="X215" s="538"/>
      <c r="Y215" s="538"/>
      <c r="Z215" s="538"/>
      <c r="AA215" s="538"/>
      <c r="AB215" s="538"/>
      <c r="AC215" s="525"/>
      <c r="AD215" s="538"/>
      <c r="AE215" s="538"/>
      <c r="AF215" s="538"/>
      <c r="AG215" s="538"/>
      <c r="AH215" s="538"/>
      <c r="AI215" s="538"/>
      <c r="AJ215" s="525"/>
      <c r="AK215" s="526"/>
      <c r="AL215" s="526"/>
      <c r="AM215" s="526"/>
      <c r="AN215" s="526"/>
      <c r="AO215" s="526"/>
      <c r="AP215" s="540"/>
      <c r="AQ215" s="525"/>
      <c r="AR215" s="526"/>
      <c r="AS215" s="526"/>
      <c r="AT215" s="526"/>
      <c r="AU215" s="526"/>
      <c r="AV215" s="526"/>
      <c r="AW215" s="540"/>
      <c r="AX215" s="491"/>
      <c r="AY215" s="492"/>
      <c r="AZ215" s="103">
        <v>1</v>
      </c>
      <c r="BA215" s="497"/>
      <c r="BB215" s="498"/>
      <c r="BC215" s="498"/>
      <c r="BD215" s="499"/>
      <c r="BE215" s="500"/>
      <c r="BF215" s="501"/>
      <c r="BG215" s="110"/>
      <c r="BH215" s="502"/>
      <c r="BI215" s="503"/>
      <c r="BJ215" s="503"/>
      <c r="BK215" s="503"/>
      <c r="BL215" s="503"/>
      <c r="BM215" s="504"/>
      <c r="BN215" s="502"/>
      <c r="BO215" s="503"/>
      <c r="BP215" s="503"/>
      <c r="BQ215" s="503"/>
      <c r="BR215" s="503"/>
      <c r="BS215" s="504"/>
      <c r="BT215" s="502"/>
      <c r="BU215" s="503"/>
      <c r="BV215" s="503"/>
      <c r="BW215" s="503"/>
      <c r="BX215" s="503"/>
      <c r="BY215" s="504"/>
      <c r="BZ215" s="497"/>
      <c r="CA215" s="498"/>
      <c r="CB215" s="498"/>
      <c r="CC215" s="499"/>
      <c r="CD215" s="477"/>
      <c r="CE215" s="478"/>
      <c r="CF215" s="478"/>
      <c r="CG215" s="478"/>
      <c r="CH215" s="479"/>
      <c r="CI215" s="477"/>
      <c r="CJ215" s="478"/>
      <c r="CK215" s="478"/>
      <c r="CL215" s="478"/>
      <c r="CM215" s="479"/>
      <c r="CN215" s="477"/>
      <c r="CO215" s="478"/>
      <c r="CP215" s="478"/>
      <c r="CQ215" s="478"/>
      <c r="CR215" s="479"/>
      <c r="CS215" s="480"/>
      <c r="CT215" s="481"/>
      <c r="CU215" s="481"/>
      <c r="CV215" s="481"/>
      <c r="CW215" s="482"/>
    </row>
    <row r="216" spans="1:101" s="91" customFormat="1" ht="16.5" x14ac:dyDescent="0.15">
      <c r="A216" s="517"/>
      <c r="B216" s="102"/>
      <c r="C216" s="220" t="str">
        <f t="shared" ca="1" si="7"/>
        <v/>
      </c>
      <c r="D216" s="521"/>
      <c r="E216" s="522"/>
      <c r="F216" s="522"/>
      <c r="G216" s="522"/>
      <c r="H216" s="522"/>
      <c r="I216" s="522"/>
      <c r="J216" s="522"/>
      <c r="K216" s="527"/>
      <c r="L216" s="528"/>
      <c r="M216" s="528"/>
      <c r="N216" s="528"/>
      <c r="O216" s="528"/>
      <c r="P216" s="528"/>
      <c r="Q216" s="528"/>
      <c r="R216" s="533"/>
      <c r="S216" s="534"/>
      <c r="T216" s="533"/>
      <c r="U216" s="534"/>
      <c r="V216" s="527"/>
      <c r="W216" s="528"/>
      <c r="X216" s="528"/>
      <c r="Y216" s="528"/>
      <c r="Z216" s="528"/>
      <c r="AA216" s="528"/>
      <c r="AB216" s="528"/>
      <c r="AC216" s="527"/>
      <c r="AD216" s="528"/>
      <c r="AE216" s="528"/>
      <c r="AF216" s="528"/>
      <c r="AG216" s="528"/>
      <c r="AH216" s="528"/>
      <c r="AI216" s="528"/>
      <c r="AJ216" s="527"/>
      <c r="AK216" s="528"/>
      <c r="AL216" s="528"/>
      <c r="AM216" s="528"/>
      <c r="AN216" s="528"/>
      <c r="AO216" s="528"/>
      <c r="AP216" s="541"/>
      <c r="AQ216" s="527"/>
      <c r="AR216" s="528"/>
      <c r="AS216" s="528"/>
      <c r="AT216" s="528"/>
      <c r="AU216" s="528"/>
      <c r="AV216" s="528"/>
      <c r="AW216" s="541"/>
      <c r="AX216" s="493"/>
      <c r="AY216" s="494"/>
      <c r="AZ216" s="105">
        <v>2</v>
      </c>
      <c r="BA216" s="483"/>
      <c r="BB216" s="484"/>
      <c r="BC216" s="484"/>
      <c r="BD216" s="485"/>
      <c r="BE216" s="486"/>
      <c r="BF216" s="487"/>
      <c r="BG216" s="106"/>
      <c r="BH216" s="488"/>
      <c r="BI216" s="489"/>
      <c r="BJ216" s="489"/>
      <c r="BK216" s="489"/>
      <c r="BL216" s="489"/>
      <c r="BM216" s="490"/>
      <c r="BN216" s="488"/>
      <c r="BO216" s="489"/>
      <c r="BP216" s="489"/>
      <c r="BQ216" s="489"/>
      <c r="BR216" s="489"/>
      <c r="BS216" s="490"/>
      <c r="BT216" s="488"/>
      <c r="BU216" s="489"/>
      <c r="BV216" s="489"/>
      <c r="BW216" s="489"/>
      <c r="BX216" s="489"/>
      <c r="BY216" s="490"/>
      <c r="BZ216" s="483"/>
      <c r="CA216" s="484"/>
      <c r="CB216" s="484"/>
      <c r="CC216" s="485"/>
      <c r="CD216" s="477"/>
      <c r="CE216" s="478"/>
      <c r="CF216" s="478"/>
      <c r="CG216" s="478"/>
      <c r="CH216" s="479"/>
      <c r="CI216" s="477"/>
      <c r="CJ216" s="478"/>
      <c r="CK216" s="478"/>
      <c r="CL216" s="478"/>
      <c r="CM216" s="479"/>
      <c r="CN216" s="477"/>
      <c r="CO216" s="478"/>
      <c r="CP216" s="478"/>
      <c r="CQ216" s="478"/>
      <c r="CR216" s="479"/>
      <c r="CS216" s="480"/>
      <c r="CT216" s="481"/>
      <c r="CU216" s="481"/>
      <c r="CV216" s="481"/>
      <c r="CW216" s="482"/>
    </row>
    <row r="217" spans="1:101" s="91" customFormat="1" ht="16.5" x14ac:dyDescent="0.15">
      <c r="A217" s="517"/>
      <c r="B217" s="102"/>
      <c r="C217" s="220" t="str">
        <f t="shared" ref="C217:C280" ca="1" si="8">IF(AND(OFFSET($K217,-($AZ217-1),0)&lt;&gt;"",OFFSET($R217,-($AZ217-1),0)&lt;&gt;"x"),"@","")</f>
        <v/>
      </c>
      <c r="D217" s="521"/>
      <c r="E217" s="522"/>
      <c r="F217" s="522"/>
      <c r="G217" s="522"/>
      <c r="H217" s="522"/>
      <c r="I217" s="522"/>
      <c r="J217" s="522"/>
      <c r="K217" s="527"/>
      <c r="L217" s="528"/>
      <c r="M217" s="528"/>
      <c r="N217" s="528"/>
      <c r="O217" s="528"/>
      <c r="P217" s="528"/>
      <c r="Q217" s="528"/>
      <c r="R217" s="533"/>
      <c r="S217" s="534"/>
      <c r="T217" s="533"/>
      <c r="U217" s="534"/>
      <c r="V217" s="527"/>
      <c r="W217" s="528"/>
      <c r="X217" s="528"/>
      <c r="Y217" s="528"/>
      <c r="Z217" s="528"/>
      <c r="AA217" s="528"/>
      <c r="AB217" s="528"/>
      <c r="AC217" s="527"/>
      <c r="AD217" s="528"/>
      <c r="AE217" s="528"/>
      <c r="AF217" s="528"/>
      <c r="AG217" s="528"/>
      <c r="AH217" s="528"/>
      <c r="AI217" s="528"/>
      <c r="AJ217" s="527"/>
      <c r="AK217" s="528"/>
      <c r="AL217" s="528"/>
      <c r="AM217" s="528"/>
      <c r="AN217" s="528"/>
      <c r="AO217" s="528"/>
      <c r="AP217" s="541"/>
      <c r="AQ217" s="527"/>
      <c r="AR217" s="528"/>
      <c r="AS217" s="528"/>
      <c r="AT217" s="528"/>
      <c r="AU217" s="528"/>
      <c r="AV217" s="528"/>
      <c r="AW217" s="541"/>
      <c r="AX217" s="493"/>
      <c r="AY217" s="494"/>
      <c r="AZ217" s="105">
        <v>3</v>
      </c>
      <c r="BA217" s="483"/>
      <c r="BB217" s="484"/>
      <c r="BC217" s="484"/>
      <c r="BD217" s="485"/>
      <c r="BE217" s="486"/>
      <c r="BF217" s="487"/>
      <c r="BG217" s="106"/>
      <c r="BH217" s="488"/>
      <c r="BI217" s="489"/>
      <c r="BJ217" s="489"/>
      <c r="BK217" s="489"/>
      <c r="BL217" s="489"/>
      <c r="BM217" s="490"/>
      <c r="BN217" s="488"/>
      <c r="BO217" s="489"/>
      <c r="BP217" s="489"/>
      <c r="BQ217" s="489"/>
      <c r="BR217" s="489"/>
      <c r="BS217" s="490"/>
      <c r="BT217" s="488"/>
      <c r="BU217" s="489"/>
      <c r="BV217" s="489"/>
      <c r="BW217" s="489"/>
      <c r="BX217" s="489"/>
      <c r="BY217" s="490"/>
      <c r="BZ217" s="483"/>
      <c r="CA217" s="484"/>
      <c r="CB217" s="484"/>
      <c r="CC217" s="485"/>
      <c r="CD217" s="477"/>
      <c r="CE217" s="478"/>
      <c r="CF217" s="478"/>
      <c r="CG217" s="478"/>
      <c r="CH217" s="479"/>
      <c r="CI217" s="477"/>
      <c r="CJ217" s="478"/>
      <c r="CK217" s="478"/>
      <c r="CL217" s="478"/>
      <c r="CM217" s="479"/>
      <c r="CN217" s="477"/>
      <c r="CO217" s="478"/>
      <c r="CP217" s="478"/>
      <c r="CQ217" s="478"/>
      <c r="CR217" s="479"/>
      <c r="CS217" s="480"/>
      <c r="CT217" s="481"/>
      <c r="CU217" s="481"/>
      <c r="CV217" s="481"/>
      <c r="CW217" s="482"/>
    </row>
    <row r="218" spans="1:101" s="91" customFormat="1" ht="16.5" x14ac:dyDescent="0.15">
      <c r="A218" s="517"/>
      <c r="B218" s="102"/>
      <c r="C218" s="220" t="str">
        <f t="shared" ca="1" si="8"/>
        <v/>
      </c>
      <c r="D218" s="521"/>
      <c r="E218" s="522"/>
      <c r="F218" s="522"/>
      <c r="G218" s="522"/>
      <c r="H218" s="522"/>
      <c r="I218" s="522"/>
      <c r="J218" s="522"/>
      <c r="K218" s="527"/>
      <c r="L218" s="528"/>
      <c r="M218" s="528"/>
      <c r="N218" s="528"/>
      <c r="O218" s="528"/>
      <c r="P218" s="528"/>
      <c r="Q218" s="528"/>
      <c r="R218" s="533"/>
      <c r="S218" s="534"/>
      <c r="T218" s="533"/>
      <c r="U218" s="534"/>
      <c r="V218" s="527"/>
      <c r="W218" s="528"/>
      <c r="X218" s="528"/>
      <c r="Y218" s="528"/>
      <c r="Z218" s="528"/>
      <c r="AA218" s="528"/>
      <c r="AB218" s="528"/>
      <c r="AC218" s="527"/>
      <c r="AD218" s="528"/>
      <c r="AE218" s="528"/>
      <c r="AF218" s="528"/>
      <c r="AG218" s="528"/>
      <c r="AH218" s="528"/>
      <c r="AI218" s="528"/>
      <c r="AJ218" s="527"/>
      <c r="AK218" s="528"/>
      <c r="AL218" s="528"/>
      <c r="AM218" s="528"/>
      <c r="AN218" s="528"/>
      <c r="AO218" s="528"/>
      <c r="AP218" s="541"/>
      <c r="AQ218" s="527"/>
      <c r="AR218" s="528"/>
      <c r="AS218" s="528"/>
      <c r="AT218" s="528"/>
      <c r="AU218" s="528"/>
      <c r="AV218" s="528"/>
      <c r="AW218" s="541"/>
      <c r="AX218" s="493"/>
      <c r="AY218" s="494"/>
      <c r="AZ218" s="105">
        <v>4</v>
      </c>
      <c r="BA218" s="483"/>
      <c r="BB218" s="484"/>
      <c r="BC218" s="484"/>
      <c r="BD218" s="485"/>
      <c r="BE218" s="486"/>
      <c r="BF218" s="487"/>
      <c r="BG218" s="106"/>
      <c r="BH218" s="488"/>
      <c r="BI218" s="489"/>
      <c r="BJ218" s="489"/>
      <c r="BK218" s="489"/>
      <c r="BL218" s="489"/>
      <c r="BM218" s="490"/>
      <c r="BN218" s="488"/>
      <c r="BO218" s="489"/>
      <c r="BP218" s="489"/>
      <c r="BQ218" s="489"/>
      <c r="BR218" s="489"/>
      <c r="BS218" s="490"/>
      <c r="BT218" s="488"/>
      <c r="BU218" s="489"/>
      <c r="BV218" s="489"/>
      <c r="BW218" s="489"/>
      <c r="BX218" s="489"/>
      <c r="BY218" s="490"/>
      <c r="BZ218" s="483"/>
      <c r="CA218" s="484"/>
      <c r="CB218" s="484"/>
      <c r="CC218" s="485"/>
      <c r="CD218" s="477"/>
      <c r="CE218" s="478"/>
      <c r="CF218" s="478"/>
      <c r="CG218" s="478"/>
      <c r="CH218" s="479"/>
      <c r="CI218" s="477"/>
      <c r="CJ218" s="478"/>
      <c r="CK218" s="478"/>
      <c r="CL218" s="478"/>
      <c r="CM218" s="479"/>
      <c r="CN218" s="477"/>
      <c r="CO218" s="478"/>
      <c r="CP218" s="478"/>
      <c r="CQ218" s="478"/>
      <c r="CR218" s="479"/>
      <c r="CS218" s="480"/>
      <c r="CT218" s="481"/>
      <c r="CU218" s="481"/>
      <c r="CV218" s="481"/>
      <c r="CW218" s="482"/>
    </row>
    <row r="219" spans="1:101" s="91" customFormat="1" ht="16.5" x14ac:dyDescent="0.15">
      <c r="A219" s="517"/>
      <c r="B219" s="102"/>
      <c r="C219" s="220" t="str">
        <f t="shared" ca="1" si="8"/>
        <v/>
      </c>
      <c r="D219" s="521"/>
      <c r="E219" s="522"/>
      <c r="F219" s="522"/>
      <c r="G219" s="522"/>
      <c r="H219" s="522"/>
      <c r="I219" s="522"/>
      <c r="J219" s="522"/>
      <c r="K219" s="527"/>
      <c r="L219" s="528"/>
      <c r="M219" s="528"/>
      <c r="N219" s="528"/>
      <c r="O219" s="528"/>
      <c r="P219" s="528"/>
      <c r="Q219" s="528"/>
      <c r="R219" s="533"/>
      <c r="S219" s="534"/>
      <c r="T219" s="533"/>
      <c r="U219" s="534"/>
      <c r="V219" s="527"/>
      <c r="W219" s="528"/>
      <c r="X219" s="528"/>
      <c r="Y219" s="528"/>
      <c r="Z219" s="528"/>
      <c r="AA219" s="528"/>
      <c r="AB219" s="528"/>
      <c r="AC219" s="527"/>
      <c r="AD219" s="528"/>
      <c r="AE219" s="528"/>
      <c r="AF219" s="528"/>
      <c r="AG219" s="528"/>
      <c r="AH219" s="528"/>
      <c r="AI219" s="528"/>
      <c r="AJ219" s="527"/>
      <c r="AK219" s="528"/>
      <c r="AL219" s="528"/>
      <c r="AM219" s="528"/>
      <c r="AN219" s="528"/>
      <c r="AO219" s="528"/>
      <c r="AP219" s="541"/>
      <c r="AQ219" s="527"/>
      <c r="AR219" s="528"/>
      <c r="AS219" s="528"/>
      <c r="AT219" s="528"/>
      <c r="AU219" s="528"/>
      <c r="AV219" s="528"/>
      <c r="AW219" s="541"/>
      <c r="AX219" s="493"/>
      <c r="AY219" s="494"/>
      <c r="AZ219" s="105">
        <v>5</v>
      </c>
      <c r="BA219" s="483"/>
      <c r="BB219" s="484"/>
      <c r="BC219" s="484"/>
      <c r="BD219" s="485"/>
      <c r="BE219" s="486"/>
      <c r="BF219" s="487"/>
      <c r="BG219" s="106"/>
      <c r="BH219" s="488"/>
      <c r="BI219" s="489"/>
      <c r="BJ219" s="489"/>
      <c r="BK219" s="489"/>
      <c r="BL219" s="489"/>
      <c r="BM219" s="490"/>
      <c r="BN219" s="488"/>
      <c r="BO219" s="489"/>
      <c r="BP219" s="489"/>
      <c r="BQ219" s="489"/>
      <c r="BR219" s="489"/>
      <c r="BS219" s="490"/>
      <c r="BT219" s="488"/>
      <c r="BU219" s="489"/>
      <c r="BV219" s="489"/>
      <c r="BW219" s="489"/>
      <c r="BX219" s="489"/>
      <c r="BY219" s="490"/>
      <c r="BZ219" s="483"/>
      <c r="CA219" s="484"/>
      <c r="CB219" s="484"/>
      <c r="CC219" s="485"/>
      <c r="CD219" s="477"/>
      <c r="CE219" s="478"/>
      <c r="CF219" s="478"/>
      <c r="CG219" s="478"/>
      <c r="CH219" s="479"/>
      <c r="CI219" s="477"/>
      <c r="CJ219" s="478"/>
      <c r="CK219" s="478"/>
      <c r="CL219" s="478"/>
      <c r="CM219" s="479"/>
      <c r="CN219" s="477"/>
      <c r="CO219" s="478"/>
      <c r="CP219" s="478"/>
      <c r="CQ219" s="478"/>
      <c r="CR219" s="479"/>
      <c r="CS219" s="480"/>
      <c r="CT219" s="481"/>
      <c r="CU219" s="481"/>
      <c r="CV219" s="481"/>
      <c r="CW219" s="482"/>
    </row>
    <row r="220" spans="1:101" s="91" customFormat="1" ht="16.5" x14ac:dyDescent="0.15">
      <c r="A220" s="518"/>
      <c r="B220" s="107"/>
      <c r="C220" s="220" t="str">
        <f t="shared" ca="1" si="8"/>
        <v/>
      </c>
      <c r="D220" s="523"/>
      <c r="E220" s="650"/>
      <c r="F220" s="650"/>
      <c r="G220" s="650"/>
      <c r="H220" s="650"/>
      <c r="I220" s="650"/>
      <c r="J220" s="650"/>
      <c r="K220" s="529"/>
      <c r="L220" s="539"/>
      <c r="M220" s="539"/>
      <c r="N220" s="539"/>
      <c r="O220" s="539"/>
      <c r="P220" s="539"/>
      <c r="Q220" s="539"/>
      <c r="R220" s="535"/>
      <c r="S220" s="537"/>
      <c r="T220" s="535"/>
      <c r="U220" s="537"/>
      <c r="V220" s="529"/>
      <c r="W220" s="539"/>
      <c r="X220" s="539"/>
      <c r="Y220" s="539"/>
      <c r="Z220" s="539"/>
      <c r="AA220" s="539"/>
      <c r="AB220" s="539"/>
      <c r="AC220" s="529"/>
      <c r="AD220" s="539"/>
      <c r="AE220" s="539"/>
      <c r="AF220" s="539"/>
      <c r="AG220" s="539"/>
      <c r="AH220" s="539"/>
      <c r="AI220" s="539"/>
      <c r="AJ220" s="529"/>
      <c r="AK220" s="530"/>
      <c r="AL220" s="530"/>
      <c r="AM220" s="530"/>
      <c r="AN220" s="530"/>
      <c r="AO220" s="530"/>
      <c r="AP220" s="555"/>
      <c r="AQ220" s="529"/>
      <c r="AR220" s="530"/>
      <c r="AS220" s="530"/>
      <c r="AT220" s="530"/>
      <c r="AU220" s="530"/>
      <c r="AV220" s="530"/>
      <c r="AW220" s="555"/>
      <c r="AX220" s="495"/>
      <c r="AY220" s="496"/>
      <c r="AZ220" s="108">
        <v>6</v>
      </c>
      <c r="BA220" s="513"/>
      <c r="BB220" s="514"/>
      <c r="BC220" s="514"/>
      <c r="BD220" s="515"/>
      <c r="BE220" s="644"/>
      <c r="BF220" s="645"/>
      <c r="BG220" s="111"/>
      <c r="BH220" s="510"/>
      <c r="BI220" s="511"/>
      <c r="BJ220" s="511"/>
      <c r="BK220" s="511"/>
      <c r="BL220" s="511"/>
      <c r="BM220" s="512"/>
      <c r="BN220" s="510"/>
      <c r="BO220" s="511"/>
      <c r="BP220" s="511"/>
      <c r="BQ220" s="511"/>
      <c r="BR220" s="511"/>
      <c r="BS220" s="512"/>
      <c r="BT220" s="510"/>
      <c r="BU220" s="511"/>
      <c r="BV220" s="511"/>
      <c r="BW220" s="511"/>
      <c r="BX220" s="511"/>
      <c r="BY220" s="512"/>
      <c r="BZ220" s="513"/>
      <c r="CA220" s="514"/>
      <c r="CB220" s="514"/>
      <c r="CC220" s="515"/>
      <c r="CD220" s="477"/>
      <c r="CE220" s="478"/>
      <c r="CF220" s="478"/>
      <c r="CG220" s="478"/>
      <c r="CH220" s="479"/>
      <c r="CI220" s="477"/>
      <c r="CJ220" s="478"/>
      <c r="CK220" s="478"/>
      <c r="CL220" s="478"/>
      <c r="CM220" s="479"/>
      <c r="CN220" s="477"/>
      <c r="CO220" s="478"/>
      <c r="CP220" s="478"/>
      <c r="CQ220" s="478"/>
      <c r="CR220" s="479"/>
      <c r="CS220" s="480"/>
      <c r="CT220" s="481"/>
      <c r="CU220" s="481"/>
      <c r="CV220" s="481"/>
      <c r="CW220" s="482"/>
    </row>
    <row r="221" spans="1:101" s="91" customFormat="1" ht="16.5" x14ac:dyDescent="0.15">
      <c r="A221" s="516">
        <v>36</v>
      </c>
      <c r="B221" s="102"/>
      <c r="C221" s="216" t="str">
        <f t="shared" ca="1" si="8"/>
        <v/>
      </c>
      <c r="D221" s="519"/>
      <c r="E221" s="649"/>
      <c r="F221" s="649"/>
      <c r="G221" s="649"/>
      <c r="H221" s="649"/>
      <c r="I221" s="649"/>
      <c r="J221" s="649"/>
      <c r="K221" s="525"/>
      <c r="L221" s="538"/>
      <c r="M221" s="538"/>
      <c r="N221" s="538"/>
      <c r="O221" s="538"/>
      <c r="P221" s="538"/>
      <c r="Q221" s="538"/>
      <c r="R221" s="531"/>
      <c r="S221" s="532"/>
      <c r="T221" s="531"/>
      <c r="U221" s="532"/>
      <c r="V221" s="525"/>
      <c r="W221" s="538"/>
      <c r="X221" s="538"/>
      <c r="Y221" s="538"/>
      <c r="Z221" s="538"/>
      <c r="AA221" s="538"/>
      <c r="AB221" s="538"/>
      <c r="AC221" s="525"/>
      <c r="AD221" s="538"/>
      <c r="AE221" s="538"/>
      <c r="AF221" s="538"/>
      <c r="AG221" s="538"/>
      <c r="AH221" s="538"/>
      <c r="AI221" s="538"/>
      <c r="AJ221" s="525"/>
      <c r="AK221" s="526"/>
      <c r="AL221" s="526"/>
      <c r="AM221" s="526"/>
      <c r="AN221" s="526"/>
      <c r="AO221" s="526"/>
      <c r="AP221" s="540"/>
      <c r="AQ221" s="525"/>
      <c r="AR221" s="526"/>
      <c r="AS221" s="526"/>
      <c r="AT221" s="526"/>
      <c r="AU221" s="526"/>
      <c r="AV221" s="526"/>
      <c r="AW221" s="540"/>
      <c r="AX221" s="491"/>
      <c r="AY221" s="492"/>
      <c r="AZ221" s="103">
        <v>1</v>
      </c>
      <c r="BA221" s="497"/>
      <c r="BB221" s="498"/>
      <c r="BC221" s="498"/>
      <c r="BD221" s="499"/>
      <c r="BE221" s="500"/>
      <c r="BF221" s="501"/>
      <c r="BG221" s="104"/>
      <c r="BH221" s="502"/>
      <c r="BI221" s="503"/>
      <c r="BJ221" s="503"/>
      <c r="BK221" s="503"/>
      <c r="BL221" s="503"/>
      <c r="BM221" s="504"/>
      <c r="BN221" s="502"/>
      <c r="BO221" s="503"/>
      <c r="BP221" s="503"/>
      <c r="BQ221" s="503"/>
      <c r="BR221" s="503"/>
      <c r="BS221" s="504"/>
      <c r="BT221" s="502"/>
      <c r="BU221" s="503"/>
      <c r="BV221" s="503"/>
      <c r="BW221" s="503"/>
      <c r="BX221" s="503"/>
      <c r="BY221" s="504"/>
      <c r="BZ221" s="552"/>
      <c r="CA221" s="553"/>
      <c r="CB221" s="553"/>
      <c r="CC221" s="554"/>
      <c r="CD221" s="477"/>
      <c r="CE221" s="478"/>
      <c r="CF221" s="478"/>
      <c r="CG221" s="478"/>
      <c r="CH221" s="479"/>
      <c r="CI221" s="477"/>
      <c r="CJ221" s="478"/>
      <c r="CK221" s="478"/>
      <c r="CL221" s="478"/>
      <c r="CM221" s="479"/>
      <c r="CN221" s="477"/>
      <c r="CO221" s="478"/>
      <c r="CP221" s="478"/>
      <c r="CQ221" s="478"/>
      <c r="CR221" s="479"/>
      <c r="CS221" s="480"/>
      <c r="CT221" s="481"/>
      <c r="CU221" s="481"/>
      <c r="CV221" s="481"/>
      <c r="CW221" s="482"/>
    </row>
    <row r="222" spans="1:101" s="91" customFormat="1" ht="16.5" x14ac:dyDescent="0.15">
      <c r="A222" s="517"/>
      <c r="B222" s="102"/>
      <c r="C222" s="220" t="str">
        <f t="shared" ca="1" si="8"/>
        <v/>
      </c>
      <c r="D222" s="521"/>
      <c r="E222" s="522"/>
      <c r="F222" s="522"/>
      <c r="G222" s="522"/>
      <c r="H222" s="522"/>
      <c r="I222" s="522"/>
      <c r="J222" s="522"/>
      <c r="K222" s="527"/>
      <c r="L222" s="528"/>
      <c r="M222" s="528"/>
      <c r="N222" s="528"/>
      <c r="O222" s="528"/>
      <c r="P222" s="528"/>
      <c r="Q222" s="528"/>
      <c r="R222" s="533"/>
      <c r="S222" s="534"/>
      <c r="T222" s="533"/>
      <c r="U222" s="534"/>
      <c r="V222" s="527"/>
      <c r="W222" s="528"/>
      <c r="X222" s="528"/>
      <c r="Y222" s="528"/>
      <c r="Z222" s="528"/>
      <c r="AA222" s="528"/>
      <c r="AB222" s="528"/>
      <c r="AC222" s="527"/>
      <c r="AD222" s="528"/>
      <c r="AE222" s="528"/>
      <c r="AF222" s="528"/>
      <c r="AG222" s="528"/>
      <c r="AH222" s="528"/>
      <c r="AI222" s="528"/>
      <c r="AJ222" s="527"/>
      <c r="AK222" s="528"/>
      <c r="AL222" s="528"/>
      <c r="AM222" s="528"/>
      <c r="AN222" s="528"/>
      <c r="AO222" s="528"/>
      <c r="AP222" s="541"/>
      <c r="AQ222" s="527"/>
      <c r="AR222" s="528"/>
      <c r="AS222" s="528"/>
      <c r="AT222" s="528"/>
      <c r="AU222" s="528"/>
      <c r="AV222" s="528"/>
      <c r="AW222" s="541"/>
      <c r="AX222" s="493"/>
      <c r="AY222" s="494"/>
      <c r="AZ222" s="105">
        <v>2</v>
      </c>
      <c r="BA222" s="483"/>
      <c r="BB222" s="484"/>
      <c r="BC222" s="484"/>
      <c r="BD222" s="485"/>
      <c r="BE222" s="486"/>
      <c r="BF222" s="487"/>
      <c r="BG222" s="106"/>
      <c r="BH222" s="488"/>
      <c r="BI222" s="489"/>
      <c r="BJ222" s="489"/>
      <c r="BK222" s="489"/>
      <c r="BL222" s="489"/>
      <c r="BM222" s="490"/>
      <c r="BN222" s="488"/>
      <c r="BO222" s="489"/>
      <c r="BP222" s="489"/>
      <c r="BQ222" s="489"/>
      <c r="BR222" s="489"/>
      <c r="BS222" s="490"/>
      <c r="BT222" s="488"/>
      <c r="BU222" s="489"/>
      <c r="BV222" s="489"/>
      <c r="BW222" s="489"/>
      <c r="BX222" s="489"/>
      <c r="BY222" s="490"/>
      <c r="BZ222" s="483"/>
      <c r="CA222" s="484"/>
      <c r="CB222" s="484"/>
      <c r="CC222" s="485"/>
      <c r="CD222" s="477"/>
      <c r="CE222" s="478"/>
      <c r="CF222" s="478"/>
      <c r="CG222" s="478"/>
      <c r="CH222" s="479"/>
      <c r="CI222" s="477"/>
      <c r="CJ222" s="478"/>
      <c r="CK222" s="478"/>
      <c r="CL222" s="478"/>
      <c r="CM222" s="479"/>
      <c r="CN222" s="477"/>
      <c r="CO222" s="478"/>
      <c r="CP222" s="478"/>
      <c r="CQ222" s="478"/>
      <c r="CR222" s="479"/>
      <c r="CS222" s="480"/>
      <c r="CT222" s="481"/>
      <c r="CU222" s="481"/>
      <c r="CV222" s="481"/>
      <c r="CW222" s="482"/>
    </row>
    <row r="223" spans="1:101" s="91" customFormat="1" ht="16.5" x14ac:dyDescent="0.15">
      <c r="A223" s="517"/>
      <c r="B223" s="102"/>
      <c r="C223" s="220" t="str">
        <f t="shared" ca="1" si="8"/>
        <v/>
      </c>
      <c r="D223" s="521"/>
      <c r="E223" s="522"/>
      <c r="F223" s="522"/>
      <c r="G223" s="522"/>
      <c r="H223" s="522"/>
      <c r="I223" s="522"/>
      <c r="J223" s="522"/>
      <c r="K223" s="527"/>
      <c r="L223" s="528"/>
      <c r="M223" s="528"/>
      <c r="N223" s="528"/>
      <c r="O223" s="528"/>
      <c r="P223" s="528"/>
      <c r="Q223" s="528"/>
      <c r="R223" s="533"/>
      <c r="S223" s="534"/>
      <c r="T223" s="533"/>
      <c r="U223" s="534"/>
      <c r="V223" s="527"/>
      <c r="W223" s="528"/>
      <c r="X223" s="528"/>
      <c r="Y223" s="528"/>
      <c r="Z223" s="528"/>
      <c r="AA223" s="528"/>
      <c r="AB223" s="528"/>
      <c r="AC223" s="527"/>
      <c r="AD223" s="528"/>
      <c r="AE223" s="528"/>
      <c r="AF223" s="528"/>
      <c r="AG223" s="528"/>
      <c r="AH223" s="528"/>
      <c r="AI223" s="528"/>
      <c r="AJ223" s="527"/>
      <c r="AK223" s="528"/>
      <c r="AL223" s="528"/>
      <c r="AM223" s="528"/>
      <c r="AN223" s="528"/>
      <c r="AO223" s="528"/>
      <c r="AP223" s="541"/>
      <c r="AQ223" s="527"/>
      <c r="AR223" s="528"/>
      <c r="AS223" s="528"/>
      <c r="AT223" s="528"/>
      <c r="AU223" s="528"/>
      <c r="AV223" s="528"/>
      <c r="AW223" s="541"/>
      <c r="AX223" s="493"/>
      <c r="AY223" s="494"/>
      <c r="AZ223" s="105">
        <v>3</v>
      </c>
      <c r="BA223" s="483"/>
      <c r="BB223" s="484"/>
      <c r="BC223" s="484"/>
      <c r="BD223" s="485"/>
      <c r="BE223" s="486"/>
      <c r="BF223" s="487"/>
      <c r="BG223" s="106"/>
      <c r="BH223" s="488"/>
      <c r="BI223" s="489"/>
      <c r="BJ223" s="489"/>
      <c r="BK223" s="489"/>
      <c r="BL223" s="489"/>
      <c r="BM223" s="490"/>
      <c r="BN223" s="488"/>
      <c r="BO223" s="489"/>
      <c r="BP223" s="489"/>
      <c r="BQ223" s="489"/>
      <c r="BR223" s="489"/>
      <c r="BS223" s="490"/>
      <c r="BT223" s="488"/>
      <c r="BU223" s="489"/>
      <c r="BV223" s="489"/>
      <c r="BW223" s="489"/>
      <c r="BX223" s="489"/>
      <c r="BY223" s="490"/>
      <c r="BZ223" s="483"/>
      <c r="CA223" s="484"/>
      <c r="CB223" s="484"/>
      <c r="CC223" s="485"/>
      <c r="CD223" s="477"/>
      <c r="CE223" s="478"/>
      <c r="CF223" s="478"/>
      <c r="CG223" s="478"/>
      <c r="CH223" s="479"/>
      <c r="CI223" s="477"/>
      <c r="CJ223" s="478"/>
      <c r="CK223" s="478"/>
      <c r="CL223" s="478"/>
      <c r="CM223" s="479"/>
      <c r="CN223" s="477"/>
      <c r="CO223" s="478"/>
      <c r="CP223" s="478"/>
      <c r="CQ223" s="478"/>
      <c r="CR223" s="479"/>
      <c r="CS223" s="480"/>
      <c r="CT223" s="481"/>
      <c r="CU223" s="481"/>
      <c r="CV223" s="481"/>
      <c r="CW223" s="482"/>
    </row>
    <row r="224" spans="1:101" s="91" customFormat="1" ht="16.5" x14ac:dyDescent="0.15">
      <c r="A224" s="517"/>
      <c r="B224" s="102"/>
      <c r="C224" s="220" t="str">
        <f t="shared" ca="1" si="8"/>
        <v/>
      </c>
      <c r="D224" s="521"/>
      <c r="E224" s="522"/>
      <c r="F224" s="522"/>
      <c r="G224" s="522"/>
      <c r="H224" s="522"/>
      <c r="I224" s="522"/>
      <c r="J224" s="522"/>
      <c r="K224" s="527"/>
      <c r="L224" s="528"/>
      <c r="M224" s="528"/>
      <c r="N224" s="528"/>
      <c r="O224" s="528"/>
      <c r="P224" s="528"/>
      <c r="Q224" s="528"/>
      <c r="R224" s="533"/>
      <c r="S224" s="534"/>
      <c r="T224" s="533"/>
      <c r="U224" s="534"/>
      <c r="V224" s="527"/>
      <c r="W224" s="528"/>
      <c r="X224" s="528"/>
      <c r="Y224" s="528"/>
      <c r="Z224" s="528"/>
      <c r="AA224" s="528"/>
      <c r="AB224" s="528"/>
      <c r="AC224" s="527"/>
      <c r="AD224" s="528"/>
      <c r="AE224" s="528"/>
      <c r="AF224" s="528"/>
      <c r="AG224" s="528"/>
      <c r="AH224" s="528"/>
      <c r="AI224" s="528"/>
      <c r="AJ224" s="527"/>
      <c r="AK224" s="528"/>
      <c r="AL224" s="528"/>
      <c r="AM224" s="528"/>
      <c r="AN224" s="528"/>
      <c r="AO224" s="528"/>
      <c r="AP224" s="541"/>
      <c r="AQ224" s="527"/>
      <c r="AR224" s="528"/>
      <c r="AS224" s="528"/>
      <c r="AT224" s="528"/>
      <c r="AU224" s="528"/>
      <c r="AV224" s="528"/>
      <c r="AW224" s="541"/>
      <c r="AX224" s="493"/>
      <c r="AY224" s="494"/>
      <c r="AZ224" s="105">
        <v>4</v>
      </c>
      <c r="BA224" s="483"/>
      <c r="BB224" s="484"/>
      <c r="BC224" s="484"/>
      <c r="BD224" s="485"/>
      <c r="BE224" s="486"/>
      <c r="BF224" s="487"/>
      <c r="BG224" s="106"/>
      <c r="BH224" s="488"/>
      <c r="BI224" s="489"/>
      <c r="BJ224" s="489"/>
      <c r="BK224" s="489"/>
      <c r="BL224" s="489"/>
      <c r="BM224" s="490"/>
      <c r="BN224" s="488"/>
      <c r="BO224" s="489"/>
      <c r="BP224" s="489"/>
      <c r="BQ224" s="489"/>
      <c r="BR224" s="489"/>
      <c r="BS224" s="490"/>
      <c r="BT224" s="488"/>
      <c r="BU224" s="489"/>
      <c r="BV224" s="489"/>
      <c r="BW224" s="489"/>
      <c r="BX224" s="489"/>
      <c r="BY224" s="490"/>
      <c r="BZ224" s="483"/>
      <c r="CA224" s="484"/>
      <c r="CB224" s="484"/>
      <c r="CC224" s="485"/>
      <c r="CD224" s="477"/>
      <c r="CE224" s="478"/>
      <c r="CF224" s="478"/>
      <c r="CG224" s="478"/>
      <c r="CH224" s="479"/>
      <c r="CI224" s="477"/>
      <c r="CJ224" s="478"/>
      <c r="CK224" s="478"/>
      <c r="CL224" s="478"/>
      <c r="CM224" s="479"/>
      <c r="CN224" s="477"/>
      <c r="CO224" s="478"/>
      <c r="CP224" s="478"/>
      <c r="CQ224" s="478"/>
      <c r="CR224" s="479"/>
      <c r="CS224" s="480"/>
      <c r="CT224" s="481"/>
      <c r="CU224" s="481"/>
      <c r="CV224" s="481"/>
      <c r="CW224" s="482"/>
    </row>
    <row r="225" spans="1:101" s="91" customFormat="1" ht="16.5" x14ac:dyDescent="0.15">
      <c r="A225" s="517"/>
      <c r="B225" s="102"/>
      <c r="C225" s="220" t="str">
        <f t="shared" ca="1" si="8"/>
        <v/>
      </c>
      <c r="D225" s="521"/>
      <c r="E225" s="522"/>
      <c r="F225" s="522"/>
      <c r="G225" s="522"/>
      <c r="H225" s="522"/>
      <c r="I225" s="522"/>
      <c r="J225" s="522"/>
      <c r="K225" s="527"/>
      <c r="L225" s="528"/>
      <c r="M225" s="528"/>
      <c r="N225" s="528"/>
      <c r="O225" s="528"/>
      <c r="P225" s="528"/>
      <c r="Q225" s="528"/>
      <c r="R225" s="533"/>
      <c r="S225" s="534"/>
      <c r="T225" s="533"/>
      <c r="U225" s="534"/>
      <c r="V225" s="527"/>
      <c r="W225" s="528"/>
      <c r="X225" s="528"/>
      <c r="Y225" s="528"/>
      <c r="Z225" s="528"/>
      <c r="AA225" s="528"/>
      <c r="AB225" s="528"/>
      <c r="AC225" s="527"/>
      <c r="AD225" s="528"/>
      <c r="AE225" s="528"/>
      <c r="AF225" s="528"/>
      <c r="AG225" s="528"/>
      <c r="AH225" s="528"/>
      <c r="AI225" s="528"/>
      <c r="AJ225" s="527"/>
      <c r="AK225" s="528"/>
      <c r="AL225" s="528"/>
      <c r="AM225" s="528"/>
      <c r="AN225" s="528"/>
      <c r="AO225" s="528"/>
      <c r="AP225" s="541"/>
      <c r="AQ225" s="527"/>
      <c r="AR225" s="528"/>
      <c r="AS225" s="528"/>
      <c r="AT225" s="528"/>
      <c r="AU225" s="528"/>
      <c r="AV225" s="528"/>
      <c r="AW225" s="541"/>
      <c r="AX225" s="493"/>
      <c r="AY225" s="494"/>
      <c r="AZ225" s="105">
        <v>5</v>
      </c>
      <c r="BA225" s="483"/>
      <c r="BB225" s="484"/>
      <c r="BC225" s="484"/>
      <c r="BD225" s="485"/>
      <c r="BE225" s="486"/>
      <c r="BF225" s="487"/>
      <c r="BG225" s="106"/>
      <c r="BH225" s="488"/>
      <c r="BI225" s="489"/>
      <c r="BJ225" s="489"/>
      <c r="BK225" s="489"/>
      <c r="BL225" s="489"/>
      <c r="BM225" s="490"/>
      <c r="BN225" s="488"/>
      <c r="BO225" s="489"/>
      <c r="BP225" s="489"/>
      <c r="BQ225" s="489"/>
      <c r="BR225" s="489"/>
      <c r="BS225" s="490"/>
      <c r="BT225" s="488"/>
      <c r="BU225" s="489"/>
      <c r="BV225" s="489"/>
      <c r="BW225" s="489"/>
      <c r="BX225" s="489"/>
      <c r="BY225" s="490"/>
      <c r="BZ225" s="483"/>
      <c r="CA225" s="484"/>
      <c r="CB225" s="484"/>
      <c r="CC225" s="485"/>
      <c r="CD225" s="477"/>
      <c r="CE225" s="478"/>
      <c r="CF225" s="478"/>
      <c r="CG225" s="478"/>
      <c r="CH225" s="479"/>
      <c r="CI225" s="477"/>
      <c r="CJ225" s="478"/>
      <c r="CK225" s="478"/>
      <c r="CL225" s="478"/>
      <c r="CM225" s="479"/>
      <c r="CN225" s="477"/>
      <c r="CO225" s="478"/>
      <c r="CP225" s="478"/>
      <c r="CQ225" s="478"/>
      <c r="CR225" s="479"/>
      <c r="CS225" s="480"/>
      <c r="CT225" s="481"/>
      <c r="CU225" s="481"/>
      <c r="CV225" s="481"/>
      <c r="CW225" s="482"/>
    </row>
    <row r="226" spans="1:101" s="91" customFormat="1" ht="16.5" x14ac:dyDescent="0.15">
      <c r="A226" s="518"/>
      <c r="B226" s="107"/>
      <c r="C226" s="219" t="str">
        <f t="shared" ca="1" si="8"/>
        <v/>
      </c>
      <c r="D226" s="523"/>
      <c r="E226" s="650"/>
      <c r="F226" s="650"/>
      <c r="G226" s="650"/>
      <c r="H226" s="650"/>
      <c r="I226" s="650"/>
      <c r="J226" s="650"/>
      <c r="K226" s="529"/>
      <c r="L226" s="539"/>
      <c r="M226" s="539"/>
      <c r="N226" s="539"/>
      <c r="O226" s="539"/>
      <c r="P226" s="539"/>
      <c r="Q226" s="539"/>
      <c r="R226" s="535"/>
      <c r="S226" s="537"/>
      <c r="T226" s="535"/>
      <c r="U226" s="537"/>
      <c r="V226" s="529"/>
      <c r="W226" s="539"/>
      <c r="X226" s="539"/>
      <c r="Y226" s="539"/>
      <c r="Z226" s="539"/>
      <c r="AA226" s="539"/>
      <c r="AB226" s="539"/>
      <c r="AC226" s="529"/>
      <c r="AD226" s="539"/>
      <c r="AE226" s="539"/>
      <c r="AF226" s="539"/>
      <c r="AG226" s="539"/>
      <c r="AH226" s="539"/>
      <c r="AI226" s="539"/>
      <c r="AJ226" s="529"/>
      <c r="AK226" s="530"/>
      <c r="AL226" s="530"/>
      <c r="AM226" s="530"/>
      <c r="AN226" s="530"/>
      <c r="AO226" s="530"/>
      <c r="AP226" s="555"/>
      <c r="AQ226" s="529"/>
      <c r="AR226" s="530"/>
      <c r="AS226" s="530"/>
      <c r="AT226" s="530"/>
      <c r="AU226" s="530"/>
      <c r="AV226" s="530"/>
      <c r="AW226" s="555"/>
      <c r="AX226" s="495"/>
      <c r="AY226" s="496"/>
      <c r="AZ226" s="108">
        <v>6</v>
      </c>
      <c r="BA226" s="505"/>
      <c r="BB226" s="506"/>
      <c r="BC226" s="506"/>
      <c r="BD226" s="507"/>
      <c r="BE226" s="644"/>
      <c r="BF226" s="645"/>
      <c r="BG226" s="109"/>
      <c r="BH226" s="510"/>
      <c r="BI226" s="511"/>
      <c r="BJ226" s="511"/>
      <c r="BK226" s="511"/>
      <c r="BL226" s="511"/>
      <c r="BM226" s="512"/>
      <c r="BN226" s="510"/>
      <c r="BO226" s="511"/>
      <c r="BP226" s="511"/>
      <c r="BQ226" s="511"/>
      <c r="BR226" s="511"/>
      <c r="BS226" s="512"/>
      <c r="BT226" s="510"/>
      <c r="BU226" s="511"/>
      <c r="BV226" s="511"/>
      <c r="BW226" s="511"/>
      <c r="BX226" s="511"/>
      <c r="BY226" s="512"/>
      <c r="BZ226" s="505"/>
      <c r="CA226" s="506"/>
      <c r="CB226" s="506"/>
      <c r="CC226" s="507"/>
      <c r="CD226" s="477"/>
      <c r="CE226" s="478"/>
      <c r="CF226" s="478"/>
      <c r="CG226" s="478"/>
      <c r="CH226" s="479"/>
      <c r="CI226" s="477"/>
      <c r="CJ226" s="478"/>
      <c r="CK226" s="478"/>
      <c r="CL226" s="478"/>
      <c r="CM226" s="479"/>
      <c r="CN226" s="477"/>
      <c r="CO226" s="478"/>
      <c r="CP226" s="478"/>
      <c r="CQ226" s="478"/>
      <c r="CR226" s="479"/>
      <c r="CS226" s="480"/>
      <c r="CT226" s="481"/>
      <c r="CU226" s="481"/>
      <c r="CV226" s="481"/>
      <c r="CW226" s="482"/>
    </row>
    <row r="227" spans="1:101" s="91" customFormat="1" ht="16.5" x14ac:dyDescent="0.15">
      <c r="A227" s="516">
        <v>37</v>
      </c>
      <c r="B227" s="102"/>
      <c r="C227" s="222" t="str">
        <f t="shared" ca="1" si="8"/>
        <v/>
      </c>
      <c r="D227" s="519"/>
      <c r="E227" s="649"/>
      <c r="F227" s="649"/>
      <c r="G227" s="649"/>
      <c r="H227" s="649"/>
      <c r="I227" s="649"/>
      <c r="J227" s="649"/>
      <c r="K227" s="525"/>
      <c r="L227" s="538"/>
      <c r="M227" s="538"/>
      <c r="N227" s="538"/>
      <c r="O227" s="538"/>
      <c r="P227" s="538"/>
      <c r="Q227" s="538"/>
      <c r="R227" s="531"/>
      <c r="S227" s="532"/>
      <c r="T227" s="531"/>
      <c r="U227" s="532"/>
      <c r="V227" s="525"/>
      <c r="W227" s="538"/>
      <c r="X227" s="538"/>
      <c r="Y227" s="538"/>
      <c r="Z227" s="538"/>
      <c r="AA227" s="538"/>
      <c r="AB227" s="538"/>
      <c r="AC227" s="525"/>
      <c r="AD227" s="538"/>
      <c r="AE227" s="538"/>
      <c r="AF227" s="538"/>
      <c r="AG227" s="538"/>
      <c r="AH227" s="538"/>
      <c r="AI227" s="538"/>
      <c r="AJ227" s="525"/>
      <c r="AK227" s="526"/>
      <c r="AL227" s="526"/>
      <c r="AM227" s="526"/>
      <c r="AN227" s="526"/>
      <c r="AO227" s="526"/>
      <c r="AP227" s="540"/>
      <c r="AQ227" s="525"/>
      <c r="AR227" s="526"/>
      <c r="AS227" s="526"/>
      <c r="AT227" s="526"/>
      <c r="AU227" s="526"/>
      <c r="AV227" s="526"/>
      <c r="AW227" s="540"/>
      <c r="AX227" s="491"/>
      <c r="AY227" s="492"/>
      <c r="AZ227" s="103">
        <v>1</v>
      </c>
      <c r="BA227" s="497"/>
      <c r="BB227" s="498"/>
      <c r="BC227" s="498"/>
      <c r="BD227" s="499"/>
      <c r="BE227" s="651"/>
      <c r="BF227" s="652"/>
      <c r="BG227" s="110"/>
      <c r="BH227" s="502"/>
      <c r="BI227" s="503"/>
      <c r="BJ227" s="503"/>
      <c r="BK227" s="503"/>
      <c r="BL227" s="503"/>
      <c r="BM227" s="504"/>
      <c r="BN227" s="502"/>
      <c r="BO227" s="503"/>
      <c r="BP227" s="503"/>
      <c r="BQ227" s="503"/>
      <c r="BR227" s="503"/>
      <c r="BS227" s="504"/>
      <c r="BT227" s="502"/>
      <c r="BU227" s="503"/>
      <c r="BV227" s="503"/>
      <c r="BW227" s="503"/>
      <c r="BX227" s="503"/>
      <c r="BY227" s="504"/>
      <c r="BZ227" s="497"/>
      <c r="CA227" s="498"/>
      <c r="CB227" s="498"/>
      <c r="CC227" s="499"/>
      <c r="CD227" s="477"/>
      <c r="CE227" s="478"/>
      <c r="CF227" s="478"/>
      <c r="CG227" s="478"/>
      <c r="CH227" s="479"/>
      <c r="CI227" s="477"/>
      <c r="CJ227" s="478"/>
      <c r="CK227" s="478"/>
      <c r="CL227" s="478"/>
      <c r="CM227" s="479"/>
      <c r="CN227" s="477"/>
      <c r="CO227" s="478"/>
      <c r="CP227" s="478"/>
      <c r="CQ227" s="478"/>
      <c r="CR227" s="479"/>
      <c r="CS227" s="480"/>
      <c r="CT227" s="481"/>
      <c r="CU227" s="481"/>
      <c r="CV227" s="481"/>
      <c r="CW227" s="482"/>
    </row>
    <row r="228" spans="1:101" s="91" customFormat="1" ht="16.5" x14ac:dyDescent="0.15">
      <c r="A228" s="517"/>
      <c r="B228" s="102"/>
      <c r="C228" s="220" t="str">
        <f t="shared" ca="1" si="8"/>
        <v/>
      </c>
      <c r="D228" s="521"/>
      <c r="E228" s="522"/>
      <c r="F228" s="522"/>
      <c r="G228" s="522"/>
      <c r="H228" s="522"/>
      <c r="I228" s="522"/>
      <c r="J228" s="522"/>
      <c r="K228" s="527"/>
      <c r="L228" s="528"/>
      <c r="M228" s="528"/>
      <c r="N228" s="528"/>
      <c r="O228" s="528"/>
      <c r="P228" s="528"/>
      <c r="Q228" s="528"/>
      <c r="R228" s="533"/>
      <c r="S228" s="534"/>
      <c r="T228" s="533"/>
      <c r="U228" s="534"/>
      <c r="V228" s="527"/>
      <c r="W228" s="528"/>
      <c r="X228" s="528"/>
      <c r="Y228" s="528"/>
      <c r="Z228" s="528"/>
      <c r="AA228" s="528"/>
      <c r="AB228" s="528"/>
      <c r="AC228" s="527"/>
      <c r="AD228" s="528"/>
      <c r="AE228" s="528"/>
      <c r="AF228" s="528"/>
      <c r="AG228" s="528"/>
      <c r="AH228" s="528"/>
      <c r="AI228" s="528"/>
      <c r="AJ228" s="527"/>
      <c r="AK228" s="528"/>
      <c r="AL228" s="528"/>
      <c r="AM228" s="528"/>
      <c r="AN228" s="528"/>
      <c r="AO228" s="528"/>
      <c r="AP228" s="541"/>
      <c r="AQ228" s="527"/>
      <c r="AR228" s="528"/>
      <c r="AS228" s="528"/>
      <c r="AT228" s="528"/>
      <c r="AU228" s="528"/>
      <c r="AV228" s="528"/>
      <c r="AW228" s="541"/>
      <c r="AX228" s="493"/>
      <c r="AY228" s="494"/>
      <c r="AZ228" s="105">
        <v>2</v>
      </c>
      <c r="BA228" s="497"/>
      <c r="BB228" s="498"/>
      <c r="BC228" s="498"/>
      <c r="BD228" s="499"/>
      <c r="BE228" s="500"/>
      <c r="BF228" s="501"/>
      <c r="BG228" s="106"/>
      <c r="BH228" s="488"/>
      <c r="BI228" s="489"/>
      <c r="BJ228" s="489"/>
      <c r="BK228" s="489"/>
      <c r="BL228" s="489"/>
      <c r="BM228" s="490"/>
      <c r="BN228" s="488"/>
      <c r="BO228" s="489"/>
      <c r="BP228" s="489"/>
      <c r="BQ228" s="489"/>
      <c r="BR228" s="489"/>
      <c r="BS228" s="490"/>
      <c r="BT228" s="488"/>
      <c r="BU228" s="489"/>
      <c r="BV228" s="489"/>
      <c r="BW228" s="489"/>
      <c r="BX228" s="489"/>
      <c r="BY228" s="490"/>
      <c r="BZ228" s="483"/>
      <c r="CA228" s="484"/>
      <c r="CB228" s="484"/>
      <c r="CC228" s="485"/>
      <c r="CD228" s="477"/>
      <c r="CE228" s="478"/>
      <c r="CF228" s="478"/>
      <c r="CG228" s="478"/>
      <c r="CH228" s="479"/>
      <c r="CI228" s="477"/>
      <c r="CJ228" s="478"/>
      <c r="CK228" s="478"/>
      <c r="CL228" s="478"/>
      <c r="CM228" s="479"/>
      <c r="CN228" s="477"/>
      <c r="CO228" s="478"/>
      <c r="CP228" s="478"/>
      <c r="CQ228" s="478"/>
      <c r="CR228" s="479"/>
      <c r="CS228" s="480"/>
      <c r="CT228" s="481"/>
      <c r="CU228" s="481"/>
      <c r="CV228" s="481"/>
      <c r="CW228" s="482"/>
    </row>
    <row r="229" spans="1:101" s="91" customFormat="1" ht="16.5" x14ac:dyDescent="0.15">
      <c r="A229" s="517"/>
      <c r="B229" s="102"/>
      <c r="C229" s="220" t="str">
        <f t="shared" ca="1" si="8"/>
        <v/>
      </c>
      <c r="D229" s="521"/>
      <c r="E229" s="522"/>
      <c r="F229" s="522"/>
      <c r="G229" s="522"/>
      <c r="H229" s="522"/>
      <c r="I229" s="522"/>
      <c r="J229" s="522"/>
      <c r="K229" s="527"/>
      <c r="L229" s="528"/>
      <c r="M229" s="528"/>
      <c r="N229" s="528"/>
      <c r="O229" s="528"/>
      <c r="P229" s="528"/>
      <c r="Q229" s="528"/>
      <c r="R229" s="533"/>
      <c r="S229" s="534"/>
      <c r="T229" s="533"/>
      <c r="U229" s="534"/>
      <c r="V229" s="527"/>
      <c r="W229" s="528"/>
      <c r="X229" s="528"/>
      <c r="Y229" s="528"/>
      <c r="Z229" s="528"/>
      <c r="AA229" s="528"/>
      <c r="AB229" s="528"/>
      <c r="AC229" s="527"/>
      <c r="AD229" s="528"/>
      <c r="AE229" s="528"/>
      <c r="AF229" s="528"/>
      <c r="AG229" s="528"/>
      <c r="AH229" s="528"/>
      <c r="AI229" s="528"/>
      <c r="AJ229" s="527"/>
      <c r="AK229" s="528"/>
      <c r="AL229" s="528"/>
      <c r="AM229" s="528"/>
      <c r="AN229" s="528"/>
      <c r="AO229" s="528"/>
      <c r="AP229" s="541"/>
      <c r="AQ229" s="527"/>
      <c r="AR229" s="528"/>
      <c r="AS229" s="528"/>
      <c r="AT229" s="528"/>
      <c r="AU229" s="528"/>
      <c r="AV229" s="528"/>
      <c r="AW229" s="541"/>
      <c r="AX229" s="493"/>
      <c r="AY229" s="494"/>
      <c r="AZ229" s="105">
        <v>3</v>
      </c>
      <c r="BA229" s="483"/>
      <c r="BB229" s="484"/>
      <c r="BC229" s="484"/>
      <c r="BD229" s="485"/>
      <c r="BE229" s="486"/>
      <c r="BF229" s="487"/>
      <c r="BG229" s="106"/>
      <c r="BH229" s="488"/>
      <c r="BI229" s="489"/>
      <c r="BJ229" s="489"/>
      <c r="BK229" s="489"/>
      <c r="BL229" s="489"/>
      <c r="BM229" s="490"/>
      <c r="BN229" s="488"/>
      <c r="BO229" s="489"/>
      <c r="BP229" s="489"/>
      <c r="BQ229" s="489"/>
      <c r="BR229" s="489"/>
      <c r="BS229" s="490"/>
      <c r="BT229" s="488"/>
      <c r="BU229" s="489"/>
      <c r="BV229" s="489"/>
      <c r="BW229" s="489"/>
      <c r="BX229" s="489"/>
      <c r="BY229" s="490"/>
      <c r="BZ229" s="483"/>
      <c r="CA229" s="484"/>
      <c r="CB229" s="484"/>
      <c r="CC229" s="485"/>
      <c r="CD229" s="477"/>
      <c r="CE229" s="478"/>
      <c r="CF229" s="478"/>
      <c r="CG229" s="478"/>
      <c r="CH229" s="479"/>
      <c r="CI229" s="477"/>
      <c r="CJ229" s="478"/>
      <c r="CK229" s="478"/>
      <c r="CL229" s="478"/>
      <c r="CM229" s="479"/>
      <c r="CN229" s="477"/>
      <c r="CO229" s="478"/>
      <c r="CP229" s="478"/>
      <c r="CQ229" s="478"/>
      <c r="CR229" s="479"/>
      <c r="CS229" s="480"/>
      <c r="CT229" s="481"/>
      <c r="CU229" s="481"/>
      <c r="CV229" s="481"/>
      <c r="CW229" s="482"/>
    </row>
    <row r="230" spans="1:101" s="91" customFormat="1" ht="16.5" x14ac:dyDescent="0.15">
      <c r="A230" s="517"/>
      <c r="B230" s="102"/>
      <c r="C230" s="220" t="str">
        <f t="shared" ca="1" si="8"/>
        <v/>
      </c>
      <c r="D230" s="521"/>
      <c r="E230" s="522"/>
      <c r="F230" s="522"/>
      <c r="G230" s="522"/>
      <c r="H230" s="522"/>
      <c r="I230" s="522"/>
      <c r="J230" s="522"/>
      <c r="K230" s="527"/>
      <c r="L230" s="528"/>
      <c r="M230" s="528"/>
      <c r="N230" s="528"/>
      <c r="O230" s="528"/>
      <c r="P230" s="528"/>
      <c r="Q230" s="528"/>
      <c r="R230" s="533"/>
      <c r="S230" s="534"/>
      <c r="T230" s="533"/>
      <c r="U230" s="534"/>
      <c r="V230" s="527"/>
      <c r="W230" s="528"/>
      <c r="X230" s="528"/>
      <c r="Y230" s="528"/>
      <c r="Z230" s="528"/>
      <c r="AA230" s="528"/>
      <c r="AB230" s="528"/>
      <c r="AC230" s="527"/>
      <c r="AD230" s="528"/>
      <c r="AE230" s="528"/>
      <c r="AF230" s="528"/>
      <c r="AG230" s="528"/>
      <c r="AH230" s="528"/>
      <c r="AI230" s="528"/>
      <c r="AJ230" s="527"/>
      <c r="AK230" s="528"/>
      <c r="AL230" s="528"/>
      <c r="AM230" s="528"/>
      <c r="AN230" s="528"/>
      <c r="AO230" s="528"/>
      <c r="AP230" s="541"/>
      <c r="AQ230" s="527"/>
      <c r="AR230" s="528"/>
      <c r="AS230" s="528"/>
      <c r="AT230" s="528"/>
      <c r="AU230" s="528"/>
      <c r="AV230" s="528"/>
      <c r="AW230" s="541"/>
      <c r="AX230" s="493"/>
      <c r="AY230" s="494"/>
      <c r="AZ230" s="105">
        <v>4</v>
      </c>
      <c r="BA230" s="483"/>
      <c r="BB230" s="484"/>
      <c r="BC230" s="484"/>
      <c r="BD230" s="485"/>
      <c r="BE230" s="486"/>
      <c r="BF230" s="487"/>
      <c r="BG230" s="106"/>
      <c r="BH230" s="488"/>
      <c r="BI230" s="489"/>
      <c r="BJ230" s="489"/>
      <c r="BK230" s="489"/>
      <c r="BL230" s="489"/>
      <c r="BM230" s="490"/>
      <c r="BN230" s="488"/>
      <c r="BO230" s="489"/>
      <c r="BP230" s="489"/>
      <c r="BQ230" s="489"/>
      <c r="BR230" s="489"/>
      <c r="BS230" s="490"/>
      <c r="BT230" s="488"/>
      <c r="BU230" s="489"/>
      <c r="BV230" s="489"/>
      <c r="BW230" s="489"/>
      <c r="BX230" s="489"/>
      <c r="BY230" s="490"/>
      <c r="BZ230" s="483"/>
      <c r="CA230" s="484"/>
      <c r="CB230" s="484"/>
      <c r="CC230" s="485"/>
      <c r="CD230" s="477"/>
      <c r="CE230" s="478"/>
      <c r="CF230" s="478"/>
      <c r="CG230" s="478"/>
      <c r="CH230" s="479"/>
      <c r="CI230" s="477"/>
      <c r="CJ230" s="478"/>
      <c r="CK230" s="478"/>
      <c r="CL230" s="478"/>
      <c r="CM230" s="479"/>
      <c r="CN230" s="477"/>
      <c r="CO230" s="478"/>
      <c r="CP230" s="478"/>
      <c r="CQ230" s="478"/>
      <c r="CR230" s="479"/>
      <c r="CS230" s="480"/>
      <c r="CT230" s="481"/>
      <c r="CU230" s="481"/>
      <c r="CV230" s="481"/>
      <c r="CW230" s="482"/>
    </row>
    <row r="231" spans="1:101" s="91" customFormat="1" ht="16.5" x14ac:dyDescent="0.15">
      <c r="A231" s="517"/>
      <c r="B231" s="102"/>
      <c r="C231" s="220" t="str">
        <f t="shared" ca="1" si="8"/>
        <v/>
      </c>
      <c r="D231" s="521"/>
      <c r="E231" s="522"/>
      <c r="F231" s="522"/>
      <c r="G231" s="522"/>
      <c r="H231" s="522"/>
      <c r="I231" s="522"/>
      <c r="J231" s="522"/>
      <c r="K231" s="527"/>
      <c r="L231" s="528"/>
      <c r="M231" s="528"/>
      <c r="N231" s="528"/>
      <c r="O231" s="528"/>
      <c r="P231" s="528"/>
      <c r="Q231" s="528"/>
      <c r="R231" s="533"/>
      <c r="S231" s="534"/>
      <c r="T231" s="533"/>
      <c r="U231" s="534"/>
      <c r="V231" s="527"/>
      <c r="W231" s="528"/>
      <c r="X231" s="528"/>
      <c r="Y231" s="528"/>
      <c r="Z231" s="528"/>
      <c r="AA231" s="528"/>
      <c r="AB231" s="528"/>
      <c r="AC231" s="527"/>
      <c r="AD231" s="528"/>
      <c r="AE231" s="528"/>
      <c r="AF231" s="528"/>
      <c r="AG231" s="528"/>
      <c r="AH231" s="528"/>
      <c r="AI231" s="528"/>
      <c r="AJ231" s="527"/>
      <c r="AK231" s="528"/>
      <c r="AL231" s="528"/>
      <c r="AM231" s="528"/>
      <c r="AN231" s="528"/>
      <c r="AO231" s="528"/>
      <c r="AP231" s="541"/>
      <c r="AQ231" s="527"/>
      <c r="AR231" s="528"/>
      <c r="AS231" s="528"/>
      <c r="AT231" s="528"/>
      <c r="AU231" s="528"/>
      <c r="AV231" s="528"/>
      <c r="AW231" s="541"/>
      <c r="AX231" s="493"/>
      <c r="AY231" s="494"/>
      <c r="AZ231" s="105">
        <v>5</v>
      </c>
      <c r="BA231" s="483"/>
      <c r="BB231" s="484"/>
      <c r="BC231" s="484"/>
      <c r="BD231" s="485"/>
      <c r="BE231" s="486"/>
      <c r="BF231" s="487"/>
      <c r="BG231" s="106"/>
      <c r="BH231" s="488"/>
      <c r="BI231" s="489"/>
      <c r="BJ231" s="489"/>
      <c r="BK231" s="489"/>
      <c r="BL231" s="489"/>
      <c r="BM231" s="490"/>
      <c r="BN231" s="488"/>
      <c r="BO231" s="489"/>
      <c r="BP231" s="489"/>
      <c r="BQ231" s="489"/>
      <c r="BR231" s="489"/>
      <c r="BS231" s="490"/>
      <c r="BT231" s="488"/>
      <c r="BU231" s="489"/>
      <c r="BV231" s="489"/>
      <c r="BW231" s="489"/>
      <c r="BX231" s="489"/>
      <c r="BY231" s="490"/>
      <c r="BZ231" s="483"/>
      <c r="CA231" s="484"/>
      <c r="CB231" s="484"/>
      <c r="CC231" s="485"/>
      <c r="CD231" s="477"/>
      <c r="CE231" s="478"/>
      <c r="CF231" s="478"/>
      <c r="CG231" s="478"/>
      <c r="CH231" s="479"/>
      <c r="CI231" s="477"/>
      <c r="CJ231" s="478"/>
      <c r="CK231" s="478"/>
      <c r="CL231" s="478"/>
      <c r="CM231" s="479"/>
      <c r="CN231" s="477"/>
      <c r="CO231" s="478"/>
      <c r="CP231" s="478"/>
      <c r="CQ231" s="478"/>
      <c r="CR231" s="479"/>
      <c r="CS231" s="480"/>
      <c r="CT231" s="481"/>
      <c r="CU231" s="481"/>
      <c r="CV231" s="481"/>
      <c r="CW231" s="482"/>
    </row>
    <row r="232" spans="1:101" s="91" customFormat="1" ht="16.5" x14ac:dyDescent="0.15">
      <c r="A232" s="518"/>
      <c r="B232" s="107"/>
      <c r="C232" s="219" t="str">
        <f t="shared" ca="1" si="8"/>
        <v/>
      </c>
      <c r="D232" s="523"/>
      <c r="E232" s="650"/>
      <c r="F232" s="650"/>
      <c r="G232" s="650"/>
      <c r="H232" s="650"/>
      <c r="I232" s="650"/>
      <c r="J232" s="650"/>
      <c r="K232" s="529"/>
      <c r="L232" s="539"/>
      <c r="M232" s="539"/>
      <c r="N232" s="539"/>
      <c r="O232" s="539"/>
      <c r="P232" s="539"/>
      <c r="Q232" s="539"/>
      <c r="R232" s="535"/>
      <c r="S232" s="537"/>
      <c r="T232" s="535"/>
      <c r="U232" s="537"/>
      <c r="V232" s="529"/>
      <c r="W232" s="539"/>
      <c r="X232" s="539"/>
      <c r="Y232" s="539"/>
      <c r="Z232" s="539"/>
      <c r="AA232" s="539"/>
      <c r="AB232" s="539"/>
      <c r="AC232" s="529"/>
      <c r="AD232" s="539"/>
      <c r="AE232" s="539"/>
      <c r="AF232" s="539"/>
      <c r="AG232" s="539"/>
      <c r="AH232" s="539"/>
      <c r="AI232" s="539"/>
      <c r="AJ232" s="529"/>
      <c r="AK232" s="530"/>
      <c r="AL232" s="530"/>
      <c r="AM232" s="530"/>
      <c r="AN232" s="530"/>
      <c r="AO232" s="530"/>
      <c r="AP232" s="555"/>
      <c r="AQ232" s="529"/>
      <c r="AR232" s="530"/>
      <c r="AS232" s="530"/>
      <c r="AT232" s="530"/>
      <c r="AU232" s="530"/>
      <c r="AV232" s="530"/>
      <c r="AW232" s="555"/>
      <c r="AX232" s="495"/>
      <c r="AY232" s="496"/>
      <c r="AZ232" s="112">
        <v>6</v>
      </c>
      <c r="BA232" s="513"/>
      <c r="BB232" s="514"/>
      <c r="BC232" s="514"/>
      <c r="BD232" s="515"/>
      <c r="BE232" s="644"/>
      <c r="BF232" s="645"/>
      <c r="BG232" s="111"/>
      <c r="BH232" s="646"/>
      <c r="BI232" s="647"/>
      <c r="BJ232" s="647"/>
      <c r="BK232" s="647"/>
      <c r="BL232" s="647"/>
      <c r="BM232" s="648"/>
      <c r="BN232" s="646"/>
      <c r="BO232" s="647"/>
      <c r="BP232" s="647"/>
      <c r="BQ232" s="647"/>
      <c r="BR232" s="647"/>
      <c r="BS232" s="648"/>
      <c r="BT232" s="646"/>
      <c r="BU232" s="647"/>
      <c r="BV232" s="647"/>
      <c r="BW232" s="647"/>
      <c r="BX232" s="647"/>
      <c r="BY232" s="648"/>
      <c r="BZ232" s="513"/>
      <c r="CA232" s="514"/>
      <c r="CB232" s="514"/>
      <c r="CC232" s="515"/>
      <c r="CD232" s="477"/>
      <c r="CE232" s="478"/>
      <c r="CF232" s="478"/>
      <c r="CG232" s="478"/>
      <c r="CH232" s="479"/>
      <c r="CI232" s="477"/>
      <c r="CJ232" s="478"/>
      <c r="CK232" s="478"/>
      <c r="CL232" s="478"/>
      <c r="CM232" s="479"/>
      <c r="CN232" s="477"/>
      <c r="CO232" s="478"/>
      <c r="CP232" s="478"/>
      <c r="CQ232" s="478"/>
      <c r="CR232" s="479"/>
      <c r="CS232" s="480"/>
      <c r="CT232" s="481"/>
      <c r="CU232" s="481"/>
      <c r="CV232" s="481"/>
      <c r="CW232" s="482"/>
    </row>
    <row r="233" spans="1:101" s="91" customFormat="1" ht="16.149999999999999" customHeight="1" x14ac:dyDescent="0.15">
      <c r="A233" s="516">
        <v>38</v>
      </c>
      <c r="B233" s="102"/>
      <c r="C233" s="216" t="str">
        <f t="shared" ca="1" si="8"/>
        <v/>
      </c>
      <c r="D233" s="519"/>
      <c r="E233" s="649"/>
      <c r="F233" s="649"/>
      <c r="G233" s="649"/>
      <c r="H233" s="649"/>
      <c r="I233" s="649"/>
      <c r="J233" s="649"/>
      <c r="K233" s="525"/>
      <c r="L233" s="538"/>
      <c r="M233" s="538"/>
      <c r="N233" s="538"/>
      <c r="O233" s="538"/>
      <c r="P233" s="538"/>
      <c r="Q233" s="538"/>
      <c r="R233" s="531"/>
      <c r="S233" s="532"/>
      <c r="T233" s="531"/>
      <c r="U233" s="532"/>
      <c r="V233" s="525"/>
      <c r="W233" s="538"/>
      <c r="X233" s="538"/>
      <c r="Y233" s="538"/>
      <c r="Z233" s="538"/>
      <c r="AA233" s="538"/>
      <c r="AB233" s="538"/>
      <c r="AC233" s="525"/>
      <c r="AD233" s="538"/>
      <c r="AE233" s="538"/>
      <c r="AF233" s="538"/>
      <c r="AG233" s="538"/>
      <c r="AH233" s="538"/>
      <c r="AI233" s="538"/>
      <c r="AJ233" s="525"/>
      <c r="AK233" s="526"/>
      <c r="AL233" s="526"/>
      <c r="AM233" s="526"/>
      <c r="AN233" s="526"/>
      <c r="AO233" s="526"/>
      <c r="AP233" s="540"/>
      <c r="AQ233" s="525"/>
      <c r="AR233" s="526"/>
      <c r="AS233" s="526"/>
      <c r="AT233" s="526"/>
      <c r="AU233" s="526"/>
      <c r="AV233" s="526"/>
      <c r="AW233" s="540"/>
      <c r="AX233" s="491"/>
      <c r="AY233" s="492"/>
      <c r="AZ233" s="103">
        <v>1</v>
      </c>
      <c r="BA233" s="497"/>
      <c r="BB233" s="498"/>
      <c r="BC233" s="498"/>
      <c r="BD233" s="499"/>
      <c r="BE233" s="651"/>
      <c r="BF233" s="652"/>
      <c r="BG233" s="104"/>
      <c r="BH233" s="502"/>
      <c r="BI233" s="503"/>
      <c r="BJ233" s="503"/>
      <c r="BK233" s="503"/>
      <c r="BL233" s="503"/>
      <c r="BM233" s="504"/>
      <c r="BN233" s="502"/>
      <c r="BO233" s="503"/>
      <c r="BP233" s="503"/>
      <c r="BQ233" s="503"/>
      <c r="BR233" s="503"/>
      <c r="BS233" s="504"/>
      <c r="BT233" s="502"/>
      <c r="BU233" s="503"/>
      <c r="BV233" s="503"/>
      <c r="BW233" s="503"/>
      <c r="BX233" s="503"/>
      <c r="BY233" s="504"/>
      <c r="BZ233" s="552"/>
      <c r="CA233" s="553"/>
      <c r="CB233" s="553"/>
      <c r="CC233" s="554"/>
      <c r="CD233" s="477"/>
      <c r="CE233" s="478"/>
      <c r="CF233" s="478"/>
      <c r="CG233" s="478"/>
      <c r="CH233" s="479"/>
      <c r="CI233" s="477"/>
      <c r="CJ233" s="478"/>
      <c r="CK233" s="478"/>
      <c r="CL233" s="478"/>
      <c r="CM233" s="479"/>
      <c r="CN233" s="477"/>
      <c r="CO233" s="478"/>
      <c r="CP233" s="478"/>
      <c r="CQ233" s="478"/>
      <c r="CR233" s="479"/>
      <c r="CS233" s="480"/>
      <c r="CT233" s="481"/>
      <c r="CU233" s="481"/>
      <c r="CV233" s="481"/>
      <c r="CW233" s="482"/>
    </row>
    <row r="234" spans="1:101" s="91" customFormat="1" ht="16.5" x14ac:dyDescent="0.15">
      <c r="A234" s="517"/>
      <c r="B234" s="102"/>
      <c r="C234" s="220" t="str">
        <f t="shared" ca="1" si="8"/>
        <v/>
      </c>
      <c r="D234" s="521"/>
      <c r="E234" s="522"/>
      <c r="F234" s="522"/>
      <c r="G234" s="522"/>
      <c r="H234" s="522"/>
      <c r="I234" s="522"/>
      <c r="J234" s="522"/>
      <c r="K234" s="527"/>
      <c r="L234" s="528"/>
      <c r="M234" s="528"/>
      <c r="N234" s="528"/>
      <c r="O234" s="528"/>
      <c r="P234" s="528"/>
      <c r="Q234" s="528"/>
      <c r="R234" s="533"/>
      <c r="S234" s="534"/>
      <c r="T234" s="533"/>
      <c r="U234" s="534"/>
      <c r="V234" s="527"/>
      <c r="W234" s="528"/>
      <c r="X234" s="528"/>
      <c r="Y234" s="528"/>
      <c r="Z234" s="528"/>
      <c r="AA234" s="528"/>
      <c r="AB234" s="528"/>
      <c r="AC234" s="527"/>
      <c r="AD234" s="528"/>
      <c r="AE234" s="528"/>
      <c r="AF234" s="528"/>
      <c r="AG234" s="528"/>
      <c r="AH234" s="528"/>
      <c r="AI234" s="528"/>
      <c r="AJ234" s="527"/>
      <c r="AK234" s="528"/>
      <c r="AL234" s="528"/>
      <c r="AM234" s="528"/>
      <c r="AN234" s="528"/>
      <c r="AO234" s="528"/>
      <c r="AP234" s="541"/>
      <c r="AQ234" s="527"/>
      <c r="AR234" s="528"/>
      <c r="AS234" s="528"/>
      <c r="AT234" s="528"/>
      <c r="AU234" s="528"/>
      <c r="AV234" s="528"/>
      <c r="AW234" s="541"/>
      <c r="AX234" s="493"/>
      <c r="AY234" s="494"/>
      <c r="AZ234" s="105">
        <v>2</v>
      </c>
      <c r="BA234" s="497"/>
      <c r="BB234" s="498"/>
      <c r="BC234" s="498"/>
      <c r="BD234" s="499"/>
      <c r="BE234" s="500"/>
      <c r="BF234" s="501"/>
      <c r="BG234" s="106"/>
      <c r="BH234" s="488"/>
      <c r="BI234" s="489"/>
      <c r="BJ234" s="489"/>
      <c r="BK234" s="489"/>
      <c r="BL234" s="489"/>
      <c r="BM234" s="490"/>
      <c r="BN234" s="488"/>
      <c r="BO234" s="489"/>
      <c r="BP234" s="489"/>
      <c r="BQ234" s="489"/>
      <c r="BR234" s="489"/>
      <c r="BS234" s="490"/>
      <c r="BT234" s="488"/>
      <c r="BU234" s="489"/>
      <c r="BV234" s="489"/>
      <c r="BW234" s="489"/>
      <c r="BX234" s="489"/>
      <c r="BY234" s="490"/>
      <c r="BZ234" s="483"/>
      <c r="CA234" s="484"/>
      <c r="CB234" s="484"/>
      <c r="CC234" s="485"/>
      <c r="CD234" s="477"/>
      <c r="CE234" s="478"/>
      <c r="CF234" s="478"/>
      <c r="CG234" s="478"/>
      <c r="CH234" s="479"/>
      <c r="CI234" s="477"/>
      <c r="CJ234" s="478"/>
      <c r="CK234" s="478"/>
      <c r="CL234" s="478"/>
      <c r="CM234" s="479"/>
      <c r="CN234" s="477"/>
      <c r="CO234" s="478"/>
      <c r="CP234" s="478"/>
      <c r="CQ234" s="478"/>
      <c r="CR234" s="479"/>
      <c r="CS234" s="480"/>
      <c r="CT234" s="481"/>
      <c r="CU234" s="481"/>
      <c r="CV234" s="481"/>
      <c r="CW234" s="482"/>
    </row>
    <row r="235" spans="1:101" s="91" customFormat="1" ht="16.5" x14ac:dyDescent="0.15">
      <c r="A235" s="517"/>
      <c r="B235" s="102"/>
      <c r="C235" s="220" t="str">
        <f t="shared" ca="1" si="8"/>
        <v/>
      </c>
      <c r="D235" s="521"/>
      <c r="E235" s="522"/>
      <c r="F235" s="522"/>
      <c r="G235" s="522"/>
      <c r="H235" s="522"/>
      <c r="I235" s="522"/>
      <c r="J235" s="522"/>
      <c r="K235" s="527"/>
      <c r="L235" s="528"/>
      <c r="M235" s="528"/>
      <c r="N235" s="528"/>
      <c r="O235" s="528"/>
      <c r="P235" s="528"/>
      <c r="Q235" s="528"/>
      <c r="R235" s="533"/>
      <c r="S235" s="534"/>
      <c r="T235" s="533"/>
      <c r="U235" s="534"/>
      <c r="V235" s="527"/>
      <c r="W235" s="528"/>
      <c r="X235" s="528"/>
      <c r="Y235" s="528"/>
      <c r="Z235" s="528"/>
      <c r="AA235" s="528"/>
      <c r="AB235" s="528"/>
      <c r="AC235" s="527"/>
      <c r="AD235" s="528"/>
      <c r="AE235" s="528"/>
      <c r="AF235" s="528"/>
      <c r="AG235" s="528"/>
      <c r="AH235" s="528"/>
      <c r="AI235" s="528"/>
      <c r="AJ235" s="527"/>
      <c r="AK235" s="528"/>
      <c r="AL235" s="528"/>
      <c r="AM235" s="528"/>
      <c r="AN235" s="528"/>
      <c r="AO235" s="528"/>
      <c r="AP235" s="541"/>
      <c r="AQ235" s="527"/>
      <c r="AR235" s="528"/>
      <c r="AS235" s="528"/>
      <c r="AT235" s="528"/>
      <c r="AU235" s="528"/>
      <c r="AV235" s="528"/>
      <c r="AW235" s="541"/>
      <c r="AX235" s="493"/>
      <c r="AY235" s="494"/>
      <c r="AZ235" s="105">
        <v>3</v>
      </c>
      <c r="BA235" s="483"/>
      <c r="BB235" s="484"/>
      <c r="BC235" s="484"/>
      <c r="BD235" s="485"/>
      <c r="BE235" s="486"/>
      <c r="BF235" s="487"/>
      <c r="BG235" s="106"/>
      <c r="BH235" s="488"/>
      <c r="BI235" s="489"/>
      <c r="BJ235" s="489"/>
      <c r="BK235" s="489"/>
      <c r="BL235" s="489"/>
      <c r="BM235" s="490"/>
      <c r="BN235" s="488"/>
      <c r="BO235" s="489"/>
      <c r="BP235" s="489"/>
      <c r="BQ235" s="489"/>
      <c r="BR235" s="489"/>
      <c r="BS235" s="490"/>
      <c r="BT235" s="488"/>
      <c r="BU235" s="489"/>
      <c r="BV235" s="489"/>
      <c r="BW235" s="489"/>
      <c r="BX235" s="489"/>
      <c r="BY235" s="490"/>
      <c r="BZ235" s="483"/>
      <c r="CA235" s="484"/>
      <c r="CB235" s="484"/>
      <c r="CC235" s="485"/>
      <c r="CD235" s="477"/>
      <c r="CE235" s="478"/>
      <c r="CF235" s="478"/>
      <c r="CG235" s="478"/>
      <c r="CH235" s="479"/>
      <c r="CI235" s="477"/>
      <c r="CJ235" s="478"/>
      <c r="CK235" s="478"/>
      <c r="CL235" s="478"/>
      <c r="CM235" s="479"/>
      <c r="CN235" s="477"/>
      <c r="CO235" s="478"/>
      <c r="CP235" s="478"/>
      <c r="CQ235" s="478"/>
      <c r="CR235" s="479"/>
      <c r="CS235" s="480"/>
      <c r="CT235" s="481"/>
      <c r="CU235" s="481"/>
      <c r="CV235" s="481"/>
      <c r="CW235" s="482"/>
    </row>
    <row r="236" spans="1:101" s="91" customFormat="1" ht="16.5" x14ac:dyDescent="0.15">
      <c r="A236" s="517"/>
      <c r="B236" s="102"/>
      <c r="C236" s="220" t="str">
        <f t="shared" ca="1" si="8"/>
        <v/>
      </c>
      <c r="D236" s="521"/>
      <c r="E236" s="522"/>
      <c r="F236" s="522"/>
      <c r="G236" s="522"/>
      <c r="H236" s="522"/>
      <c r="I236" s="522"/>
      <c r="J236" s="522"/>
      <c r="K236" s="527"/>
      <c r="L236" s="528"/>
      <c r="M236" s="528"/>
      <c r="N236" s="528"/>
      <c r="O236" s="528"/>
      <c r="P236" s="528"/>
      <c r="Q236" s="528"/>
      <c r="R236" s="533"/>
      <c r="S236" s="534"/>
      <c r="T236" s="533"/>
      <c r="U236" s="534"/>
      <c r="V236" s="527"/>
      <c r="W236" s="528"/>
      <c r="X236" s="528"/>
      <c r="Y236" s="528"/>
      <c r="Z236" s="528"/>
      <c r="AA236" s="528"/>
      <c r="AB236" s="528"/>
      <c r="AC236" s="527"/>
      <c r="AD236" s="528"/>
      <c r="AE236" s="528"/>
      <c r="AF236" s="528"/>
      <c r="AG236" s="528"/>
      <c r="AH236" s="528"/>
      <c r="AI236" s="528"/>
      <c r="AJ236" s="527"/>
      <c r="AK236" s="528"/>
      <c r="AL236" s="528"/>
      <c r="AM236" s="528"/>
      <c r="AN236" s="528"/>
      <c r="AO236" s="528"/>
      <c r="AP236" s="541"/>
      <c r="AQ236" s="527"/>
      <c r="AR236" s="528"/>
      <c r="AS236" s="528"/>
      <c r="AT236" s="528"/>
      <c r="AU236" s="528"/>
      <c r="AV236" s="528"/>
      <c r="AW236" s="541"/>
      <c r="AX236" s="493"/>
      <c r="AY236" s="494"/>
      <c r="AZ236" s="105">
        <v>4</v>
      </c>
      <c r="BA236" s="483"/>
      <c r="BB236" s="484"/>
      <c r="BC236" s="484"/>
      <c r="BD236" s="485"/>
      <c r="BE236" s="486"/>
      <c r="BF236" s="487"/>
      <c r="BG236" s="106"/>
      <c r="BH236" s="488"/>
      <c r="BI236" s="489"/>
      <c r="BJ236" s="489"/>
      <c r="BK236" s="489"/>
      <c r="BL236" s="489"/>
      <c r="BM236" s="490"/>
      <c r="BN236" s="488"/>
      <c r="BO236" s="489"/>
      <c r="BP236" s="489"/>
      <c r="BQ236" s="489"/>
      <c r="BR236" s="489"/>
      <c r="BS236" s="490"/>
      <c r="BT236" s="488"/>
      <c r="BU236" s="489"/>
      <c r="BV236" s="489"/>
      <c r="BW236" s="489"/>
      <c r="BX236" s="489"/>
      <c r="BY236" s="490"/>
      <c r="BZ236" s="483"/>
      <c r="CA236" s="484"/>
      <c r="CB236" s="484"/>
      <c r="CC236" s="485"/>
      <c r="CD236" s="477"/>
      <c r="CE236" s="478"/>
      <c r="CF236" s="478"/>
      <c r="CG236" s="478"/>
      <c r="CH236" s="479"/>
      <c r="CI236" s="477"/>
      <c r="CJ236" s="478"/>
      <c r="CK236" s="478"/>
      <c r="CL236" s="478"/>
      <c r="CM236" s="479"/>
      <c r="CN236" s="477"/>
      <c r="CO236" s="478"/>
      <c r="CP236" s="478"/>
      <c r="CQ236" s="478"/>
      <c r="CR236" s="479"/>
      <c r="CS236" s="480"/>
      <c r="CT236" s="481"/>
      <c r="CU236" s="481"/>
      <c r="CV236" s="481"/>
      <c r="CW236" s="482"/>
    </row>
    <row r="237" spans="1:101" s="91" customFormat="1" ht="16.5" x14ac:dyDescent="0.15">
      <c r="A237" s="517"/>
      <c r="B237" s="102"/>
      <c r="C237" s="220" t="str">
        <f t="shared" ca="1" si="8"/>
        <v/>
      </c>
      <c r="D237" s="521"/>
      <c r="E237" s="522"/>
      <c r="F237" s="522"/>
      <c r="G237" s="522"/>
      <c r="H237" s="522"/>
      <c r="I237" s="522"/>
      <c r="J237" s="522"/>
      <c r="K237" s="527"/>
      <c r="L237" s="528"/>
      <c r="M237" s="528"/>
      <c r="N237" s="528"/>
      <c r="O237" s="528"/>
      <c r="P237" s="528"/>
      <c r="Q237" s="528"/>
      <c r="R237" s="533"/>
      <c r="S237" s="534"/>
      <c r="T237" s="533"/>
      <c r="U237" s="534"/>
      <c r="V237" s="527"/>
      <c r="W237" s="528"/>
      <c r="X237" s="528"/>
      <c r="Y237" s="528"/>
      <c r="Z237" s="528"/>
      <c r="AA237" s="528"/>
      <c r="AB237" s="528"/>
      <c r="AC237" s="527"/>
      <c r="AD237" s="528"/>
      <c r="AE237" s="528"/>
      <c r="AF237" s="528"/>
      <c r="AG237" s="528"/>
      <c r="AH237" s="528"/>
      <c r="AI237" s="528"/>
      <c r="AJ237" s="527"/>
      <c r="AK237" s="528"/>
      <c r="AL237" s="528"/>
      <c r="AM237" s="528"/>
      <c r="AN237" s="528"/>
      <c r="AO237" s="528"/>
      <c r="AP237" s="541"/>
      <c r="AQ237" s="527"/>
      <c r="AR237" s="528"/>
      <c r="AS237" s="528"/>
      <c r="AT237" s="528"/>
      <c r="AU237" s="528"/>
      <c r="AV237" s="528"/>
      <c r="AW237" s="541"/>
      <c r="AX237" s="493"/>
      <c r="AY237" s="494"/>
      <c r="AZ237" s="105">
        <v>5</v>
      </c>
      <c r="BA237" s="483"/>
      <c r="BB237" s="484"/>
      <c r="BC237" s="484"/>
      <c r="BD237" s="485"/>
      <c r="BE237" s="486"/>
      <c r="BF237" s="487"/>
      <c r="BG237" s="106"/>
      <c r="BH237" s="488"/>
      <c r="BI237" s="489"/>
      <c r="BJ237" s="489"/>
      <c r="BK237" s="489"/>
      <c r="BL237" s="489"/>
      <c r="BM237" s="490"/>
      <c r="BN237" s="488"/>
      <c r="BO237" s="489"/>
      <c r="BP237" s="489"/>
      <c r="BQ237" s="489"/>
      <c r="BR237" s="489"/>
      <c r="BS237" s="490"/>
      <c r="BT237" s="488"/>
      <c r="BU237" s="489"/>
      <c r="BV237" s="489"/>
      <c r="BW237" s="489"/>
      <c r="BX237" s="489"/>
      <c r="BY237" s="490"/>
      <c r="BZ237" s="483"/>
      <c r="CA237" s="484"/>
      <c r="CB237" s="484"/>
      <c r="CC237" s="485"/>
      <c r="CD237" s="477"/>
      <c r="CE237" s="478"/>
      <c r="CF237" s="478"/>
      <c r="CG237" s="478"/>
      <c r="CH237" s="479"/>
      <c r="CI237" s="477"/>
      <c r="CJ237" s="478"/>
      <c r="CK237" s="478"/>
      <c r="CL237" s="478"/>
      <c r="CM237" s="479"/>
      <c r="CN237" s="477"/>
      <c r="CO237" s="478"/>
      <c r="CP237" s="478"/>
      <c r="CQ237" s="478"/>
      <c r="CR237" s="479"/>
      <c r="CS237" s="480"/>
      <c r="CT237" s="481"/>
      <c r="CU237" s="481"/>
      <c r="CV237" s="481"/>
      <c r="CW237" s="482"/>
    </row>
    <row r="238" spans="1:101" s="91" customFormat="1" ht="16.5" x14ac:dyDescent="0.15">
      <c r="A238" s="518"/>
      <c r="B238" s="107"/>
      <c r="C238" s="219" t="str">
        <f t="shared" ca="1" si="8"/>
        <v/>
      </c>
      <c r="D238" s="523"/>
      <c r="E238" s="650"/>
      <c r="F238" s="650"/>
      <c r="G238" s="650"/>
      <c r="H238" s="650"/>
      <c r="I238" s="650"/>
      <c r="J238" s="650"/>
      <c r="K238" s="529"/>
      <c r="L238" s="539"/>
      <c r="M238" s="539"/>
      <c r="N238" s="539"/>
      <c r="O238" s="539"/>
      <c r="P238" s="539"/>
      <c r="Q238" s="539"/>
      <c r="R238" s="535"/>
      <c r="S238" s="537"/>
      <c r="T238" s="535"/>
      <c r="U238" s="537"/>
      <c r="V238" s="529"/>
      <c r="W238" s="539"/>
      <c r="X238" s="539"/>
      <c r="Y238" s="539"/>
      <c r="Z238" s="539"/>
      <c r="AA238" s="539"/>
      <c r="AB238" s="539"/>
      <c r="AC238" s="529"/>
      <c r="AD238" s="539"/>
      <c r="AE238" s="539"/>
      <c r="AF238" s="539"/>
      <c r="AG238" s="539"/>
      <c r="AH238" s="539"/>
      <c r="AI238" s="539"/>
      <c r="AJ238" s="529"/>
      <c r="AK238" s="530"/>
      <c r="AL238" s="530"/>
      <c r="AM238" s="530"/>
      <c r="AN238" s="530"/>
      <c r="AO238" s="530"/>
      <c r="AP238" s="555"/>
      <c r="AQ238" s="529"/>
      <c r="AR238" s="530"/>
      <c r="AS238" s="530"/>
      <c r="AT238" s="530"/>
      <c r="AU238" s="530"/>
      <c r="AV238" s="530"/>
      <c r="AW238" s="555"/>
      <c r="AX238" s="495"/>
      <c r="AY238" s="496"/>
      <c r="AZ238" s="108">
        <v>6</v>
      </c>
      <c r="BA238" s="505"/>
      <c r="BB238" s="506"/>
      <c r="BC238" s="506"/>
      <c r="BD238" s="507"/>
      <c r="BE238" s="644"/>
      <c r="BF238" s="645"/>
      <c r="BG238" s="109"/>
      <c r="BH238" s="510"/>
      <c r="BI238" s="511"/>
      <c r="BJ238" s="511"/>
      <c r="BK238" s="511"/>
      <c r="BL238" s="511"/>
      <c r="BM238" s="512"/>
      <c r="BN238" s="510"/>
      <c r="BO238" s="511"/>
      <c r="BP238" s="511"/>
      <c r="BQ238" s="511"/>
      <c r="BR238" s="511"/>
      <c r="BS238" s="512"/>
      <c r="BT238" s="510"/>
      <c r="BU238" s="511"/>
      <c r="BV238" s="511"/>
      <c r="BW238" s="511"/>
      <c r="BX238" s="511"/>
      <c r="BY238" s="512"/>
      <c r="BZ238" s="505"/>
      <c r="CA238" s="506"/>
      <c r="CB238" s="506"/>
      <c r="CC238" s="507"/>
      <c r="CD238" s="477"/>
      <c r="CE238" s="478"/>
      <c r="CF238" s="478"/>
      <c r="CG238" s="478"/>
      <c r="CH238" s="479"/>
      <c r="CI238" s="477"/>
      <c r="CJ238" s="478"/>
      <c r="CK238" s="478"/>
      <c r="CL238" s="478"/>
      <c r="CM238" s="479"/>
      <c r="CN238" s="477"/>
      <c r="CO238" s="478"/>
      <c r="CP238" s="478"/>
      <c r="CQ238" s="478"/>
      <c r="CR238" s="479"/>
      <c r="CS238" s="480"/>
      <c r="CT238" s="481"/>
      <c r="CU238" s="481"/>
      <c r="CV238" s="481"/>
      <c r="CW238" s="482"/>
    </row>
    <row r="239" spans="1:101" s="91" customFormat="1" ht="16.5" x14ac:dyDescent="0.15">
      <c r="A239" s="516">
        <v>39</v>
      </c>
      <c r="B239" s="102"/>
      <c r="C239" s="222" t="str">
        <f t="shared" ca="1" si="8"/>
        <v/>
      </c>
      <c r="D239" s="519"/>
      <c r="E239" s="649"/>
      <c r="F239" s="649"/>
      <c r="G239" s="649"/>
      <c r="H239" s="649"/>
      <c r="I239" s="649"/>
      <c r="J239" s="649"/>
      <c r="K239" s="525"/>
      <c r="L239" s="538"/>
      <c r="M239" s="538"/>
      <c r="N239" s="538"/>
      <c r="O239" s="538"/>
      <c r="P239" s="538"/>
      <c r="Q239" s="538"/>
      <c r="R239" s="531"/>
      <c r="S239" s="532"/>
      <c r="T239" s="531"/>
      <c r="U239" s="532"/>
      <c r="V239" s="525"/>
      <c r="W239" s="538"/>
      <c r="X239" s="538"/>
      <c r="Y239" s="538"/>
      <c r="Z239" s="538"/>
      <c r="AA239" s="538"/>
      <c r="AB239" s="538"/>
      <c r="AC239" s="525"/>
      <c r="AD239" s="538"/>
      <c r="AE239" s="538"/>
      <c r="AF239" s="538"/>
      <c r="AG239" s="538"/>
      <c r="AH239" s="538"/>
      <c r="AI239" s="538"/>
      <c r="AJ239" s="525"/>
      <c r="AK239" s="538"/>
      <c r="AL239" s="538"/>
      <c r="AM239" s="538"/>
      <c r="AN239" s="538"/>
      <c r="AO239" s="538"/>
      <c r="AP239" s="540"/>
      <c r="AQ239" s="543"/>
      <c r="AR239" s="544"/>
      <c r="AS239" s="544"/>
      <c r="AT239" s="544"/>
      <c r="AU239" s="544"/>
      <c r="AV239" s="544"/>
      <c r="AW239" s="545"/>
      <c r="AX239" s="491"/>
      <c r="AY239" s="492"/>
      <c r="AZ239" s="103">
        <v>1</v>
      </c>
      <c r="BA239" s="497"/>
      <c r="BB239" s="498"/>
      <c r="BC239" s="498"/>
      <c r="BD239" s="499"/>
      <c r="BE239" s="500"/>
      <c r="BF239" s="501"/>
      <c r="BG239" s="110"/>
      <c r="BH239" s="502"/>
      <c r="BI239" s="503"/>
      <c r="BJ239" s="503"/>
      <c r="BK239" s="503"/>
      <c r="BL239" s="503"/>
      <c r="BM239" s="504"/>
      <c r="BN239" s="502"/>
      <c r="BO239" s="503"/>
      <c r="BP239" s="503"/>
      <c r="BQ239" s="503"/>
      <c r="BR239" s="503"/>
      <c r="BS239" s="504"/>
      <c r="BT239" s="502"/>
      <c r="BU239" s="503"/>
      <c r="BV239" s="503"/>
      <c r="BW239" s="503"/>
      <c r="BX239" s="503"/>
      <c r="BY239" s="504"/>
      <c r="BZ239" s="497"/>
      <c r="CA239" s="498"/>
      <c r="CB239" s="498"/>
      <c r="CC239" s="499"/>
      <c r="CD239" s="477"/>
      <c r="CE239" s="478"/>
      <c r="CF239" s="478"/>
      <c r="CG239" s="478"/>
      <c r="CH239" s="479"/>
      <c r="CI239" s="477"/>
      <c r="CJ239" s="478"/>
      <c r="CK239" s="478"/>
      <c r="CL239" s="478"/>
      <c r="CM239" s="479"/>
      <c r="CN239" s="477"/>
      <c r="CO239" s="478"/>
      <c r="CP239" s="478"/>
      <c r="CQ239" s="478"/>
      <c r="CR239" s="479"/>
      <c r="CS239" s="480"/>
      <c r="CT239" s="481"/>
      <c r="CU239" s="481"/>
      <c r="CV239" s="481"/>
      <c r="CW239" s="482"/>
    </row>
    <row r="240" spans="1:101" s="91" customFormat="1" ht="16.5" x14ac:dyDescent="0.15">
      <c r="A240" s="517"/>
      <c r="B240" s="102"/>
      <c r="C240" s="220" t="str">
        <f t="shared" ca="1" si="8"/>
        <v/>
      </c>
      <c r="D240" s="521"/>
      <c r="E240" s="522"/>
      <c r="F240" s="522"/>
      <c r="G240" s="522"/>
      <c r="H240" s="522"/>
      <c r="I240" s="522"/>
      <c r="J240" s="522"/>
      <c r="K240" s="527"/>
      <c r="L240" s="528"/>
      <c r="M240" s="528"/>
      <c r="N240" s="528"/>
      <c r="O240" s="528"/>
      <c r="P240" s="528"/>
      <c r="Q240" s="528"/>
      <c r="R240" s="533"/>
      <c r="S240" s="534"/>
      <c r="T240" s="533"/>
      <c r="U240" s="534"/>
      <c r="V240" s="527"/>
      <c r="W240" s="528"/>
      <c r="X240" s="528"/>
      <c r="Y240" s="528"/>
      <c r="Z240" s="528"/>
      <c r="AA240" s="528"/>
      <c r="AB240" s="528"/>
      <c r="AC240" s="527"/>
      <c r="AD240" s="528"/>
      <c r="AE240" s="528"/>
      <c r="AF240" s="528"/>
      <c r="AG240" s="528"/>
      <c r="AH240" s="528"/>
      <c r="AI240" s="528"/>
      <c r="AJ240" s="527"/>
      <c r="AK240" s="528"/>
      <c r="AL240" s="528"/>
      <c r="AM240" s="528"/>
      <c r="AN240" s="528"/>
      <c r="AO240" s="528"/>
      <c r="AP240" s="541"/>
      <c r="AQ240" s="546"/>
      <c r="AR240" s="547"/>
      <c r="AS240" s="547"/>
      <c r="AT240" s="547"/>
      <c r="AU240" s="547"/>
      <c r="AV240" s="547"/>
      <c r="AW240" s="548"/>
      <c r="AX240" s="493"/>
      <c r="AY240" s="494"/>
      <c r="AZ240" s="105">
        <v>2</v>
      </c>
      <c r="BA240" s="483"/>
      <c r="BB240" s="484"/>
      <c r="BC240" s="484"/>
      <c r="BD240" s="485"/>
      <c r="BE240" s="486"/>
      <c r="BF240" s="487"/>
      <c r="BG240" s="106"/>
      <c r="BH240" s="488"/>
      <c r="BI240" s="489"/>
      <c r="BJ240" s="489"/>
      <c r="BK240" s="489"/>
      <c r="BL240" s="489"/>
      <c r="BM240" s="490"/>
      <c r="BN240" s="488"/>
      <c r="BO240" s="489"/>
      <c r="BP240" s="489"/>
      <c r="BQ240" s="489"/>
      <c r="BR240" s="489"/>
      <c r="BS240" s="490"/>
      <c r="BT240" s="488"/>
      <c r="BU240" s="489"/>
      <c r="BV240" s="489"/>
      <c r="BW240" s="489"/>
      <c r="BX240" s="489"/>
      <c r="BY240" s="490"/>
      <c r="BZ240" s="483"/>
      <c r="CA240" s="484"/>
      <c r="CB240" s="484"/>
      <c r="CC240" s="485"/>
      <c r="CD240" s="477"/>
      <c r="CE240" s="478"/>
      <c r="CF240" s="478"/>
      <c r="CG240" s="478"/>
      <c r="CH240" s="479"/>
      <c r="CI240" s="477"/>
      <c r="CJ240" s="478"/>
      <c r="CK240" s="478"/>
      <c r="CL240" s="478"/>
      <c r="CM240" s="479"/>
      <c r="CN240" s="477"/>
      <c r="CO240" s="478"/>
      <c r="CP240" s="478"/>
      <c r="CQ240" s="478"/>
      <c r="CR240" s="479"/>
      <c r="CS240" s="480"/>
      <c r="CT240" s="481"/>
      <c r="CU240" s="481"/>
      <c r="CV240" s="481"/>
      <c r="CW240" s="482"/>
    </row>
    <row r="241" spans="1:101" s="91" customFormat="1" ht="16.5" x14ac:dyDescent="0.15">
      <c r="A241" s="517"/>
      <c r="B241" s="102"/>
      <c r="C241" s="220" t="str">
        <f t="shared" ca="1" si="8"/>
        <v/>
      </c>
      <c r="D241" s="521"/>
      <c r="E241" s="522"/>
      <c r="F241" s="522"/>
      <c r="G241" s="522"/>
      <c r="H241" s="522"/>
      <c r="I241" s="522"/>
      <c r="J241" s="522"/>
      <c r="K241" s="527"/>
      <c r="L241" s="528"/>
      <c r="M241" s="528"/>
      <c r="N241" s="528"/>
      <c r="O241" s="528"/>
      <c r="P241" s="528"/>
      <c r="Q241" s="528"/>
      <c r="R241" s="533"/>
      <c r="S241" s="534"/>
      <c r="T241" s="533"/>
      <c r="U241" s="534"/>
      <c r="V241" s="527"/>
      <c r="W241" s="528"/>
      <c r="X241" s="528"/>
      <c r="Y241" s="528"/>
      <c r="Z241" s="528"/>
      <c r="AA241" s="528"/>
      <c r="AB241" s="528"/>
      <c r="AC241" s="527"/>
      <c r="AD241" s="528"/>
      <c r="AE241" s="528"/>
      <c r="AF241" s="528"/>
      <c r="AG241" s="528"/>
      <c r="AH241" s="528"/>
      <c r="AI241" s="528"/>
      <c r="AJ241" s="527"/>
      <c r="AK241" s="528"/>
      <c r="AL241" s="528"/>
      <c r="AM241" s="528"/>
      <c r="AN241" s="528"/>
      <c r="AO241" s="528"/>
      <c r="AP241" s="541"/>
      <c r="AQ241" s="546"/>
      <c r="AR241" s="547"/>
      <c r="AS241" s="547"/>
      <c r="AT241" s="547"/>
      <c r="AU241" s="547"/>
      <c r="AV241" s="547"/>
      <c r="AW241" s="548"/>
      <c r="AX241" s="493"/>
      <c r="AY241" s="494"/>
      <c r="AZ241" s="105">
        <v>3</v>
      </c>
      <c r="BA241" s="483"/>
      <c r="BB241" s="484"/>
      <c r="BC241" s="484"/>
      <c r="BD241" s="485"/>
      <c r="BE241" s="486"/>
      <c r="BF241" s="487"/>
      <c r="BG241" s="106"/>
      <c r="BH241" s="488"/>
      <c r="BI241" s="489"/>
      <c r="BJ241" s="489"/>
      <c r="BK241" s="489"/>
      <c r="BL241" s="489"/>
      <c r="BM241" s="490"/>
      <c r="BN241" s="488"/>
      <c r="BO241" s="489"/>
      <c r="BP241" s="489"/>
      <c r="BQ241" s="489"/>
      <c r="BR241" s="489"/>
      <c r="BS241" s="490"/>
      <c r="BT241" s="488"/>
      <c r="BU241" s="489"/>
      <c r="BV241" s="489"/>
      <c r="BW241" s="489"/>
      <c r="BX241" s="489"/>
      <c r="BY241" s="490"/>
      <c r="BZ241" s="483"/>
      <c r="CA241" s="484"/>
      <c r="CB241" s="484"/>
      <c r="CC241" s="485"/>
      <c r="CD241" s="477"/>
      <c r="CE241" s="478"/>
      <c r="CF241" s="478"/>
      <c r="CG241" s="478"/>
      <c r="CH241" s="479"/>
      <c r="CI241" s="477"/>
      <c r="CJ241" s="478"/>
      <c r="CK241" s="478"/>
      <c r="CL241" s="478"/>
      <c r="CM241" s="479"/>
      <c r="CN241" s="477"/>
      <c r="CO241" s="478"/>
      <c r="CP241" s="478"/>
      <c r="CQ241" s="478"/>
      <c r="CR241" s="479"/>
      <c r="CS241" s="480"/>
      <c r="CT241" s="481"/>
      <c r="CU241" s="481"/>
      <c r="CV241" s="481"/>
      <c r="CW241" s="482"/>
    </row>
    <row r="242" spans="1:101" s="91" customFormat="1" ht="16.5" x14ac:dyDescent="0.15">
      <c r="A242" s="517"/>
      <c r="B242" s="102"/>
      <c r="C242" s="220" t="str">
        <f t="shared" ca="1" si="8"/>
        <v/>
      </c>
      <c r="D242" s="521"/>
      <c r="E242" s="522"/>
      <c r="F242" s="522"/>
      <c r="G242" s="522"/>
      <c r="H242" s="522"/>
      <c r="I242" s="522"/>
      <c r="J242" s="522"/>
      <c r="K242" s="527"/>
      <c r="L242" s="528"/>
      <c r="M242" s="528"/>
      <c r="N242" s="528"/>
      <c r="O242" s="528"/>
      <c r="P242" s="528"/>
      <c r="Q242" s="528"/>
      <c r="R242" s="533"/>
      <c r="S242" s="534"/>
      <c r="T242" s="533"/>
      <c r="U242" s="534"/>
      <c r="V242" s="527"/>
      <c r="W242" s="528"/>
      <c r="X242" s="528"/>
      <c r="Y242" s="528"/>
      <c r="Z242" s="528"/>
      <c r="AA242" s="528"/>
      <c r="AB242" s="528"/>
      <c r="AC242" s="527"/>
      <c r="AD242" s="528"/>
      <c r="AE242" s="528"/>
      <c r="AF242" s="528"/>
      <c r="AG242" s="528"/>
      <c r="AH242" s="528"/>
      <c r="AI242" s="528"/>
      <c r="AJ242" s="527"/>
      <c r="AK242" s="528"/>
      <c r="AL242" s="528"/>
      <c r="AM242" s="528"/>
      <c r="AN242" s="528"/>
      <c r="AO242" s="528"/>
      <c r="AP242" s="541"/>
      <c r="AQ242" s="546"/>
      <c r="AR242" s="547"/>
      <c r="AS242" s="547"/>
      <c r="AT242" s="547"/>
      <c r="AU242" s="547"/>
      <c r="AV242" s="547"/>
      <c r="AW242" s="548"/>
      <c r="AX242" s="493"/>
      <c r="AY242" s="494"/>
      <c r="AZ242" s="105">
        <v>4</v>
      </c>
      <c r="BA242" s="483"/>
      <c r="BB242" s="484"/>
      <c r="BC242" s="484"/>
      <c r="BD242" s="485"/>
      <c r="BE242" s="486"/>
      <c r="BF242" s="487"/>
      <c r="BG242" s="106"/>
      <c r="BH242" s="488"/>
      <c r="BI242" s="489"/>
      <c r="BJ242" s="489"/>
      <c r="BK242" s="489"/>
      <c r="BL242" s="489"/>
      <c r="BM242" s="490"/>
      <c r="BN242" s="488"/>
      <c r="BO242" s="489"/>
      <c r="BP242" s="489"/>
      <c r="BQ242" s="489"/>
      <c r="BR242" s="489"/>
      <c r="BS242" s="490"/>
      <c r="BT242" s="488"/>
      <c r="BU242" s="489"/>
      <c r="BV242" s="489"/>
      <c r="BW242" s="489"/>
      <c r="BX242" s="489"/>
      <c r="BY242" s="490"/>
      <c r="BZ242" s="483"/>
      <c r="CA242" s="484"/>
      <c r="CB242" s="484"/>
      <c r="CC242" s="485"/>
      <c r="CD242" s="477"/>
      <c r="CE242" s="478"/>
      <c r="CF242" s="478"/>
      <c r="CG242" s="478"/>
      <c r="CH242" s="479"/>
      <c r="CI242" s="477"/>
      <c r="CJ242" s="478"/>
      <c r="CK242" s="478"/>
      <c r="CL242" s="478"/>
      <c r="CM242" s="479"/>
      <c r="CN242" s="477"/>
      <c r="CO242" s="478"/>
      <c r="CP242" s="478"/>
      <c r="CQ242" s="478"/>
      <c r="CR242" s="479"/>
      <c r="CS242" s="480"/>
      <c r="CT242" s="481"/>
      <c r="CU242" s="481"/>
      <c r="CV242" s="481"/>
      <c r="CW242" s="482"/>
    </row>
    <row r="243" spans="1:101" s="91" customFormat="1" ht="16.5" x14ac:dyDescent="0.15">
      <c r="A243" s="517"/>
      <c r="B243" s="102"/>
      <c r="C243" s="220" t="str">
        <f t="shared" ca="1" si="8"/>
        <v/>
      </c>
      <c r="D243" s="521"/>
      <c r="E243" s="522"/>
      <c r="F243" s="522"/>
      <c r="G243" s="522"/>
      <c r="H243" s="522"/>
      <c r="I243" s="522"/>
      <c r="J243" s="522"/>
      <c r="K243" s="527"/>
      <c r="L243" s="528"/>
      <c r="M243" s="528"/>
      <c r="N243" s="528"/>
      <c r="O243" s="528"/>
      <c r="P243" s="528"/>
      <c r="Q243" s="528"/>
      <c r="R243" s="533"/>
      <c r="S243" s="534"/>
      <c r="T243" s="533"/>
      <c r="U243" s="534"/>
      <c r="V243" s="527"/>
      <c r="W243" s="528"/>
      <c r="X243" s="528"/>
      <c r="Y243" s="528"/>
      <c r="Z243" s="528"/>
      <c r="AA243" s="528"/>
      <c r="AB243" s="528"/>
      <c r="AC243" s="527"/>
      <c r="AD243" s="528"/>
      <c r="AE243" s="528"/>
      <c r="AF243" s="528"/>
      <c r="AG243" s="528"/>
      <c r="AH243" s="528"/>
      <c r="AI243" s="528"/>
      <c r="AJ243" s="527"/>
      <c r="AK243" s="528"/>
      <c r="AL243" s="528"/>
      <c r="AM243" s="528"/>
      <c r="AN243" s="528"/>
      <c r="AO243" s="528"/>
      <c r="AP243" s="541"/>
      <c r="AQ243" s="546"/>
      <c r="AR243" s="547"/>
      <c r="AS243" s="547"/>
      <c r="AT243" s="547"/>
      <c r="AU243" s="547"/>
      <c r="AV243" s="547"/>
      <c r="AW243" s="548"/>
      <c r="AX243" s="493"/>
      <c r="AY243" s="494"/>
      <c r="AZ243" s="105">
        <v>5</v>
      </c>
      <c r="BA243" s="483"/>
      <c r="BB243" s="484"/>
      <c r="BC243" s="484"/>
      <c r="BD243" s="485"/>
      <c r="BE243" s="486"/>
      <c r="BF243" s="487"/>
      <c r="BG243" s="106"/>
      <c r="BH243" s="488"/>
      <c r="BI243" s="489"/>
      <c r="BJ243" s="489"/>
      <c r="BK243" s="489"/>
      <c r="BL243" s="489"/>
      <c r="BM243" s="490"/>
      <c r="BN243" s="488"/>
      <c r="BO243" s="489"/>
      <c r="BP243" s="489"/>
      <c r="BQ243" s="489"/>
      <c r="BR243" s="489"/>
      <c r="BS243" s="490"/>
      <c r="BT243" s="488"/>
      <c r="BU243" s="489"/>
      <c r="BV243" s="489"/>
      <c r="BW243" s="489"/>
      <c r="BX243" s="489"/>
      <c r="BY243" s="490"/>
      <c r="BZ243" s="483"/>
      <c r="CA243" s="484"/>
      <c r="CB243" s="484"/>
      <c r="CC243" s="485"/>
      <c r="CD243" s="477"/>
      <c r="CE243" s="478"/>
      <c r="CF243" s="478"/>
      <c r="CG243" s="478"/>
      <c r="CH243" s="479"/>
      <c r="CI243" s="477"/>
      <c r="CJ243" s="478"/>
      <c r="CK243" s="478"/>
      <c r="CL243" s="478"/>
      <c r="CM243" s="479"/>
      <c r="CN243" s="477"/>
      <c r="CO243" s="478"/>
      <c r="CP243" s="478"/>
      <c r="CQ243" s="478"/>
      <c r="CR243" s="479"/>
      <c r="CS243" s="480"/>
      <c r="CT243" s="481"/>
      <c r="CU243" s="481"/>
      <c r="CV243" s="481"/>
      <c r="CW243" s="482"/>
    </row>
    <row r="244" spans="1:101" s="91" customFormat="1" ht="16.5" x14ac:dyDescent="0.15">
      <c r="A244" s="518"/>
      <c r="B244" s="107"/>
      <c r="C244" s="219" t="str">
        <f t="shared" ca="1" si="8"/>
        <v/>
      </c>
      <c r="D244" s="523"/>
      <c r="E244" s="650"/>
      <c r="F244" s="650"/>
      <c r="G244" s="650"/>
      <c r="H244" s="650"/>
      <c r="I244" s="650"/>
      <c r="J244" s="650"/>
      <c r="K244" s="529"/>
      <c r="L244" s="539"/>
      <c r="M244" s="539"/>
      <c r="N244" s="539"/>
      <c r="O244" s="539"/>
      <c r="P244" s="539"/>
      <c r="Q244" s="539"/>
      <c r="R244" s="535"/>
      <c r="S244" s="537"/>
      <c r="T244" s="535"/>
      <c r="U244" s="537"/>
      <c r="V244" s="529"/>
      <c r="W244" s="539"/>
      <c r="X244" s="539"/>
      <c r="Y244" s="539"/>
      <c r="Z244" s="539"/>
      <c r="AA244" s="539"/>
      <c r="AB244" s="539"/>
      <c r="AC244" s="529"/>
      <c r="AD244" s="539"/>
      <c r="AE244" s="539"/>
      <c r="AF244" s="539"/>
      <c r="AG244" s="539"/>
      <c r="AH244" s="539"/>
      <c r="AI244" s="539"/>
      <c r="AJ244" s="529"/>
      <c r="AK244" s="539"/>
      <c r="AL244" s="539"/>
      <c r="AM244" s="539"/>
      <c r="AN244" s="539"/>
      <c r="AO244" s="539"/>
      <c r="AP244" s="542"/>
      <c r="AQ244" s="549"/>
      <c r="AR244" s="550"/>
      <c r="AS244" s="550"/>
      <c r="AT244" s="550"/>
      <c r="AU244" s="550"/>
      <c r="AV244" s="550"/>
      <c r="AW244" s="551"/>
      <c r="AX244" s="495"/>
      <c r="AY244" s="496"/>
      <c r="AZ244" s="112">
        <v>6</v>
      </c>
      <c r="BA244" s="513"/>
      <c r="BB244" s="514"/>
      <c r="BC244" s="514"/>
      <c r="BD244" s="515"/>
      <c r="BE244" s="644"/>
      <c r="BF244" s="645"/>
      <c r="BG244" s="111"/>
      <c r="BH244" s="646"/>
      <c r="BI244" s="647"/>
      <c r="BJ244" s="647"/>
      <c r="BK244" s="647"/>
      <c r="BL244" s="647"/>
      <c r="BM244" s="648"/>
      <c r="BN244" s="646"/>
      <c r="BO244" s="647"/>
      <c r="BP244" s="647"/>
      <c r="BQ244" s="647"/>
      <c r="BR244" s="647"/>
      <c r="BS244" s="648"/>
      <c r="BT244" s="646"/>
      <c r="BU244" s="647"/>
      <c r="BV244" s="647"/>
      <c r="BW244" s="647"/>
      <c r="BX244" s="647"/>
      <c r="BY244" s="648"/>
      <c r="BZ244" s="513"/>
      <c r="CA244" s="514"/>
      <c r="CB244" s="514"/>
      <c r="CC244" s="515"/>
      <c r="CD244" s="477"/>
      <c r="CE244" s="478"/>
      <c r="CF244" s="478"/>
      <c r="CG244" s="478"/>
      <c r="CH244" s="479"/>
      <c r="CI244" s="477"/>
      <c r="CJ244" s="478"/>
      <c r="CK244" s="478"/>
      <c r="CL244" s="478"/>
      <c r="CM244" s="479"/>
      <c r="CN244" s="477"/>
      <c r="CO244" s="478"/>
      <c r="CP244" s="478"/>
      <c r="CQ244" s="478"/>
      <c r="CR244" s="479"/>
      <c r="CS244" s="480"/>
      <c r="CT244" s="481"/>
      <c r="CU244" s="481"/>
      <c r="CV244" s="481"/>
      <c r="CW244" s="482"/>
    </row>
    <row r="245" spans="1:101" s="91" customFormat="1" ht="16.5" x14ac:dyDescent="0.15">
      <c r="A245" s="516">
        <v>40</v>
      </c>
      <c r="B245" s="102"/>
      <c r="C245" s="222" t="str">
        <f t="shared" ca="1" si="8"/>
        <v/>
      </c>
      <c r="D245" s="519"/>
      <c r="E245" s="649"/>
      <c r="F245" s="649"/>
      <c r="G245" s="649"/>
      <c r="H245" s="649"/>
      <c r="I245" s="649"/>
      <c r="J245" s="649"/>
      <c r="K245" s="525"/>
      <c r="L245" s="538"/>
      <c r="M245" s="538"/>
      <c r="N245" s="538"/>
      <c r="O245" s="538"/>
      <c r="P245" s="538"/>
      <c r="Q245" s="538"/>
      <c r="R245" s="531"/>
      <c r="S245" s="532"/>
      <c r="T245" s="531"/>
      <c r="U245" s="532"/>
      <c r="V245" s="525"/>
      <c r="W245" s="538"/>
      <c r="X245" s="538"/>
      <c r="Y245" s="538"/>
      <c r="Z245" s="538"/>
      <c r="AA245" s="538"/>
      <c r="AB245" s="538"/>
      <c r="AC245" s="525"/>
      <c r="AD245" s="538"/>
      <c r="AE245" s="538"/>
      <c r="AF245" s="538"/>
      <c r="AG245" s="538"/>
      <c r="AH245" s="538"/>
      <c r="AI245" s="538"/>
      <c r="AJ245" s="525"/>
      <c r="AK245" s="538"/>
      <c r="AL245" s="538"/>
      <c r="AM245" s="538"/>
      <c r="AN245" s="538"/>
      <c r="AO245" s="538"/>
      <c r="AP245" s="540"/>
      <c r="AQ245" s="543"/>
      <c r="AR245" s="544"/>
      <c r="AS245" s="544"/>
      <c r="AT245" s="544"/>
      <c r="AU245" s="544"/>
      <c r="AV245" s="544"/>
      <c r="AW245" s="545"/>
      <c r="AX245" s="491"/>
      <c r="AY245" s="492"/>
      <c r="AZ245" s="103">
        <v>1</v>
      </c>
      <c r="BA245" s="497"/>
      <c r="BB245" s="498"/>
      <c r="BC245" s="498"/>
      <c r="BD245" s="499"/>
      <c r="BE245" s="500"/>
      <c r="BF245" s="501"/>
      <c r="BG245" s="110"/>
      <c r="BH245" s="502"/>
      <c r="BI245" s="503"/>
      <c r="BJ245" s="503"/>
      <c r="BK245" s="503"/>
      <c r="BL245" s="503"/>
      <c r="BM245" s="504"/>
      <c r="BN245" s="502"/>
      <c r="BO245" s="503"/>
      <c r="BP245" s="503"/>
      <c r="BQ245" s="503"/>
      <c r="BR245" s="503"/>
      <c r="BS245" s="504"/>
      <c r="BT245" s="502"/>
      <c r="BU245" s="503"/>
      <c r="BV245" s="503"/>
      <c r="BW245" s="503"/>
      <c r="BX245" s="503"/>
      <c r="BY245" s="504"/>
      <c r="BZ245" s="497"/>
      <c r="CA245" s="498"/>
      <c r="CB245" s="498"/>
      <c r="CC245" s="499"/>
      <c r="CD245" s="477"/>
      <c r="CE245" s="478"/>
      <c r="CF245" s="478"/>
      <c r="CG245" s="478"/>
      <c r="CH245" s="479"/>
      <c r="CI245" s="477"/>
      <c r="CJ245" s="478"/>
      <c r="CK245" s="478"/>
      <c r="CL245" s="478"/>
      <c r="CM245" s="479"/>
      <c r="CN245" s="477"/>
      <c r="CO245" s="478"/>
      <c r="CP245" s="478"/>
      <c r="CQ245" s="478"/>
      <c r="CR245" s="479"/>
      <c r="CS245" s="480"/>
      <c r="CT245" s="481"/>
      <c r="CU245" s="481"/>
      <c r="CV245" s="481"/>
      <c r="CW245" s="482"/>
    </row>
    <row r="246" spans="1:101" s="91" customFormat="1" ht="16.5" x14ac:dyDescent="0.15">
      <c r="A246" s="517"/>
      <c r="B246" s="102"/>
      <c r="C246" s="220" t="str">
        <f t="shared" ca="1" si="8"/>
        <v/>
      </c>
      <c r="D246" s="521"/>
      <c r="E246" s="522"/>
      <c r="F246" s="522"/>
      <c r="G246" s="522"/>
      <c r="H246" s="522"/>
      <c r="I246" s="522"/>
      <c r="J246" s="522"/>
      <c r="K246" s="527"/>
      <c r="L246" s="528"/>
      <c r="M246" s="528"/>
      <c r="N246" s="528"/>
      <c r="O246" s="528"/>
      <c r="P246" s="528"/>
      <c r="Q246" s="528"/>
      <c r="R246" s="533"/>
      <c r="S246" s="534"/>
      <c r="T246" s="533"/>
      <c r="U246" s="534"/>
      <c r="V246" s="527"/>
      <c r="W246" s="528"/>
      <c r="X246" s="528"/>
      <c r="Y246" s="528"/>
      <c r="Z246" s="528"/>
      <c r="AA246" s="528"/>
      <c r="AB246" s="528"/>
      <c r="AC246" s="527"/>
      <c r="AD246" s="528"/>
      <c r="AE246" s="528"/>
      <c r="AF246" s="528"/>
      <c r="AG246" s="528"/>
      <c r="AH246" s="528"/>
      <c r="AI246" s="528"/>
      <c r="AJ246" s="527"/>
      <c r="AK246" s="528"/>
      <c r="AL246" s="528"/>
      <c r="AM246" s="528"/>
      <c r="AN246" s="528"/>
      <c r="AO246" s="528"/>
      <c r="AP246" s="541"/>
      <c r="AQ246" s="546"/>
      <c r="AR246" s="547"/>
      <c r="AS246" s="547"/>
      <c r="AT246" s="547"/>
      <c r="AU246" s="547"/>
      <c r="AV246" s="547"/>
      <c r="AW246" s="548"/>
      <c r="AX246" s="493"/>
      <c r="AY246" s="494"/>
      <c r="AZ246" s="105">
        <v>2</v>
      </c>
      <c r="BA246" s="483"/>
      <c r="BB246" s="484"/>
      <c r="BC246" s="484"/>
      <c r="BD246" s="485"/>
      <c r="BE246" s="486"/>
      <c r="BF246" s="487"/>
      <c r="BG246" s="106"/>
      <c r="BH246" s="488"/>
      <c r="BI246" s="489"/>
      <c r="BJ246" s="489"/>
      <c r="BK246" s="489"/>
      <c r="BL246" s="489"/>
      <c r="BM246" s="490"/>
      <c r="BN246" s="488"/>
      <c r="BO246" s="489"/>
      <c r="BP246" s="489"/>
      <c r="BQ246" s="489"/>
      <c r="BR246" s="489"/>
      <c r="BS246" s="490"/>
      <c r="BT246" s="488"/>
      <c r="BU246" s="489"/>
      <c r="BV246" s="489"/>
      <c r="BW246" s="489"/>
      <c r="BX246" s="489"/>
      <c r="BY246" s="490"/>
      <c r="BZ246" s="483"/>
      <c r="CA246" s="484"/>
      <c r="CB246" s="484"/>
      <c r="CC246" s="485"/>
      <c r="CD246" s="477"/>
      <c r="CE246" s="478"/>
      <c r="CF246" s="478"/>
      <c r="CG246" s="478"/>
      <c r="CH246" s="479"/>
      <c r="CI246" s="477"/>
      <c r="CJ246" s="478"/>
      <c r="CK246" s="478"/>
      <c r="CL246" s="478"/>
      <c r="CM246" s="479"/>
      <c r="CN246" s="477"/>
      <c r="CO246" s="478"/>
      <c r="CP246" s="478"/>
      <c r="CQ246" s="478"/>
      <c r="CR246" s="479"/>
      <c r="CS246" s="480"/>
      <c r="CT246" s="481"/>
      <c r="CU246" s="481"/>
      <c r="CV246" s="481"/>
      <c r="CW246" s="482"/>
    </row>
    <row r="247" spans="1:101" s="91" customFormat="1" ht="16.5" x14ac:dyDescent="0.15">
      <c r="A247" s="517"/>
      <c r="B247" s="102"/>
      <c r="C247" s="220" t="str">
        <f t="shared" ca="1" si="8"/>
        <v/>
      </c>
      <c r="D247" s="521"/>
      <c r="E247" s="522"/>
      <c r="F247" s="522"/>
      <c r="G247" s="522"/>
      <c r="H247" s="522"/>
      <c r="I247" s="522"/>
      <c r="J247" s="522"/>
      <c r="K247" s="527"/>
      <c r="L247" s="528"/>
      <c r="M247" s="528"/>
      <c r="N247" s="528"/>
      <c r="O247" s="528"/>
      <c r="P247" s="528"/>
      <c r="Q247" s="528"/>
      <c r="R247" s="533"/>
      <c r="S247" s="534"/>
      <c r="T247" s="533"/>
      <c r="U247" s="534"/>
      <c r="V247" s="527"/>
      <c r="W247" s="528"/>
      <c r="X247" s="528"/>
      <c r="Y247" s="528"/>
      <c r="Z247" s="528"/>
      <c r="AA247" s="528"/>
      <c r="AB247" s="528"/>
      <c r="AC247" s="527"/>
      <c r="AD247" s="528"/>
      <c r="AE247" s="528"/>
      <c r="AF247" s="528"/>
      <c r="AG247" s="528"/>
      <c r="AH247" s="528"/>
      <c r="AI247" s="528"/>
      <c r="AJ247" s="527"/>
      <c r="AK247" s="528"/>
      <c r="AL247" s="528"/>
      <c r="AM247" s="528"/>
      <c r="AN247" s="528"/>
      <c r="AO247" s="528"/>
      <c r="AP247" s="541"/>
      <c r="AQ247" s="546"/>
      <c r="AR247" s="547"/>
      <c r="AS247" s="547"/>
      <c r="AT247" s="547"/>
      <c r="AU247" s="547"/>
      <c r="AV247" s="547"/>
      <c r="AW247" s="548"/>
      <c r="AX247" s="493"/>
      <c r="AY247" s="494"/>
      <c r="AZ247" s="105">
        <v>3</v>
      </c>
      <c r="BA247" s="483"/>
      <c r="BB247" s="484"/>
      <c r="BC247" s="484"/>
      <c r="BD247" s="485"/>
      <c r="BE247" s="486"/>
      <c r="BF247" s="487"/>
      <c r="BG247" s="106"/>
      <c r="BH247" s="488"/>
      <c r="BI247" s="489"/>
      <c r="BJ247" s="489"/>
      <c r="BK247" s="489"/>
      <c r="BL247" s="489"/>
      <c r="BM247" s="490"/>
      <c r="BN247" s="488"/>
      <c r="BO247" s="489"/>
      <c r="BP247" s="489"/>
      <c r="BQ247" s="489"/>
      <c r="BR247" s="489"/>
      <c r="BS247" s="490"/>
      <c r="BT247" s="488"/>
      <c r="BU247" s="489"/>
      <c r="BV247" s="489"/>
      <c r="BW247" s="489"/>
      <c r="BX247" s="489"/>
      <c r="BY247" s="490"/>
      <c r="BZ247" s="483"/>
      <c r="CA247" s="484"/>
      <c r="CB247" s="484"/>
      <c r="CC247" s="485"/>
      <c r="CD247" s="477"/>
      <c r="CE247" s="478"/>
      <c r="CF247" s="478"/>
      <c r="CG247" s="478"/>
      <c r="CH247" s="479"/>
      <c r="CI247" s="477"/>
      <c r="CJ247" s="478"/>
      <c r="CK247" s="478"/>
      <c r="CL247" s="478"/>
      <c r="CM247" s="479"/>
      <c r="CN247" s="477"/>
      <c r="CO247" s="478"/>
      <c r="CP247" s="478"/>
      <c r="CQ247" s="478"/>
      <c r="CR247" s="479"/>
      <c r="CS247" s="480"/>
      <c r="CT247" s="481"/>
      <c r="CU247" s="481"/>
      <c r="CV247" s="481"/>
      <c r="CW247" s="482"/>
    </row>
    <row r="248" spans="1:101" s="91" customFormat="1" ht="16.5" x14ac:dyDescent="0.15">
      <c r="A248" s="517"/>
      <c r="B248" s="102"/>
      <c r="C248" s="220" t="str">
        <f t="shared" ca="1" si="8"/>
        <v/>
      </c>
      <c r="D248" s="521"/>
      <c r="E248" s="522"/>
      <c r="F248" s="522"/>
      <c r="G248" s="522"/>
      <c r="H248" s="522"/>
      <c r="I248" s="522"/>
      <c r="J248" s="522"/>
      <c r="K248" s="527"/>
      <c r="L248" s="528"/>
      <c r="M248" s="528"/>
      <c r="N248" s="528"/>
      <c r="O248" s="528"/>
      <c r="P248" s="528"/>
      <c r="Q248" s="528"/>
      <c r="R248" s="533"/>
      <c r="S248" s="534"/>
      <c r="T248" s="533"/>
      <c r="U248" s="534"/>
      <c r="V248" s="527"/>
      <c r="W248" s="528"/>
      <c r="X248" s="528"/>
      <c r="Y248" s="528"/>
      <c r="Z248" s="528"/>
      <c r="AA248" s="528"/>
      <c r="AB248" s="528"/>
      <c r="AC248" s="527"/>
      <c r="AD248" s="528"/>
      <c r="AE248" s="528"/>
      <c r="AF248" s="528"/>
      <c r="AG248" s="528"/>
      <c r="AH248" s="528"/>
      <c r="AI248" s="528"/>
      <c r="AJ248" s="527"/>
      <c r="AK248" s="528"/>
      <c r="AL248" s="528"/>
      <c r="AM248" s="528"/>
      <c r="AN248" s="528"/>
      <c r="AO248" s="528"/>
      <c r="AP248" s="541"/>
      <c r="AQ248" s="546"/>
      <c r="AR248" s="547"/>
      <c r="AS248" s="547"/>
      <c r="AT248" s="547"/>
      <c r="AU248" s="547"/>
      <c r="AV248" s="547"/>
      <c r="AW248" s="548"/>
      <c r="AX248" s="493"/>
      <c r="AY248" s="494"/>
      <c r="AZ248" s="105">
        <v>4</v>
      </c>
      <c r="BA248" s="483"/>
      <c r="BB248" s="484"/>
      <c r="BC248" s="484"/>
      <c r="BD248" s="485"/>
      <c r="BE248" s="486"/>
      <c r="BF248" s="487"/>
      <c r="BG248" s="106"/>
      <c r="BH248" s="488"/>
      <c r="BI248" s="489"/>
      <c r="BJ248" s="489"/>
      <c r="BK248" s="489"/>
      <c r="BL248" s="489"/>
      <c r="BM248" s="490"/>
      <c r="BN248" s="488"/>
      <c r="BO248" s="489"/>
      <c r="BP248" s="489"/>
      <c r="BQ248" s="489"/>
      <c r="BR248" s="489"/>
      <c r="BS248" s="490"/>
      <c r="BT248" s="488"/>
      <c r="BU248" s="489"/>
      <c r="BV248" s="489"/>
      <c r="BW248" s="489"/>
      <c r="BX248" s="489"/>
      <c r="BY248" s="490"/>
      <c r="BZ248" s="483"/>
      <c r="CA248" s="484"/>
      <c r="CB248" s="484"/>
      <c r="CC248" s="485"/>
      <c r="CD248" s="477"/>
      <c r="CE248" s="478"/>
      <c r="CF248" s="478"/>
      <c r="CG248" s="478"/>
      <c r="CH248" s="479"/>
      <c r="CI248" s="477"/>
      <c r="CJ248" s="478"/>
      <c r="CK248" s="478"/>
      <c r="CL248" s="478"/>
      <c r="CM248" s="479"/>
      <c r="CN248" s="477"/>
      <c r="CO248" s="478"/>
      <c r="CP248" s="478"/>
      <c r="CQ248" s="478"/>
      <c r="CR248" s="479"/>
      <c r="CS248" s="480"/>
      <c r="CT248" s="481"/>
      <c r="CU248" s="481"/>
      <c r="CV248" s="481"/>
      <c r="CW248" s="482"/>
    </row>
    <row r="249" spans="1:101" s="91" customFormat="1" ht="16.5" x14ac:dyDescent="0.15">
      <c r="A249" s="517"/>
      <c r="B249" s="102"/>
      <c r="C249" s="220" t="str">
        <f t="shared" ca="1" si="8"/>
        <v/>
      </c>
      <c r="D249" s="521"/>
      <c r="E249" s="522"/>
      <c r="F249" s="522"/>
      <c r="G249" s="522"/>
      <c r="H249" s="522"/>
      <c r="I249" s="522"/>
      <c r="J249" s="522"/>
      <c r="K249" s="527"/>
      <c r="L249" s="528"/>
      <c r="M249" s="528"/>
      <c r="N249" s="528"/>
      <c r="O249" s="528"/>
      <c r="P249" s="528"/>
      <c r="Q249" s="528"/>
      <c r="R249" s="533"/>
      <c r="S249" s="534"/>
      <c r="T249" s="533"/>
      <c r="U249" s="534"/>
      <c r="V249" s="527"/>
      <c r="W249" s="528"/>
      <c r="X249" s="528"/>
      <c r="Y249" s="528"/>
      <c r="Z249" s="528"/>
      <c r="AA249" s="528"/>
      <c r="AB249" s="528"/>
      <c r="AC249" s="527"/>
      <c r="AD249" s="528"/>
      <c r="AE249" s="528"/>
      <c r="AF249" s="528"/>
      <c r="AG249" s="528"/>
      <c r="AH249" s="528"/>
      <c r="AI249" s="528"/>
      <c r="AJ249" s="527"/>
      <c r="AK249" s="528"/>
      <c r="AL249" s="528"/>
      <c r="AM249" s="528"/>
      <c r="AN249" s="528"/>
      <c r="AO249" s="528"/>
      <c r="AP249" s="541"/>
      <c r="AQ249" s="546"/>
      <c r="AR249" s="547"/>
      <c r="AS249" s="547"/>
      <c r="AT249" s="547"/>
      <c r="AU249" s="547"/>
      <c r="AV249" s="547"/>
      <c r="AW249" s="548"/>
      <c r="AX249" s="493"/>
      <c r="AY249" s="494"/>
      <c r="AZ249" s="105">
        <v>5</v>
      </c>
      <c r="BA249" s="483"/>
      <c r="BB249" s="484"/>
      <c r="BC249" s="484"/>
      <c r="BD249" s="485"/>
      <c r="BE249" s="486"/>
      <c r="BF249" s="487"/>
      <c r="BG249" s="106"/>
      <c r="BH249" s="488"/>
      <c r="BI249" s="489"/>
      <c r="BJ249" s="489"/>
      <c r="BK249" s="489"/>
      <c r="BL249" s="489"/>
      <c r="BM249" s="490"/>
      <c r="BN249" s="488"/>
      <c r="BO249" s="489"/>
      <c r="BP249" s="489"/>
      <c r="BQ249" s="489"/>
      <c r="BR249" s="489"/>
      <c r="BS249" s="490"/>
      <c r="BT249" s="488"/>
      <c r="BU249" s="489"/>
      <c r="BV249" s="489"/>
      <c r="BW249" s="489"/>
      <c r="BX249" s="489"/>
      <c r="BY249" s="490"/>
      <c r="BZ249" s="483"/>
      <c r="CA249" s="484"/>
      <c r="CB249" s="484"/>
      <c r="CC249" s="485"/>
      <c r="CD249" s="477"/>
      <c r="CE249" s="478"/>
      <c r="CF249" s="478"/>
      <c r="CG249" s="478"/>
      <c r="CH249" s="479"/>
      <c r="CI249" s="477"/>
      <c r="CJ249" s="478"/>
      <c r="CK249" s="478"/>
      <c r="CL249" s="478"/>
      <c r="CM249" s="479"/>
      <c r="CN249" s="477"/>
      <c r="CO249" s="478"/>
      <c r="CP249" s="478"/>
      <c r="CQ249" s="478"/>
      <c r="CR249" s="479"/>
      <c r="CS249" s="480"/>
      <c r="CT249" s="481"/>
      <c r="CU249" s="481"/>
      <c r="CV249" s="481"/>
      <c r="CW249" s="482"/>
    </row>
    <row r="250" spans="1:101" s="91" customFormat="1" ht="16.5" x14ac:dyDescent="0.15">
      <c r="A250" s="518"/>
      <c r="B250" s="107"/>
      <c r="C250" s="220" t="str">
        <f t="shared" ca="1" si="8"/>
        <v/>
      </c>
      <c r="D250" s="523"/>
      <c r="E250" s="650"/>
      <c r="F250" s="650"/>
      <c r="G250" s="650"/>
      <c r="H250" s="650"/>
      <c r="I250" s="650"/>
      <c r="J250" s="650"/>
      <c r="K250" s="529"/>
      <c r="L250" s="539"/>
      <c r="M250" s="539"/>
      <c r="N250" s="539"/>
      <c r="O250" s="539"/>
      <c r="P250" s="539"/>
      <c r="Q250" s="539"/>
      <c r="R250" s="535"/>
      <c r="S250" s="537"/>
      <c r="T250" s="535"/>
      <c r="U250" s="537"/>
      <c r="V250" s="529"/>
      <c r="W250" s="539"/>
      <c r="X250" s="539"/>
      <c r="Y250" s="539"/>
      <c r="Z250" s="539"/>
      <c r="AA250" s="539"/>
      <c r="AB250" s="539"/>
      <c r="AC250" s="529"/>
      <c r="AD250" s="539"/>
      <c r="AE250" s="539"/>
      <c r="AF250" s="539"/>
      <c r="AG250" s="539"/>
      <c r="AH250" s="539"/>
      <c r="AI250" s="539"/>
      <c r="AJ250" s="529"/>
      <c r="AK250" s="539"/>
      <c r="AL250" s="539"/>
      <c r="AM250" s="539"/>
      <c r="AN250" s="539"/>
      <c r="AO250" s="539"/>
      <c r="AP250" s="542"/>
      <c r="AQ250" s="549"/>
      <c r="AR250" s="550"/>
      <c r="AS250" s="550"/>
      <c r="AT250" s="550"/>
      <c r="AU250" s="550"/>
      <c r="AV250" s="550"/>
      <c r="AW250" s="551"/>
      <c r="AX250" s="495"/>
      <c r="AY250" s="496"/>
      <c r="AZ250" s="108">
        <v>6</v>
      </c>
      <c r="BA250" s="513"/>
      <c r="BB250" s="514"/>
      <c r="BC250" s="514"/>
      <c r="BD250" s="515"/>
      <c r="BE250" s="644"/>
      <c r="BF250" s="645"/>
      <c r="BG250" s="111"/>
      <c r="BH250" s="510"/>
      <c r="BI250" s="511"/>
      <c r="BJ250" s="511"/>
      <c r="BK250" s="511"/>
      <c r="BL250" s="511"/>
      <c r="BM250" s="512"/>
      <c r="BN250" s="510"/>
      <c r="BO250" s="511"/>
      <c r="BP250" s="511"/>
      <c r="BQ250" s="511"/>
      <c r="BR250" s="511"/>
      <c r="BS250" s="512"/>
      <c r="BT250" s="510"/>
      <c r="BU250" s="511"/>
      <c r="BV250" s="511"/>
      <c r="BW250" s="511"/>
      <c r="BX250" s="511"/>
      <c r="BY250" s="512"/>
      <c r="BZ250" s="513"/>
      <c r="CA250" s="514"/>
      <c r="CB250" s="514"/>
      <c r="CC250" s="515"/>
      <c r="CD250" s="477"/>
      <c r="CE250" s="478"/>
      <c r="CF250" s="478"/>
      <c r="CG250" s="478"/>
      <c r="CH250" s="479"/>
      <c r="CI250" s="477"/>
      <c r="CJ250" s="478"/>
      <c r="CK250" s="478"/>
      <c r="CL250" s="478"/>
      <c r="CM250" s="479"/>
      <c r="CN250" s="477"/>
      <c r="CO250" s="478"/>
      <c r="CP250" s="478"/>
      <c r="CQ250" s="478"/>
      <c r="CR250" s="479"/>
      <c r="CS250" s="480"/>
      <c r="CT250" s="481"/>
      <c r="CU250" s="481"/>
      <c r="CV250" s="481"/>
      <c r="CW250" s="482"/>
    </row>
    <row r="251" spans="1:101" s="91" customFormat="1" ht="16.5" x14ac:dyDescent="0.15">
      <c r="A251" s="516">
        <v>41</v>
      </c>
      <c r="B251" s="102"/>
      <c r="C251" s="216" t="str">
        <f t="shared" ca="1" si="8"/>
        <v/>
      </c>
      <c r="D251" s="519"/>
      <c r="E251" s="649"/>
      <c r="F251" s="649"/>
      <c r="G251" s="649"/>
      <c r="H251" s="649"/>
      <c r="I251" s="649"/>
      <c r="J251" s="649"/>
      <c r="K251" s="525"/>
      <c r="L251" s="538"/>
      <c r="M251" s="538"/>
      <c r="N251" s="538"/>
      <c r="O251" s="538"/>
      <c r="P251" s="538"/>
      <c r="Q251" s="538"/>
      <c r="R251" s="531"/>
      <c r="S251" s="532"/>
      <c r="T251" s="531"/>
      <c r="U251" s="532"/>
      <c r="V251" s="525"/>
      <c r="W251" s="538"/>
      <c r="X251" s="538"/>
      <c r="Y251" s="538"/>
      <c r="Z251" s="538"/>
      <c r="AA251" s="538"/>
      <c r="AB251" s="538"/>
      <c r="AC251" s="525"/>
      <c r="AD251" s="538"/>
      <c r="AE251" s="538"/>
      <c r="AF251" s="538"/>
      <c r="AG251" s="538"/>
      <c r="AH251" s="538"/>
      <c r="AI251" s="538"/>
      <c r="AJ251" s="525"/>
      <c r="AK251" s="538"/>
      <c r="AL251" s="538"/>
      <c r="AM251" s="538"/>
      <c r="AN251" s="538"/>
      <c r="AO251" s="538"/>
      <c r="AP251" s="540"/>
      <c r="AQ251" s="543"/>
      <c r="AR251" s="544"/>
      <c r="AS251" s="544"/>
      <c r="AT251" s="544"/>
      <c r="AU251" s="544"/>
      <c r="AV251" s="544"/>
      <c r="AW251" s="545"/>
      <c r="AX251" s="491"/>
      <c r="AY251" s="492"/>
      <c r="AZ251" s="103">
        <v>1</v>
      </c>
      <c r="BA251" s="552"/>
      <c r="BB251" s="553"/>
      <c r="BC251" s="553"/>
      <c r="BD251" s="554"/>
      <c r="BE251" s="500"/>
      <c r="BF251" s="501"/>
      <c r="BG251" s="104"/>
      <c r="BH251" s="502"/>
      <c r="BI251" s="503"/>
      <c r="BJ251" s="503"/>
      <c r="BK251" s="503"/>
      <c r="BL251" s="503"/>
      <c r="BM251" s="504"/>
      <c r="BN251" s="502"/>
      <c r="BO251" s="503"/>
      <c r="BP251" s="503"/>
      <c r="BQ251" s="503"/>
      <c r="BR251" s="503"/>
      <c r="BS251" s="504"/>
      <c r="BT251" s="502"/>
      <c r="BU251" s="503"/>
      <c r="BV251" s="503"/>
      <c r="BW251" s="503"/>
      <c r="BX251" s="503"/>
      <c r="BY251" s="504"/>
      <c r="BZ251" s="552"/>
      <c r="CA251" s="553"/>
      <c r="CB251" s="553"/>
      <c r="CC251" s="554"/>
      <c r="CD251" s="477"/>
      <c r="CE251" s="478"/>
      <c r="CF251" s="478"/>
      <c r="CG251" s="478"/>
      <c r="CH251" s="479"/>
      <c r="CI251" s="477"/>
      <c r="CJ251" s="478"/>
      <c r="CK251" s="478"/>
      <c r="CL251" s="478"/>
      <c r="CM251" s="479"/>
      <c r="CN251" s="477"/>
      <c r="CO251" s="478"/>
      <c r="CP251" s="478"/>
      <c r="CQ251" s="478"/>
      <c r="CR251" s="479"/>
      <c r="CS251" s="480"/>
      <c r="CT251" s="481"/>
      <c r="CU251" s="481"/>
      <c r="CV251" s="481"/>
      <c r="CW251" s="482"/>
    </row>
    <row r="252" spans="1:101" s="91" customFormat="1" ht="16.5" x14ac:dyDescent="0.15">
      <c r="A252" s="517"/>
      <c r="B252" s="102"/>
      <c r="C252" s="220" t="str">
        <f t="shared" ca="1" si="8"/>
        <v/>
      </c>
      <c r="D252" s="521"/>
      <c r="E252" s="522"/>
      <c r="F252" s="522"/>
      <c r="G252" s="522"/>
      <c r="H252" s="522"/>
      <c r="I252" s="522"/>
      <c r="J252" s="522"/>
      <c r="K252" s="527"/>
      <c r="L252" s="528"/>
      <c r="M252" s="528"/>
      <c r="N252" s="528"/>
      <c r="O252" s="528"/>
      <c r="P252" s="528"/>
      <c r="Q252" s="528"/>
      <c r="R252" s="533"/>
      <c r="S252" s="534"/>
      <c r="T252" s="533"/>
      <c r="U252" s="534"/>
      <c r="V252" s="527"/>
      <c r="W252" s="528"/>
      <c r="X252" s="528"/>
      <c r="Y252" s="528"/>
      <c r="Z252" s="528"/>
      <c r="AA252" s="528"/>
      <c r="AB252" s="528"/>
      <c r="AC252" s="527"/>
      <c r="AD252" s="528"/>
      <c r="AE252" s="528"/>
      <c r="AF252" s="528"/>
      <c r="AG252" s="528"/>
      <c r="AH252" s="528"/>
      <c r="AI252" s="528"/>
      <c r="AJ252" s="527"/>
      <c r="AK252" s="528"/>
      <c r="AL252" s="528"/>
      <c r="AM252" s="528"/>
      <c r="AN252" s="528"/>
      <c r="AO252" s="528"/>
      <c r="AP252" s="541"/>
      <c r="AQ252" s="546"/>
      <c r="AR252" s="547"/>
      <c r="AS252" s="547"/>
      <c r="AT252" s="547"/>
      <c r="AU252" s="547"/>
      <c r="AV252" s="547"/>
      <c r="AW252" s="548"/>
      <c r="AX252" s="493"/>
      <c r="AY252" s="494"/>
      <c r="AZ252" s="105">
        <v>2</v>
      </c>
      <c r="BA252" s="483"/>
      <c r="BB252" s="484"/>
      <c r="BC252" s="484"/>
      <c r="BD252" s="485"/>
      <c r="BE252" s="486"/>
      <c r="BF252" s="487"/>
      <c r="BG252" s="106"/>
      <c r="BH252" s="488"/>
      <c r="BI252" s="489"/>
      <c r="BJ252" s="489"/>
      <c r="BK252" s="489"/>
      <c r="BL252" s="489"/>
      <c r="BM252" s="490"/>
      <c r="BN252" s="488"/>
      <c r="BO252" s="489"/>
      <c r="BP252" s="489"/>
      <c r="BQ252" s="489"/>
      <c r="BR252" s="489"/>
      <c r="BS252" s="490"/>
      <c r="BT252" s="488"/>
      <c r="BU252" s="489"/>
      <c r="BV252" s="489"/>
      <c r="BW252" s="489"/>
      <c r="BX252" s="489"/>
      <c r="BY252" s="490"/>
      <c r="BZ252" s="483"/>
      <c r="CA252" s="484"/>
      <c r="CB252" s="484"/>
      <c r="CC252" s="485"/>
      <c r="CD252" s="477"/>
      <c r="CE252" s="478"/>
      <c r="CF252" s="478"/>
      <c r="CG252" s="478"/>
      <c r="CH252" s="479"/>
      <c r="CI252" s="477"/>
      <c r="CJ252" s="478"/>
      <c r="CK252" s="478"/>
      <c r="CL252" s="478"/>
      <c r="CM252" s="479"/>
      <c r="CN252" s="477"/>
      <c r="CO252" s="478"/>
      <c r="CP252" s="478"/>
      <c r="CQ252" s="478"/>
      <c r="CR252" s="479"/>
      <c r="CS252" s="480"/>
      <c r="CT252" s="481"/>
      <c r="CU252" s="481"/>
      <c r="CV252" s="481"/>
      <c r="CW252" s="482"/>
    </row>
    <row r="253" spans="1:101" s="91" customFormat="1" ht="16.5" x14ac:dyDescent="0.15">
      <c r="A253" s="517"/>
      <c r="B253" s="102"/>
      <c r="C253" s="220" t="str">
        <f t="shared" ca="1" si="8"/>
        <v/>
      </c>
      <c r="D253" s="521"/>
      <c r="E253" s="522"/>
      <c r="F253" s="522"/>
      <c r="G253" s="522"/>
      <c r="H253" s="522"/>
      <c r="I253" s="522"/>
      <c r="J253" s="522"/>
      <c r="K253" s="527"/>
      <c r="L253" s="528"/>
      <c r="M253" s="528"/>
      <c r="N253" s="528"/>
      <c r="O253" s="528"/>
      <c r="P253" s="528"/>
      <c r="Q253" s="528"/>
      <c r="R253" s="533"/>
      <c r="S253" s="534"/>
      <c r="T253" s="533"/>
      <c r="U253" s="534"/>
      <c r="V253" s="527"/>
      <c r="W253" s="528"/>
      <c r="X253" s="528"/>
      <c r="Y253" s="528"/>
      <c r="Z253" s="528"/>
      <c r="AA253" s="528"/>
      <c r="AB253" s="528"/>
      <c r="AC253" s="527"/>
      <c r="AD253" s="528"/>
      <c r="AE253" s="528"/>
      <c r="AF253" s="528"/>
      <c r="AG253" s="528"/>
      <c r="AH253" s="528"/>
      <c r="AI253" s="528"/>
      <c r="AJ253" s="527"/>
      <c r="AK253" s="528"/>
      <c r="AL253" s="528"/>
      <c r="AM253" s="528"/>
      <c r="AN253" s="528"/>
      <c r="AO253" s="528"/>
      <c r="AP253" s="541"/>
      <c r="AQ253" s="546"/>
      <c r="AR253" s="547"/>
      <c r="AS253" s="547"/>
      <c r="AT253" s="547"/>
      <c r="AU253" s="547"/>
      <c r="AV253" s="547"/>
      <c r="AW253" s="548"/>
      <c r="AX253" s="493"/>
      <c r="AY253" s="494"/>
      <c r="AZ253" s="105">
        <v>3</v>
      </c>
      <c r="BA253" s="483"/>
      <c r="BB253" s="484"/>
      <c r="BC253" s="484"/>
      <c r="BD253" s="485"/>
      <c r="BE253" s="486"/>
      <c r="BF253" s="487"/>
      <c r="BG253" s="106"/>
      <c r="BH253" s="488"/>
      <c r="BI253" s="489"/>
      <c r="BJ253" s="489"/>
      <c r="BK253" s="489"/>
      <c r="BL253" s="489"/>
      <c r="BM253" s="490"/>
      <c r="BN253" s="488"/>
      <c r="BO253" s="489"/>
      <c r="BP253" s="489"/>
      <c r="BQ253" s="489"/>
      <c r="BR253" s="489"/>
      <c r="BS253" s="490"/>
      <c r="BT253" s="488"/>
      <c r="BU253" s="489"/>
      <c r="BV253" s="489"/>
      <c r="BW253" s="489"/>
      <c r="BX253" s="489"/>
      <c r="BY253" s="490"/>
      <c r="BZ253" s="483"/>
      <c r="CA253" s="484"/>
      <c r="CB253" s="484"/>
      <c r="CC253" s="485"/>
      <c r="CD253" s="477"/>
      <c r="CE253" s="478"/>
      <c r="CF253" s="478"/>
      <c r="CG253" s="478"/>
      <c r="CH253" s="479"/>
      <c r="CI253" s="477"/>
      <c r="CJ253" s="478"/>
      <c r="CK253" s="478"/>
      <c r="CL253" s="478"/>
      <c r="CM253" s="479"/>
      <c r="CN253" s="477"/>
      <c r="CO253" s="478"/>
      <c r="CP253" s="478"/>
      <c r="CQ253" s="478"/>
      <c r="CR253" s="479"/>
      <c r="CS253" s="480"/>
      <c r="CT253" s="481"/>
      <c r="CU253" s="481"/>
      <c r="CV253" s="481"/>
      <c r="CW253" s="482"/>
    </row>
    <row r="254" spans="1:101" s="91" customFormat="1" ht="16.5" x14ac:dyDescent="0.15">
      <c r="A254" s="517"/>
      <c r="B254" s="102"/>
      <c r="C254" s="220" t="str">
        <f t="shared" ca="1" si="8"/>
        <v/>
      </c>
      <c r="D254" s="521"/>
      <c r="E254" s="522"/>
      <c r="F254" s="522"/>
      <c r="G254" s="522"/>
      <c r="H254" s="522"/>
      <c r="I254" s="522"/>
      <c r="J254" s="522"/>
      <c r="K254" s="527"/>
      <c r="L254" s="528"/>
      <c r="M254" s="528"/>
      <c r="N254" s="528"/>
      <c r="O254" s="528"/>
      <c r="P254" s="528"/>
      <c r="Q254" s="528"/>
      <c r="R254" s="533"/>
      <c r="S254" s="534"/>
      <c r="T254" s="533"/>
      <c r="U254" s="534"/>
      <c r="V254" s="527"/>
      <c r="W254" s="528"/>
      <c r="X254" s="528"/>
      <c r="Y254" s="528"/>
      <c r="Z254" s="528"/>
      <c r="AA254" s="528"/>
      <c r="AB254" s="528"/>
      <c r="AC254" s="527"/>
      <c r="AD254" s="528"/>
      <c r="AE254" s="528"/>
      <c r="AF254" s="528"/>
      <c r="AG254" s="528"/>
      <c r="AH254" s="528"/>
      <c r="AI254" s="528"/>
      <c r="AJ254" s="527"/>
      <c r="AK254" s="528"/>
      <c r="AL254" s="528"/>
      <c r="AM254" s="528"/>
      <c r="AN254" s="528"/>
      <c r="AO254" s="528"/>
      <c r="AP254" s="541"/>
      <c r="AQ254" s="546"/>
      <c r="AR254" s="547"/>
      <c r="AS254" s="547"/>
      <c r="AT254" s="547"/>
      <c r="AU254" s="547"/>
      <c r="AV254" s="547"/>
      <c r="AW254" s="548"/>
      <c r="AX254" s="493"/>
      <c r="AY254" s="494"/>
      <c r="AZ254" s="105">
        <v>4</v>
      </c>
      <c r="BA254" s="483"/>
      <c r="BB254" s="484"/>
      <c r="BC254" s="484"/>
      <c r="BD254" s="485"/>
      <c r="BE254" s="486"/>
      <c r="BF254" s="487"/>
      <c r="BG254" s="106"/>
      <c r="BH254" s="488"/>
      <c r="BI254" s="489"/>
      <c r="BJ254" s="489"/>
      <c r="BK254" s="489"/>
      <c r="BL254" s="489"/>
      <c r="BM254" s="490"/>
      <c r="BN254" s="488"/>
      <c r="BO254" s="489"/>
      <c r="BP254" s="489"/>
      <c r="BQ254" s="489"/>
      <c r="BR254" s="489"/>
      <c r="BS254" s="490"/>
      <c r="BT254" s="488"/>
      <c r="BU254" s="489"/>
      <c r="BV254" s="489"/>
      <c r="BW254" s="489"/>
      <c r="BX254" s="489"/>
      <c r="BY254" s="490"/>
      <c r="BZ254" s="483"/>
      <c r="CA254" s="484"/>
      <c r="CB254" s="484"/>
      <c r="CC254" s="485"/>
      <c r="CD254" s="477"/>
      <c r="CE254" s="478"/>
      <c r="CF254" s="478"/>
      <c r="CG254" s="478"/>
      <c r="CH254" s="479"/>
      <c r="CI254" s="477"/>
      <c r="CJ254" s="478"/>
      <c r="CK254" s="478"/>
      <c r="CL254" s="478"/>
      <c r="CM254" s="479"/>
      <c r="CN254" s="477"/>
      <c r="CO254" s="478"/>
      <c r="CP254" s="478"/>
      <c r="CQ254" s="478"/>
      <c r="CR254" s="479"/>
      <c r="CS254" s="480"/>
      <c r="CT254" s="481"/>
      <c r="CU254" s="481"/>
      <c r="CV254" s="481"/>
      <c r="CW254" s="482"/>
    </row>
    <row r="255" spans="1:101" s="91" customFormat="1" ht="16.5" x14ac:dyDescent="0.15">
      <c r="A255" s="517"/>
      <c r="B255" s="102"/>
      <c r="C255" s="220" t="str">
        <f t="shared" ca="1" si="8"/>
        <v/>
      </c>
      <c r="D255" s="521"/>
      <c r="E255" s="522"/>
      <c r="F255" s="522"/>
      <c r="G255" s="522"/>
      <c r="H255" s="522"/>
      <c r="I255" s="522"/>
      <c r="J255" s="522"/>
      <c r="K255" s="527"/>
      <c r="L255" s="528"/>
      <c r="M255" s="528"/>
      <c r="N255" s="528"/>
      <c r="O255" s="528"/>
      <c r="P255" s="528"/>
      <c r="Q255" s="528"/>
      <c r="R255" s="533"/>
      <c r="S255" s="534"/>
      <c r="T255" s="533"/>
      <c r="U255" s="534"/>
      <c r="V255" s="527"/>
      <c r="W255" s="528"/>
      <c r="X255" s="528"/>
      <c r="Y255" s="528"/>
      <c r="Z255" s="528"/>
      <c r="AA255" s="528"/>
      <c r="AB255" s="528"/>
      <c r="AC255" s="527"/>
      <c r="AD255" s="528"/>
      <c r="AE255" s="528"/>
      <c r="AF255" s="528"/>
      <c r="AG255" s="528"/>
      <c r="AH255" s="528"/>
      <c r="AI255" s="528"/>
      <c r="AJ255" s="527"/>
      <c r="AK255" s="528"/>
      <c r="AL255" s="528"/>
      <c r="AM255" s="528"/>
      <c r="AN255" s="528"/>
      <c r="AO255" s="528"/>
      <c r="AP255" s="541"/>
      <c r="AQ255" s="546"/>
      <c r="AR255" s="547"/>
      <c r="AS255" s="547"/>
      <c r="AT255" s="547"/>
      <c r="AU255" s="547"/>
      <c r="AV255" s="547"/>
      <c r="AW255" s="548"/>
      <c r="AX255" s="493"/>
      <c r="AY255" s="494"/>
      <c r="AZ255" s="105">
        <v>5</v>
      </c>
      <c r="BA255" s="483"/>
      <c r="BB255" s="484"/>
      <c r="BC255" s="484"/>
      <c r="BD255" s="485"/>
      <c r="BE255" s="486"/>
      <c r="BF255" s="487"/>
      <c r="BG255" s="106"/>
      <c r="BH255" s="488"/>
      <c r="BI255" s="489"/>
      <c r="BJ255" s="489"/>
      <c r="BK255" s="489"/>
      <c r="BL255" s="489"/>
      <c r="BM255" s="490"/>
      <c r="BN255" s="488"/>
      <c r="BO255" s="489"/>
      <c r="BP255" s="489"/>
      <c r="BQ255" s="489"/>
      <c r="BR255" s="489"/>
      <c r="BS255" s="490"/>
      <c r="BT255" s="488"/>
      <c r="BU255" s="489"/>
      <c r="BV255" s="489"/>
      <c r="BW255" s="489"/>
      <c r="BX255" s="489"/>
      <c r="BY255" s="490"/>
      <c r="BZ255" s="483"/>
      <c r="CA255" s="484"/>
      <c r="CB255" s="484"/>
      <c r="CC255" s="485"/>
      <c r="CD255" s="477"/>
      <c r="CE255" s="478"/>
      <c r="CF255" s="478"/>
      <c r="CG255" s="478"/>
      <c r="CH255" s="479"/>
      <c r="CI255" s="477"/>
      <c r="CJ255" s="478"/>
      <c r="CK255" s="478"/>
      <c r="CL255" s="478"/>
      <c r="CM255" s="479"/>
      <c r="CN255" s="477"/>
      <c r="CO255" s="478"/>
      <c r="CP255" s="478"/>
      <c r="CQ255" s="478"/>
      <c r="CR255" s="479"/>
      <c r="CS255" s="480"/>
      <c r="CT255" s="481"/>
      <c r="CU255" s="481"/>
      <c r="CV255" s="481"/>
      <c r="CW255" s="482"/>
    </row>
    <row r="256" spans="1:101" s="91" customFormat="1" ht="16.5" x14ac:dyDescent="0.15">
      <c r="A256" s="518"/>
      <c r="B256" s="107"/>
      <c r="C256" s="219" t="str">
        <f t="shared" ca="1" si="8"/>
        <v/>
      </c>
      <c r="D256" s="523"/>
      <c r="E256" s="650"/>
      <c r="F256" s="650"/>
      <c r="G256" s="650"/>
      <c r="H256" s="650"/>
      <c r="I256" s="650"/>
      <c r="J256" s="650"/>
      <c r="K256" s="529"/>
      <c r="L256" s="539"/>
      <c r="M256" s="539"/>
      <c r="N256" s="539"/>
      <c r="O256" s="539"/>
      <c r="P256" s="539"/>
      <c r="Q256" s="539"/>
      <c r="R256" s="535"/>
      <c r="S256" s="537"/>
      <c r="T256" s="535"/>
      <c r="U256" s="537"/>
      <c r="V256" s="529"/>
      <c r="W256" s="539"/>
      <c r="X256" s="539"/>
      <c r="Y256" s="539"/>
      <c r="Z256" s="539"/>
      <c r="AA256" s="539"/>
      <c r="AB256" s="539"/>
      <c r="AC256" s="529"/>
      <c r="AD256" s="539"/>
      <c r="AE256" s="539"/>
      <c r="AF256" s="539"/>
      <c r="AG256" s="539"/>
      <c r="AH256" s="539"/>
      <c r="AI256" s="539"/>
      <c r="AJ256" s="529"/>
      <c r="AK256" s="539"/>
      <c r="AL256" s="539"/>
      <c r="AM256" s="539"/>
      <c r="AN256" s="539"/>
      <c r="AO256" s="539"/>
      <c r="AP256" s="542"/>
      <c r="AQ256" s="549"/>
      <c r="AR256" s="550"/>
      <c r="AS256" s="550"/>
      <c r="AT256" s="550"/>
      <c r="AU256" s="550"/>
      <c r="AV256" s="550"/>
      <c r="AW256" s="551"/>
      <c r="AX256" s="495"/>
      <c r="AY256" s="496"/>
      <c r="AZ256" s="108">
        <v>6</v>
      </c>
      <c r="BA256" s="505"/>
      <c r="BB256" s="506"/>
      <c r="BC256" s="506"/>
      <c r="BD256" s="507"/>
      <c r="BE256" s="644"/>
      <c r="BF256" s="645"/>
      <c r="BG256" s="109"/>
      <c r="BH256" s="510"/>
      <c r="BI256" s="511"/>
      <c r="BJ256" s="511"/>
      <c r="BK256" s="511"/>
      <c r="BL256" s="511"/>
      <c r="BM256" s="512"/>
      <c r="BN256" s="510"/>
      <c r="BO256" s="511"/>
      <c r="BP256" s="511"/>
      <c r="BQ256" s="511"/>
      <c r="BR256" s="511"/>
      <c r="BS256" s="512"/>
      <c r="BT256" s="510"/>
      <c r="BU256" s="511"/>
      <c r="BV256" s="511"/>
      <c r="BW256" s="511"/>
      <c r="BX256" s="511"/>
      <c r="BY256" s="512"/>
      <c r="BZ256" s="505"/>
      <c r="CA256" s="506"/>
      <c r="CB256" s="506"/>
      <c r="CC256" s="507"/>
      <c r="CD256" s="477"/>
      <c r="CE256" s="478"/>
      <c r="CF256" s="478"/>
      <c r="CG256" s="478"/>
      <c r="CH256" s="479"/>
      <c r="CI256" s="477"/>
      <c r="CJ256" s="478"/>
      <c r="CK256" s="478"/>
      <c r="CL256" s="478"/>
      <c r="CM256" s="479"/>
      <c r="CN256" s="477"/>
      <c r="CO256" s="478"/>
      <c r="CP256" s="478"/>
      <c r="CQ256" s="478"/>
      <c r="CR256" s="479"/>
      <c r="CS256" s="480"/>
      <c r="CT256" s="481"/>
      <c r="CU256" s="481"/>
      <c r="CV256" s="481"/>
      <c r="CW256" s="482"/>
    </row>
    <row r="257" spans="1:101" s="91" customFormat="1" ht="16.5" x14ac:dyDescent="0.15">
      <c r="A257" s="516">
        <v>42</v>
      </c>
      <c r="B257" s="102"/>
      <c r="C257" s="222" t="str">
        <f t="shared" ca="1" si="8"/>
        <v/>
      </c>
      <c r="D257" s="519"/>
      <c r="E257" s="649"/>
      <c r="F257" s="649"/>
      <c r="G257" s="649"/>
      <c r="H257" s="649"/>
      <c r="I257" s="649"/>
      <c r="J257" s="649"/>
      <c r="K257" s="525"/>
      <c r="L257" s="538"/>
      <c r="M257" s="538"/>
      <c r="N257" s="538"/>
      <c r="O257" s="538"/>
      <c r="P257" s="538"/>
      <c r="Q257" s="538"/>
      <c r="R257" s="531"/>
      <c r="S257" s="532"/>
      <c r="T257" s="531"/>
      <c r="U257" s="532"/>
      <c r="V257" s="525"/>
      <c r="W257" s="538"/>
      <c r="X257" s="538"/>
      <c r="Y257" s="538"/>
      <c r="Z257" s="538"/>
      <c r="AA257" s="538"/>
      <c r="AB257" s="538"/>
      <c r="AC257" s="525"/>
      <c r="AD257" s="538"/>
      <c r="AE257" s="538"/>
      <c r="AF257" s="538"/>
      <c r="AG257" s="538"/>
      <c r="AH257" s="538"/>
      <c r="AI257" s="538"/>
      <c r="AJ257" s="525"/>
      <c r="AK257" s="538"/>
      <c r="AL257" s="538"/>
      <c r="AM257" s="538"/>
      <c r="AN257" s="538"/>
      <c r="AO257" s="538"/>
      <c r="AP257" s="540"/>
      <c r="AQ257" s="543"/>
      <c r="AR257" s="544"/>
      <c r="AS257" s="544"/>
      <c r="AT257" s="544"/>
      <c r="AU257" s="544"/>
      <c r="AV257" s="544"/>
      <c r="AW257" s="545"/>
      <c r="AX257" s="491"/>
      <c r="AY257" s="492"/>
      <c r="AZ257" s="103">
        <v>1</v>
      </c>
      <c r="BA257" s="497"/>
      <c r="BB257" s="498"/>
      <c r="BC257" s="498"/>
      <c r="BD257" s="499"/>
      <c r="BE257" s="500"/>
      <c r="BF257" s="501"/>
      <c r="BG257" s="110"/>
      <c r="BH257" s="502"/>
      <c r="BI257" s="503"/>
      <c r="BJ257" s="503"/>
      <c r="BK257" s="503"/>
      <c r="BL257" s="503"/>
      <c r="BM257" s="504"/>
      <c r="BN257" s="502"/>
      <c r="BO257" s="503"/>
      <c r="BP257" s="503"/>
      <c r="BQ257" s="503"/>
      <c r="BR257" s="503"/>
      <c r="BS257" s="504"/>
      <c r="BT257" s="502"/>
      <c r="BU257" s="503"/>
      <c r="BV257" s="503"/>
      <c r="BW257" s="503"/>
      <c r="BX257" s="503"/>
      <c r="BY257" s="504"/>
      <c r="BZ257" s="497"/>
      <c r="CA257" s="498"/>
      <c r="CB257" s="498"/>
      <c r="CC257" s="499"/>
      <c r="CD257" s="477"/>
      <c r="CE257" s="478"/>
      <c r="CF257" s="478"/>
      <c r="CG257" s="478"/>
      <c r="CH257" s="479"/>
      <c r="CI257" s="477"/>
      <c r="CJ257" s="478"/>
      <c r="CK257" s="478"/>
      <c r="CL257" s="478"/>
      <c r="CM257" s="479"/>
      <c r="CN257" s="477"/>
      <c r="CO257" s="478"/>
      <c r="CP257" s="478"/>
      <c r="CQ257" s="478"/>
      <c r="CR257" s="479"/>
      <c r="CS257" s="480"/>
      <c r="CT257" s="481"/>
      <c r="CU257" s="481"/>
      <c r="CV257" s="481"/>
      <c r="CW257" s="482"/>
    </row>
    <row r="258" spans="1:101" s="91" customFormat="1" ht="16.5" x14ac:dyDescent="0.15">
      <c r="A258" s="517"/>
      <c r="B258" s="102"/>
      <c r="C258" s="220" t="str">
        <f t="shared" ca="1" si="8"/>
        <v/>
      </c>
      <c r="D258" s="521"/>
      <c r="E258" s="522"/>
      <c r="F258" s="522"/>
      <c r="G258" s="522"/>
      <c r="H258" s="522"/>
      <c r="I258" s="522"/>
      <c r="J258" s="522"/>
      <c r="K258" s="527"/>
      <c r="L258" s="528"/>
      <c r="M258" s="528"/>
      <c r="N258" s="528"/>
      <c r="O258" s="528"/>
      <c r="P258" s="528"/>
      <c r="Q258" s="528"/>
      <c r="R258" s="533"/>
      <c r="S258" s="534"/>
      <c r="T258" s="533"/>
      <c r="U258" s="534"/>
      <c r="V258" s="527"/>
      <c r="W258" s="528"/>
      <c r="X258" s="528"/>
      <c r="Y258" s="528"/>
      <c r="Z258" s="528"/>
      <c r="AA258" s="528"/>
      <c r="AB258" s="528"/>
      <c r="AC258" s="527"/>
      <c r="AD258" s="528"/>
      <c r="AE258" s="528"/>
      <c r="AF258" s="528"/>
      <c r="AG258" s="528"/>
      <c r="AH258" s="528"/>
      <c r="AI258" s="528"/>
      <c r="AJ258" s="527"/>
      <c r="AK258" s="528"/>
      <c r="AL258" s="528"/>
      <c r="AM258" s="528"/>
      <c r="AN258" s="528"/>
      <c r="AO258" s="528"/>
      <c r="AP258" s="541"/>
      <c r="AQ258" s="546"/>
      <c r="AR258" s="547"/>
      <c r="AS258" s="547"/>
      <c r="AT258" s="547"/>
      <c r="AU258" s="547"/>
      <c r="AV258" s="547"/>
      <c r="AW258" s="548"/>
      <c r="AX258" s="493"/>
      <c r="AY258" s="494"/>
      <c r="AZ258" s="105">
        <v>2</v>
      </c>
      <c r="BA258" s="483"/>
      <c r="BB258" s="484"/>
      <c r="BC258" s="484"/>
      <c r="BD258" s="485"/>
      <c r="BE258" s="486"/>
      <c r="BF258" s="487"/>
      <c r="BG258" s="106"/>
      <c r="BH258" s="488"/>
      <c r="BI258" s="489"/>
      <c r="BJ258" s="489"/>
      <c r="BK258" s="489"/>
      <c r="BL258" s="489"/>
      <c r="BM258" s="490"/>
      <c r="BN258" s="488"/>
      <c r="BO258" s="489"/>
      <c r="BP258" s="489"/>
      <c r="BQ258" s="489"/>
      <c r="BR258" s="489"/>
      <c r="BS258" s="490"/>
      <c r="BT258" s="488"/>
      <c r="BU258" s="489"/>
      <c r="BV258" s="489"/>
      <c r="BW258" s="489"/>
      <c r="BX258" s="489"/>
      <c r="BY258" s="490"/>
      <c r="BZ258" s="483"/>
      <c r="CA258" s="484"/>
      <c r="CB258" s="484"/>
      <c r="CC258" s="485"/>
      <c r="CD258" s="477"/>
      <c r="CE258" s="478"/>
      <c r="CF258" s="478"/>
      <c r="CG258" s="478"/>
      <c r="CH258" s="479"/>
      <c r="CI258" s="477"/>
      <c r="CJ258" s="478"/>
      <c r="CK258" s="478"/>
      <c r="CL258" s="478"/>
      <c r="CM258" s="479"/>
      <c r="CN258" s="477"/>
      <c r="CO258" s="478"/>
      <c r="CP258" s="478"/>
      <c r="CQ258" s="478"/>
      <c r="CR258" s="479"/>
      <c r="CS258" s="480"/>
      <c r="CT258" s="481"/>
      <c r="CU258" s="481"/>
      <c r="CV258" s="481"/>
      <c r="CW258" s="482"/>
    </row>
    <row r="259" spans="1:101" s="91" customFormat="1" ht="16.5" x14ac:dyDescent="0.15">
      <c r="A259" s="517"/>
      <c r="B259" s="102"/>
      <c r="C259" s="220" t="str">
        <f t="shared" ca="1" si="8"/>
        <v/>
      </c>
      <c r="D259" s="521"/>
      <c r="E259" s="522"/>
      <c r="F259" s="522"/>
      <c r="G259" s="522"/>
      <c r="H259" s="522"/>
      <c r="I259" s="522"/>
      <c r="J259" s="522"/>
      <c r="K259" s="527"/>
      <c r="L259" s="528"/>
      <c r="M259" s="528"/>
      <c r="N259" s="528"/>
      <c r="O259" s="528"/>
      <c r="P259" s="528"/>
      <c r="Q259" s="528"/>
      <c r="R259" s="533"/>
      <c r="S259" s="534"/>
      <c r="T259" s="533"/>
      <c r="U259" s="534"/>
      <c r="V259" s="527"/>
      <c r="W259" s="528"/>
      <c r="X259" s="528"/>
      <c r="Y259" s="528"/>
      <c r="Z259" s="528"/>
      <c r="AA259" s="528"/>
      <c r="AB259" s="528"/>
      <c r="AC259" s="527"/>
      <c r="AD259" s="528"/>
      <c r="AE259" s="528"/>
      <c r="AF259" s="528"/>
      <c r="AG259" s="528"/>
      <c r="AH259" s="528"/>
      <c r="AI259" s="528"/>
      <c r="AJ259" s="527"/>
      <c r="AK259" s="528"/>
      <c r="AL259" s="528"/>
      <c r="AM259" s="528"/>
      <c r="AN259" s="528"/>
      <c r="AO259" s="528"/>
      <c r="AP259" s="541"/>
      <c r="AQ259" s="546"/>
      <c r="AR259" s="547"/>
      <c r="AS259" s="547"/>
      <c r="AT259" s="547"/>
      <c r="AU259" s="547"/>
      <c r="AV259" s="547"/>
      <c r="AW259" s="548"/>
      <c r="AX259" s="493"/>
      <c r="AY259" s="494"/>
      <c r="AZ259" s="105">
        <v>3</v>
      </c>
      <c r="BA259" s="483"/>
      <c r="BB259" s="484"/>
      <c r="BC259" s="484"/>
      <c r="BD259" s="485"/>
      <c r="BE259" s="486"/>
      <c r="BF259" s="487"/>
      <c r="BG259" s="106"/>
      <c r="BH259" s="488"/>
      <c r="BI259" s="489"/>
      <c r="BJ259" s="489"/>
      <c r="BK259" s="489"/>
      <c r="BL259" s="489"/>
      <c r="BM259" s="490"/>
      <c r="BN259" s="488"/>
      <c r="BO259" s="489"/>
      <c r="BP259" s="489"/>
      <c r="BQ259" s="489"/>
      <c r="BR259" s="489"/>
      <c r="BS259" s="490"/>
      <c r="BT259" s="488"/>
      <c r="BU259" s="489"/>
      <c r="BV259" s="489"/>
      <c r="BW259" s="489"/>
      <c r="BX259" s="489"/>
      <c r="BY259" s="490"/>
      <c r="BZ259" s="483"/>
      <c r="CA259" s="484"/>
      <c r="CB259" s="484"/>
      <c r="CC259" s="485"/>
      <c r="CD259" s="477"/>
      <c r="CE259" s="478"/>
      <c r="CF259" s="478"/>
      <c r="CG259" s="478"/>
      <c r="CH259" s="479"/>
      <c r="CI259" s="477"/>
      <c r="CJ259" s="478"/>
      <c r="CK259" s="478"/>
      <c r="CL259" s="478"/>
      <c r="CM259" s="479"/>
      <c r="CN259" s="477"/>
      <c r="CO259" s="478"/>
      <c r="CP259" s="478"/>
      <c r="CQ259" s="478"/>
      <c r="CR259" s="479"/>
      <c r="CS259" s="480"/>
      <c r="CT259" s="481"/>
      <c r="CU259" s="481"/>
      <c r="CV259" s="481"/>
      <c r="CW259" s="482"/>
    </row>
    <row r="260" spans="1:101" s="91" customFormat="1" ht="16.5" x14ac:dyDescent="0.15">
      <c r="A260" s="517"/>
      <c r="B260" s="102"/>
      <c r="C260" s="220" t="str">
        <f t="shared" ca="1" si="8"/>
        <v/>
      </c>
      <c r="D260" s="521"/>
      <c r="E260" s="522"/>
      <c r="F260" s="522"/>
      <c r="G260" s="522"/>
      <c r="H260" s="522"/>
      <c r="I260" s="522"/>
      <c r="J260" s="522"/>
      <c r="K260" s="527"/>
      <c r="L260" s="528"/>
      <c r="M260" s="528"/>
      <c r="N260" s="528"/>
      <c r="O260" s="528"/>
      <c r="P260" s="528"/>
      <c r="Q260" s="528"/>
      <c r="R260" s="533"/>
      <c r="S260" s="534"/>
      <c r="T260" s="533"/>
      <c r="U260" s="534"/>
      <c r="V260" s="527"/>
      <c r="W260" s="528"/>
      <c r="X260" s="528"/>
      <c r="Y260" s="528"/>
      <c r="Z260" s="528"/>
      <c r="AA260" s="528"/>
      <c r="AB260" s="528"/>
      <c r="AC260" s="527"/>
      <c r="AD260" s="528"/>
      <c r="AE260" s="528"/>
      <c r="AF260" s="528"/>
      <c r="AG260" s="528"/>
      <c r="AH260" s="528"/>
      <c r="AI260" s="528"/>
      <c r="AJ260" s="527"/>
      <c r="AK260" s="528"/>
      <c r="AL260" s="528"/>
      <c r="AM260" s="528"/>
      <c r="AN260" s="528"/>
      <c r="AO260" s="528"/>
      <c r="AP260" s="541"/>
      <c r="AQ260" s="546"/>
      <c r="AR260" s="547"/>
      <c r="AS260" s="547"/>
      <c r="AT260" s="547"/>
      <c r="AU260" s="547"/>
      <c r="AV260" s="547"/>
      <c r="AW260" s="548"/>
      <c r="AX260" s="493"/>
      <c r="AY260" s="494"/>
      <c r="AZ260" s="105">
        <v>4</v>
      </c>
      <c r="BA260" s="483"/>
      <c r="BB260" s="484"/>
      <c r="BC260" s="484"/>
      <c r="BD260" s="485"/>
      <c r="BE260" s="486"/>
      <c r="BF260" s="487"/>
      <c r="BG260" s="106"/>
      <c r="BH260" s="488"/>
      <c r="BI260" s="489"/>
      <c r="BJ260" s="489"/>
      <c r="BK260" s="489"/>
      <c r="BL260" s="489"/>
      <c r="BM260" s="490"/>
      <c r="BN260" s="488"/>
      <c r="BO260" s="489"/>
      <c r="BP260" s="489"/>
      <c r="BQ260" s="489"/>
      <c r="BR260" s="489"/>
      <c r="BS260" s="490"/>
      <c r="BT260" s="488"/>
      <c r="BU260" s="489"/>
      <c r="BV260" s="489"/>
      <c r="BW260" s="489"/>
      <c r="BX260" s="489"/>
      <c r="BY260" s="490"/>
      <c r="BZ260" s="483"/>
      <c r="CA260" s="484"/>
      <c r="CB260" s="484"/>
      <c r="CC260" s="485"/>
      <c r="CD260" s="477"/>
      <c r="CE260" s="478"/>
      <c r="CF260" s="478"/>
      <c r="CG260" s="478"/>
      <c r="CH260" s="479"/>
      <c r="CI260" s="477"/>
      <c r="CJ260" s="478"/>
      <c r="CK260" s="478"/>
      <c r="CL260" s="478"/>
      <c r="CM260" s="479"/>
      <c r="CN260" s="477"/>
      <c r="CO260" s="478"/>
      <c r="CP260" s="478"/>
      <c r="CQ260" s="478"/>
      <c r="CR260" s="479"/>
      <c r="CS260" s="480"/>
      <c r="CT260" s="481"/>
      <c r="CU260" s="481"/>
      <c r="CV260" s="481"/>
      <c r="CW260" s="482"/>
    </row>
    <row r="261" spans="1:101" s="91" customFormat="1" ht="16.5" x14ac:dyDescent="0.15">
      <c r="A261" s="517"/>
      <c r="B261" s="102"/>
      <c r="C261" s="220" t="str">
        <f t="shared" ca="1" si="8"/>
        <v/>
      </c>
      <c r="D261" s="521"/>
      <c r="E261" s="522"/>
      <c r="F261" s="522"/>
      <c r="G261" s="522"/>
      <c r="H261" s="522"/>
      <c r="I261" s="522"/>
      <c r="J261" s="522"/>
      <c r="K261" s="527"/>
      <c r="L261" s="528"/>
      <c r="M261" s="528"/>
      <c r="N261" s="528"/>
      <c r="O261" s="528"/>
      <c r="P261" s="528"/>
      <c r="Q261" s="528"/>
      <c r="R261" s="533"/>
      <c r="S261" s="534"/>
      <c r="T261" s="533"/>
      <c r="U261" s="534"/>
      <c r="V261" s="527"/>
      <c r="W261" s="528"/>
      <c r="X261" s="528"/>
      <c r="Y261" s="528"/>
      <c r="Z261" s="528"/>
      <c r="AA261" s="528"/>
      <c r="AB261" s="528"/>
      <c r="AC261" s="527"/>
      <c r="AD261" s="528"/>
      <c r="AE261" s="528"/>
      <c r="AF261" s="528"/>
      <c r="AG261" s="528"/>
      <c r="AH261" s="528"/>
      <c r="AI261" s="528"/>
      <c r="AJ261" s="527"/>
      <c r="AK261" s="528"/>
      <c r="AL261" s="528"/>
      <c r="AM261" s="528"/>
      <c r="AN261" s="528"/>
      <c r="AO261" s="528"/>
      <c r="AP261" s="541"/>
      <c r="AQ261" s="546"/>
      <c r="AR261" s="547"/>
      <c r="AS261" s="547"/>
      <c r="AT261" s="547"/>
      <c r="AU261" s="547"/>
      <c r="AV261" s="547"/>
      <c r="AW261" s="548"/>
      <c r="AX261" s="493"/>
      <c r="AY261" s="494"/>
      <c r="AZ261" s="105">
        <v>5</v>
      </c>
      <c r="BA261" s="483"/>
      <c r="BB261" s="484"/>
      <c r="BC261" s="484"/>
      <c r="BD261" s="485"/>
      <c r="BE261" s="486"/>
      <c r="BF261" s="487"/>
      <c r="BG261" s="106"/>
      <c r="BH261" s="488"/>
      <c r="BI261" s="489"/>
      <c r="BJ261" s="489"/>
      <c r="BK261" s="489"/>
      <c r="BL261" s="489"/>
      <c r="BM261" s="490"/>
      <c r="BN261" s="488"/>
      <c r="BO261" s="489"/>
      <c r="BP261" s="489"/>
      <c r="BQ261" s="489"/>
      <c r="BR261" s="489"/>
      <c r="BS261" s="490"/>
      <c r="BT261" s="488"/>
      <c r="BU261" s="489"/>
      <c r="BV261" s="489"/>
      <c r="BW261" s="489"/>
      <c r="BX261" s="489"/>
      <c r="BY261" s="490"/>
      <c r="BZ261" s="483"/>
      <c r="CA261" s="484"/>
      <c r="CB261" s="484"/>
      <c r="CC261" s="485"/>
      <c r="CD261" s="477"/>
      <c r="CE261" s="478"/>
      <c r="CF261" s="478"/>
      <c r="CG261" s="478"/>
      <c r="CH261" s="479"/>
      <c r="CI261" s="477"/>
      <c r="CJ261" s="478"/>
      <c r="CK261" s="478"/>
      <c r="CL261" s="478"/>
      <c r="CM261" s="479"/>
      <c r="CN261" s="477"/>
      <c r="CO261" s="478"/>
      <c r="CP261" s="478"/>
      <c r="CQ261" s="478"/>
      <c r="CR261" s="479"/>
      <c r="CS261" s="480"/>
      <c r="CT261" s="481"/>
      <c r="CU261" s="481"/>
      <c r="CV261" s="481"/>
      <c r="CW261" s="482"/>
    </row>
    <row r="262" spans="1:101" s="91" customFormat="1" ht="16.5" x14ac:dyDescent="0.15">
      <c r="A262" s="518"/>
      <c r="B262" s="107"/>
      <c r="C262" s="219" t="str">
        <f t="shared" ca="1" si="8"/>
        <v/>
      </c>
      <c r="D262" s="523"/>
      <c r="E262" s="650"/>
      <c r="F262" s="650"/>
      <c r="G262" s="650"/>
      <c r="H262" s="650"/>
      <c r="I262" s="650"/>
      <c r="J262" s="650"/>
      <c r="K262" s="529"/>
      <c r="L262" s="539"/>
      <c r="M262" s="539"/>
      <c r="N262" s="539"/>
      <c r="O262" s="539"/>
      <c r="P262" s="539"/>
      <c r="Q262" s="539"/>
      <c r="R262" s="535"/>
      <c r="S262" s="537"/>
      <c r="T262" s="535"/>
      <c r="U262" s="537"/>
      <c r="V262" s="529"/>
      <c r="W262" s="539"/>
      <c r="X262" s="539"/>
      <c r="Y262" s="539"/>
      <c r="Z262" s="539"/>
      <c r="AA262" s="539"/>
      <c r="AB262" s="539"/>
      <c r="AC262" s="529"/>
      <c r="AD262" s="539"/>
      <c r="AE262" s="539"/>
      <c r="AF262" s="539"/>
      <c r="AG262" s="539"/>
      <c r="AH262" s="539"/>
      <c r="AI262" s="539"/>
      <c r="AJ262" s="529"/>
      <c r="AK262" s="539"/>
      <c r="AL262" s="539"/>
      <c r="AM262" s="539"/>
      <c r="AN262" s="539"/>
      <c r="AO262" s="539"/>
      <c r="AP262" s="542"/>
      <c r="AQ262" s="549"/>
      <c r="AR262" s="550"/>
      <c r="AS262" s="550"/>
      <c r="AT262" s="550"/>
      <c r="AU262" s="550"/>
      <c r="AV262" s="550"/>
      <c r="AW262" s="551"/>
      <c r="AX262" s="495"/>
      <c r="AY262" s="496"/>
      <c r="AZ262" s="112">
        <v>6</v>
      </c>
      <c r="BA262" s="513"/>
      <c r="BB262" s="514"/>
      <c r="BC262" s="514"/>
      <c r="BD262" s="515"/>
      <c r="BE262" s="644"/>
      <c r="BF262" s="645"/>
      <c r="BG262" s="111"/>
      <c r="BH262" s="646"/>
      <c r="BI262" s="647"/>
      <c r="BJ262" s="647"/>
      <c r="BK262" s="647"/>
      <c r="BL262" s="647"/>
      <c r="BM262" s="648"/>
      <c r="BN262" s="646"/>
      <c r="BO262" s="647"/>
      <c r="BP262" s="647"/>
      <c r="BQ262" s="647"/>
      <c r="BR262" s="647"/>
      <c r="BS262" s="648"/>
      <c r="BT262" s="646"/>
      <c r="BU262" s="647"/>
      <c r="BV262" s="647"/>
      <c r="BW262" s="647"/>
      <c r="BX262" s="647"/>
      <c r="BY262" s="648"/>
      <c r="BZ262" s="513"/>
      <c r="CA262" s="514"/>
      <c r="CB262" s="514"/>
      <c r="CC262" s="515"/>
      <c r="CD262" s="477"/>
      <c r="CE262" s="478"/>
      <c r="CF262" s="478"/>
      <c r="CG262" s="478"/>
      <c r="CH262" s="479"/>
      <c r="CI262" s="477"/>
      <c r="CJ262" s="478"/>
      <c r="CK262" s="478"/>
      <c r="CL262" s="478"/>
      <c r="CM262" s="479"/>
      <c r="CN262" s="477"/>
      <c r="CO262" s="478"/>
      <c r="CP262" s="478"/>
      <c r="CQ262" s="478"/>
      <c r="CR262" s="479"/>
      <c r="CS262" s="480"/>
      <c r="CT262" s="481"/>
      <c r="CU262" s="481"/>
      <c r="CV262" s="481"/>
      <c r="CW262" s="482"/>
    </row>
    <row r="263" spans="1:101" s="91" customFormat="1" ht="16.5" x14ac:dyDescent="0.15">
      <c r="A263" s="516">
        <v>43</v>
      </c>
      <c r="B263" s="102"/>
      <c r="C263" s="222" t="str">
        <f t="shared" ca="1" si="8"/>
        <v/>
      </c>
      <c r="D263" s="519"/>
      <c r="E263" s="649"/>
      <c r="F263" s="649"/>
      <c r="G263" s="649"/>
      <c r="H263" s="649"/>
      <c r="I263" s="649"/>
      <c r="J263" s="649"/>
      <c r="K263" s="525"/>
      <c r="L263" s="538"/>
      <c r="M263" s="538"/>
      <c r="N263" s="538"/>
      <c r="O263" s="538"/>
      <c r="P263" s="538"/>
      <c r="Q263" s="538"/>
      <c r="R263" s="531"/>
      <c r="S263" s="532"/>
      <c r="T263" s="531"/>
      <c r="U263" s="532"/>
      <c r="V263" s="525"/>
      <c r="W263" s="538"/>
      <c r="X263" s="538"/>
      <c r="Y263" s="538"/>
      <c r="Z263" s="538"/>
      <c r="AA263" s="538"/>
      <c r="AB263" s="538"/>
      <c r="AC263" s="525"/>
      <c r="AD263" s="538"/>
      <c r="AE263" s="538"/>
      <c r="AF263" s="538"/>
      <c r="AG263" s="538"/>
      <c r="AH263" s="538"/>
      <c r="AI263" s="538"/>
      <c r="AJ263" s="525"/>
      <c r="AK263" s="538"/>
      <c r="AL263" s="538"/>
      <c r="AM263" s="538"/>
      <c r="AN263" s="538"/>
      <c r="AO263" s="538"/>
      <c r="AP263" s="540"/>
      <c r="AQ263" s="543"/>
      <c r="AR263" s="544"/>
      <c r="AS263" s="544"/>
      <c r="AT263" s="544"/>
      <c r="AU263" s="544"/>
      <c r="AV263" s="544"/>
      <c r="AW263" s="545"/>
      <c r="AX263" s="491"/>
      <c r="AY263" s="492"/>
      <c r="AZ263" s="103">
        <v>1</v>
      </c>
      <c r="BA263" s="497"/>
      <c r="BB263" s="498"/>
      <c r="BC263" s="498"/>
      <c r="BD263" s="499"/>
      <c r="BE263" s="500"/>
      <c r="BF263" s="501"/>
      <c r="BG263" s="110"/>
      <c r="BH263" s="502"/>
      <c r="BI263" s="503"/>
      <c r="BJ263" s="503"/>
      <c r="BK263" s="503"/>
      <c r="BL263" s="503"/>
      <c r="BM263" s="504"/>
      <c r="BN263" s="502"/>
      <c r="BO263" s="503"/>
      <c r="BP263" s="503"/>
      <c r="BQ263" s="503"/>
      <c r="BR263" s="503"/>
      <c r="BS263" s="504"/>
      <c r="BT263" s="502"/>
      <c r="BU263" s="503"/>
      <c r="BV263" s="503"/>
      <c r="BW263" s="503"/>
      <c r="BX263" s="503"/>
      <c r="BY263" s="504"/>
      <c r="BZ263" s="497"/>
      <c r="CA263" s="498"/>
      <c r="CB263" s="498"/>
      <c r="CC263" s="499"/>
      <c r="CD263" s="477"/>
      <c r="CE263" s="478"/>
      <c r="CF263" s="478"/>
      <c r="CG263" s="478"/>
      <c r="CH263" s="479"/>
      <c r="CI263" s="477"/>
      <c r="CJ263" s="478"/>
      <c r="CK263" s="478"/>
      <c r="CL263" s="478"/>
      <c r="CM263" s="479"/>
      <c r="CN263" s="477"/>
      <c r="CO263" s="478"/>
      <c r="CP263" s="478"/>
      <c r="CQ263" s="478"/>
      <c r="CR263" s="479"/>
      <c r="CS263" s="480"/>
      <c r="CT263" s="481"/>
      <c r="CU263" s="481"/>
      <c r="CV263" s="481"/>
      <c r="CW263" s="482"/>
    </row>
    <row r="264" spans="1:101" s="91" customFormat="1" ht="16.5" x14ac:dyDescent="0.15">
      <c r="A264" s="517"/>
      <c r="B264" s="102"/>
      <c r="C264" s="220" t="str">
        <f t="shared" ca="1" si="8"/>
        <v/>
      </c>
      <c r="D264" s="521"/>
      <c r="E264" s="522"/>
      <c r="F264" s="522"/>
      <c r="G264" s="522"/>
      <c r="H264" s="522"/>
      <c r="I264" s="522"/>
      <c r="J264" s="522"/>
      <c r="K264" s="527"/>
      <c r="L264" s="528"/>
      <c r="M264" s="528"/>
      <c r="N264" s="528"/>
      <c r="O264" s="528"/>
      <c r="P264" s="528"/>
      <c r="Q264" s="528"/>
      <c r="R264" s="533"/>
      <c r="S264" s="534"/>
      <c r="T264" s="533"/>
      <c r="U264" s="534"/>
      <c r="V264" s="527"/>
      <c r="W264" s="528"/>
      <c r="X264" s="528"/>
      <c r="Y264" s="528"/>
      <c r="Z264" s="528"/>
      <c r="AA264" s="528"/>
      <c r="AB264" s="528"/>
      <c r="AC264" s="527"/>
      <c r="AD264" s="528"/>
      <c r="AE264" s="528"/>
      <c r="AF264" s="528"/>
      <c r="AG264" s="528"/>
      <c r="AH264" s="528"/>
      <c r="AI264" s="528"/>
      <c r="AJ264" s="527"/>
      <c r="AK264" s="528"/>
      <c r="AL264" s="528"/>
      <c r="AM264" s="528"/>
      <c r="AN264" s="528"/>
      <c r="AO264" s="528"/>
      <c r="AP264" s="541"/>
      <c r="AQ264" s="546"/>
      <c r="AR264" s="547"/>
      <c r="AS264" s="547"/>
      <c r="AT264" s="547"/>
      <c r="AU264" s="547"/>
      <c r="AV264" s="547"/>
      <c r="AW264" s="548"/>
      <c r="AX264" s="493"/>
      <c r="AY264" s="494"/>
      <c r="AZ264" s="105">
        <v>2</v>
      </c>
      <c r="BA264" s="483"/>
      <c r="BB264" s="484"/>
      <c r="BC264" s="484"/>
      <c r="BD264" s="485"/>
      <c r="BE264" s="486"/>
      <c r="BF264" s="487"/>
      <c r="BG264" s="106"/>
      <c r="BH264" s="488"/>
      <c r="BI264" s="489"/>
      <c r="BJ264" s="489"/>
      <c r="BK264" s="489"/>
      <c r="BL264" s="489"/>
      <c r="BM264" s="490"/>
      <c r="BN264" s="488"/>
      <c r="BO264" s="489"/>
      <c r="BP264" s="489"/>
      <c r="BQ264" s="489"/>
      <c r="BR264" s="489"/>
      <c r="BS264" s="490"/>
      <c r="BT264" s="488"/>
      <c r="BU264" s="489"/>
      <c r="BV264" s="489"/>
      <c r="BW264" s="489"/>
      <c r="BX264" s="489"/>
      <c r="BY264" s="490"/>
      <c r="BZ264" s="483"/>
      <c r="CA264" s="484"/>
      <c r="CB264" s="484"/>
      <c r="CC264" s="485"/>
      <c r="CD264" s="477"/>
      <c r="CE264" s="478"/>
      <c r="CF264" s="478"/>
      <c r="CG264" s="478"/>
      <c r="CH264" s="479"/>
      <c r="CI264" s="477"/>
      <c r="CJ264" s="478"/>
      <c r="CK264" s="478"/>
      <c r="CL264" s="478"/>
      <c r="CM264" s="479"/>
      <c r="CN264" s="477"/>
      <c r="CO264" s="478"/>
      <c r="CP264" s="478"/>
      <c r="CQ264" s="478"/>
      <c r="CR264" s="479"/>
      <c r="CS264" s="480"/>
      <c r="CT264" s="481"/>
      <c r="CU264" s="481"/>
      <c r="CV264" s="481"/>
      <c r="CW264" s="482"/>
    </row>
    <row r="265" spans="1:101" s="91" customFormat="1" ht="16.5" x14ac:dyDescent="0.15">
      <c r="A265" s="517"/>
      <c r="B265" s="102"/>
      <c r="C265" s="220" t="str">
        <f t="shared" ca="1" si="8"/>
        <v/>
      </c>
      <c r="D265" s="521"/>
      <c r="E265" s="522"/>
      <c r="F265" s="522"/>
      <c r="G265" s="522"/>
      <c r="H265" s="522"/>
      <c r="I265" s="522"/>
      <c r="J265" s="522"/>
      <c r="K265" s="527"/>
      <c r="L265" s="528"/>
      <c r="M265" s="528"/>
      <c r="N265" s="528"/>
      <c r="O265" s="528"/>
      <c r="P265" s="528"/>
      <c r="Q265" s="528"/>
      <c r="R265" s="533"/>
      <c r="S265" s="534"/>
      <c r="T265" s="533"/>
      <c r="U265" s="534"/>
      <c r="V265" s="527"/>
      <c r="W265" s="528"/>
      <c r="X265" s="528"/>
      <c r="Y265" s="528"/>
      <c r="Z265" s="528"/>
      <c r="AA265" s="528"/>
      <c r="AB265" s="528"/>
      <c r="AC265" s="527"/>
      <c r="AD265" s="528"/>
      <c r="AE265" s="528"/>
      <c r="AF265" s="528"/>
      <c r="AG265" s="528"/>
      <c r="AH265" s="528"/>
      <c r="AI265" s="528"/>
      <c r="AJ265" s="527"/>
      <c r="AK265" s="528"/>
      <c r="AL265" s="528"/>
      <c r="AM265" s="528"/>
      <c r="AN265" s="528"/>
      <c r="AO265" s="528"/>
      <c r="AP265" s="541"/>
      <c r="AQ265" s="546"/>
      <c r="AR265" s="547"/>
      <c r="AS265" s="547"/>
      <c r="AT265" s="547"/>
      <c r="AU265" s="547"/>
      <c r="AV265" s="547"/>
      <c r="AW265" s="548"/>
      <c r="AX265" s="493"/>
      <c r="AY265" s="494"/>
      <c r="AZ265" s="105">
        <v>3</v>
      </c>
      <c r="BA265" s="483"/>
      <c r="BB265" s="484"/>
      <c r="BC265" s="484"/>
      <c r="BD265" s="485"/>
      <c r="BE265" s="486"/>
      <c r="BF265" s="487"/>
      <c r="BG265" s="106"/>
      <c r="BH265" s="488"/>
      <c r="BI265" s="489"/>
      <c r="BJ265" s="489"/>
      <c r="BK265" s="489"/>
      <c r="BL265" s="489"/>
      <c r="BM265" s="490"/>
      <c r="BN265" s="488"/>
      <c r="BO265" s="489"/>
      <c r="BP265" s="489"/>
      <c r="BQ265" s="489"/>
      <c r="BR265" s="489"/>
      <c r="BS265" s="490"/>
      <c r="BT265" s="488"/>
      <c r="BU265" s="489"/>
      <c r="BV265" s="489"/>
      <c r="BW265" s="489"/>
      <c r="BX265" s="489"/>
      <c r="BY265" s="490"/>
      <c r="BZ265" s="483"/>
      <c r="CA265" s="484"/>
      <c r="CB265" s="484"/>
      <c r="CC265" s="485"/>
      <c r="CD265" s="477"/>
      <c r="CE265" s="478"/>
      <c r="CF265" s="478"/>
      <c r="CG265" s="478"/>
      <c r="CH265" s="479"/>
      <c r="CI265" s="477"/>
      <c r="CJ265" s="478"/>
      <c r="CK265" s="478"/>
      <c r="CL265" s="478"/>
      <c r="CM265" s="479"/>
      <c r="CN265" s="477"/>
      <c r="CO265" s="478"/>
      <c r="CP265" s="478"/>
      <c r="CQ265" s="478"/>
      <c r="CR265" s="479"/>
      <c r="CS265" s="480"/>
      <c r="CT265" s="481"/>
      <c r="CU265" s="481"/>
      <c r="CV265" s="481"/>
      <c r="CW265" s="482"/>
    </row>
    <row r="266" spans="1:101" s="91" customFormat="1" ht="16.5" x14ac:dyDescent="0.15">
      <c r="A266" s="517"/>
      <c r="B266" s="102"/>
      <c r="C266" s="220" t="str">
        <f t="shared" ca="1" si="8"/>
        <v/>
      </c>
      <c r="D266" s="521"/>
      <c r="E266" s="522"/>
      <c r="F266" s="522"/>
      <c r="G266" s="522"/>
      <c r="H266" s="522"/>
      <c r="I266" s="522"/>
      <c r="J266" s="522"/>
      <c r="K266" s="527"/>
      <c r="L266" s="528"/>
      <c r="M266" s="528"/>
      <c r="N266" s="528"/>
      <c r="O266" s="528"/>
      <c r="P266" s="528"/>
      <c r="Q266" s="528"/>
      <c r="R266" s="533"/>
      <c r="S266" s="534"/>
      <c r="T266" s="533"/>
      <c r="U266" s="534"/>
      <c r="V266" s="527"/>
      <c r="W266" s="528"/>
      <c r="X266" s="528"/>
      <c r="Y266" s="528"/>
      <c r="Z266" s="528"/>
      <c r="AA266" s="528"/>
      <c r="AB266" s="528"/>
      <c r="AC266" s="527"/>
      <c r="AD266" s="528"/>
      <c r="AE266" s="528"/>
      <c r="AF266" s="528"/>
      <c r="AG266" s="528"/>
      <c r="AH266" s="528"/>
      <c r="AI266" s="528"/>
      <c r="AJ266" s="527"/>
      <c r="AK266" s="528"/>
      <c r="AL266" s="528"/>
      <c r="AM266" s="528"/>
      <c r="AN266" s="528"/>
      <c r="AO266" s="528"/>
      <c r="AP266" s="541"/>
      <c r="AQ266" s="546"/>
      <c r="AR266" s="547"/>
      <c r="AS266" s="547"/>
      <c r="AT266" s="547"/>
      <c r="AU266" s="547"/>
      <c r="AV266" s="547"/>
      <c r="AW266" s="548"/>
      <c r="AX266" s="493"/>
      <c r="AY266" s="494"/>
      <c r="AZ266" s="105">
        <v>4</v>
      </c>
      <c r="BA266" s="483"/>
      <c r="BB266" s="484"/>
      <c r="BC266" s="484"/>
      <c r="BD266" s="485"/>
      <c r="BE266" s="486"/>
      <c r="BF266" s="487"/>
      <c r="BG266" s="106"/>
      <c r="BH266" s="488"/>
      <c r="BI266" s="489"/>
      <c r="BJ266" s="489"/>
      <c r="BK266" s="489"/>
      <c r="BL266" s="489"/>
      <c r="BM266" s="490"/>
      <c r="BN266" s="488"/>
      <c r="BO266" s="489"/>
      <c r="BP266" s="489"/>
      <c r="BQ266" s="489"/>
      <c r="BR266" s="489"/>
      <c r="BS266" s="490"/>
      <c r="BT266" s="488"/>
      <c r="BU266" s="489"/>
      <c r="BV266" s="489"/>
      <c r="BW266" s="489"/>
      <c r="BX266" s="489"/>
      <c r="BY266" s="490"/>
      <c r="BZ266" s="483"/>
      <c r="CA266" s="484"/>
      <c r="CB266" s="484"/>
      <c r="CC266" s="485"/>
      <c r="CD266" s="477"/>
      <c r="CE266" s="478"/>
      <c r="CF266" s="478"/>
      <c r="CG266" s="478"/>
      <c r="CH266" s="479"/>
      <c r="CI266" s="477"/>
      <c r="CJ266" s="478"/>
      <c r="CK266" s="478"/>
      <c r="CL266" s="478"/>
      <c r="CM266" s="479"/>
      <c r="CN266" s="477"/>
      <c r="CO266" s="478"/>
      <c r="CP266" s="478"/>
      <c r="CQ266" s="478"/>
      <c r="CR266" s="479"/>
      <c r="CS266" s="480"/>
      <c r="CT266" s="481"/>
      <c r="CU266" s="481"/>
      <c r="CV266" s="481"/>
      <c r="CW266" s="482"/>
    </row>
    <row r="267" spans="1:101" s="91" customFormat="1" ht="16.5" x14ac:dyDescent="0.15">
      <c r="A267" s="517"/>
      <c r="B267" s="102"/>
      <c r="C267" s="220" t="str">
        <f t="shared" ca="1" si="8"/>
        <v/>
      </c>
      <c r="D267" s="521"/>
      <c r="E267" s="522"/>
      <c r="F267" s="522"/>
      <c r="G267" s="522"/>
      <c r="H267" s="522"/>
      <c r="I267" s="522"/>
      <c r="J267" s="522"/>
      <c r="K267" s="527"/>
      <c r="L267" s="528"/>
      <c r="M267" s="528"/>
      <c r="N267" s="528"/>
      <c r="O267" s="528"/>
      <c r="P267" s="528"/>
      <c r="Q267" s="528"/>
      <c r="R267" s="533"/>
      <c r="S267" s="534"/>
      <c r="T267" s="533"/>
      <c r="U267" s="534"/>
      <c r="V267" s="527"/>
      <c r="W267" s="528"/>
      <c r="X267" s="528"/>
      <c r="Y267" s="528"/>
      <c r="Z267" s="528"/>
      <c r="AA267" s="528"/>
      <c r="AB267" s="528"/>
      <c r="AC267" s="527"/>
      <c r="AD267" s="528"/>
      <c r="AE267" s="528"/>
      <c r="AF267" s="528"/>
      <c r="AG267" s="528"/>
      <c r="AH267" s="528"/>
      <c r="AI267" s="528"/>
      <c r="AJ267" s="527"/>
      <c r="AK267" s="528"/>
      <c r="AL267" s="528"/>
      <c r="AM267" s="528"/>
      <c r="AN267" s="528"/>
      <c r="AO267" s="528"/>
      <c r="AP267" s="541"/>
      <c r="AQ267" s="546"/>
      <c r="AR267" s="547"/>
      <c r="AS267" s="547"/>
      <c r="AT267" s="547"/>
      <c r="AU267" s="547"/>
      <c r="AV267" s="547"/>
      <c r="AW267" s="548"/>
      <c r="AX267" s="493"/>
      <c r="AY267" s="494"/>
      <c r="AZ267" s="105">
        <v>5</v>
      </c>
      <c r="BA267" s="483"/>
      <c r="BB267" s="484"/>
      <c r="BC267" s="484"/>
      <c r="BD267" s="485"/>
      <c r="BE267" s="486"/>
      <c r="BF267" s="487"/>
      <c r="BG267" s="106"/>
      <c r="BH267" s="488"/>
      <c r="BI267" s="489"/>
      <c r="BJ267" s="489"/>
      <c r="BK267" s="489"/>
      <c r="BL267" s="489"/>
      <c r="BM267" s="490"/>
      <c r="BN267" s="488"/>
      <c r="BO267" s="489"/>
      <c r="BP267" s="489"/>
      <c r="BQ267" s="489"/>
      <c r="BR267" s="489"/>
      <c r="BS267" s="490"/>
      <c r="BT267" s="488"/>
      <c r="BU267" s="489"/>
      <c r="BV267" s="489"/>
      <c r="BW267" s="489"/>
      <c r="BX267" s="489"/>
      <c r="BY267" s="490"/>
      <c r="BZ267" s="483"/>
      <c r="CA267" s="484"/>
      <c r="CB267" s="484"/>
      <c r="CC267" s="485"/>
      <c r="CD267" s="477"/>
      <c r="CE267" s="478"/>
      <c r="CF267" s="478"/>
      <c r="CG267" s="478"/>
      <c r="CH267" s="479"/>
      <c r="CI267" s="477"/>
      <c r="CJ267" s="478"/>
      <c r="CK267" s="478"/>
      <c r="CL267" s="478"/>
      <c r="CM267" s="479"/>
      <c r="CN267" s="477"/>
      <c r="CO267" s="478"/>
      <c r="CP267" s="478"/>
      <c r="CQ267" s="478"/>
      <c r="CR267" s="479"/>
      <c r="CS267" s="480"/>
      <c r="CT267" s="481"/>
      <c r="CU267" s="481"/>
      <c r="CV267" s="481"/>
      <c r="CW267" s="482"/>
    </row>
    <row r="268" spans="1:101" s="91" customFormat="1" ht="16.5" x14ac:dyDescent="0.15">
      <c r="A268" s="518"/>
      <c r="B268" s="107"/>
      <c r="C268" s="220" t="str">
        <f t="shared" ca="1" si="8"/>
        <v/>
      </c>
      <c r="D268" s="523"/>
      <c r="E268" s="650"/>
      <c r="F268" s="650"/>
      <c r="G268" s="650"/>
      <c r="H268" s="650"/>
      <c r="I268" s="650"/>
      <c r="J268" s="650"/>
      <c r="K268" s="529"/>
      <c r="L268" s="539"/>
      <c r="M268" s="539"/>
      <c r="N268" s="539"/>
      <c r="O268" s="539"/>
      <c r="P268" s="539"/>
      <c r="Q268" s="539"/>
      <c r="R268" s="535"/>
      <c r="S268" s="537"/>
      <c r="T268" s="535"/>
      <c r="U268" s="537"/>
      <c r="V268" s="529"/>
      <c r="W268" s="539"/>
      <c r="X268" s="539"/>
      <c r="Y268" s="539"/>
      <c r="Z268" s="539"/>
      <c r="AA268" s="539"/>
      <c r="AB268" s="539"/>
      <c r="AC268" s="529"/>
      <c r="AD268" s="539"/>
      <c r="AE268" s="539"/>
      <c r="AF268" s="539"/>
      <c r="AG268" s="539"/>
      <c r="AH268" s="539"/>
      <c r="AI268" s="539"/>
      <c r="AJ268" s="529"/>
      <c r="AK268" s="539"/>
      <c r="AL268" s="539"/>
      <c r="AM268" s="539"/>
      <c r="AN268" s="539"/>
      <c r="AO268" s="539"/>
      <c r="AP268" s="542"/>
      <c r="AQ268" s="549"/>
      <c r="AR268" s="550"/>
      <c r="AS268" s="550"/>
      <c r="AT268" s="550"/>
      <c r="AU268" s="550"/>
      <c r="AV268" s="550"/>
      <c r="AW268" s="551"/>
      <c r="AX268" s="495"/>
      <c r="AY268" s="496"/>
      <c r="AZ268" s="108">
        <v>6</v>
      </c>
      <c r="BA268" s="513"/>
      <c r="BB268" s="514"/>
      <c r="BC268" s="514"/>
      <c r="BD268" s="515"/>
      <c r="BE268" s="644"/>
      <c r="BF268" s="645"/>
      <c r="BG268" s="111"/>
      <c r="BH268" s="510"/>
      <c r="BI268" s="511"/>
      <c r="BJ268" s="511"/>
      <c r="BK268" s="511"/>
      <c r="BL268" s="511"/>
      <c r="BM268" s="512"/>
      <c r="BN268" s="510"/>
      <c r="BO268" s="511"/>
      <c r="BP268" s="511"/>
      <c r="BQ268" s="511"/>
      <c r="BR268" s="511"/>
      <c r="BS268" s="512"/>
      <c r="BT268" s="510"/>
      <c r="BU268" s="511"/>
      <c r="BV268" s="511"/>
      <c r="BW268" s="511"/>
      <c r="BX268" s="511"/>
      <c r="BY268" s="512"/>
      <c r="BZ268" s="513"/>
      <c r="CA268" s="514"/>
      <c r="CB268" s="514"/>
      <c r="CC268" s="515"/>
      <c r="CD268" s="477"/>
      <c r="CE268" s="478"/>
      <c r="CF268" s="478"/>
      <c r="CG268" s="478"/>
      <c r="CH268" s="479"/>
      <c r="CI268" s="477"/>
      <c r="CJ268" s="478"/>
      <c r="CK268" s="478"/>
      <c r="CL268" s="478"/>
      <c r="CM268" s="479"/>
      <c r="CN268" s="477"/>
      <c r="CO268" s="478"/>
      <c r="CP268" s="478"/>
      <c r="CQ268" s="478"/>
      <c r="CR268" s="479"/>
      <c r="CS268" s="480"/>
      <c r="CT268" s="481"/>
      <c r="CU268" s="481"/>
      <c r="CV268" s="481"/>
      <c r="CW268" s="482"/>
    </row>
    <row r="269" spans="1:101" s="91" customFormat="1" ht="16.5" x14ac:dyDescent="0.15">
      <c r="A269" s="516">
        <v>44</v>
      </c>
      <c r="B269" s="102"/>
      <c r="C269" s="216" t="str">
        <f t="shared" ca="1" si="8"/>
        <v/>
      </c>
      <c r="D269" s="519"/>
      <c r="E269" s="649"/>
      <c r="F269" s="649"/>
      <c r="G269" s="649"/>
      <c r="H269" s="649"/>
      <c r="I269" s="649"/>
      <c r="J269" s="649"/>
      <c r="K269" s="525"/>
      <c r="L269" s="538"/>
      <c r="M269" s="538"/>
      <c r="N269" s="538"/>
      <c r="O269" s="538"/>
      <c r="P269" s="538"/>
      <c r="Q269" s="538"/>
      <c r="R269" s="531"/>
      <c r="S269" s="532"/>
      <c r="T269" s="531"/>
      <c r="U269" s="532"/>
      <c r="V269" s="525"/>
      <c r="W269" s="538"/>
      <c r="X269" s="538"/>
      <c r="Y269" s="538"/>
      <c r="Z269" s="538"/>
      <c r="AA269" s="538"/>
      <c r="AB269" s="538"/>
      <c r="AC269" s="525"/>
      <c r="AD269" s="538"/>
      <c r="AE269" s="538"/>
      <c r="AF269" s="538"/>
      <c r="AG269" s="538"/>
      <c r="AH269" s="538"/>
      <c r="AI269" s="538"/>
      <c r="AJ269" s="525"/>
      <c r="AK269" s="538"/>
      <c r="AL269" s="538"/>
      <c r="AM269" s="538"/>
      <c r="AN269" s="538"/>
      <c r="AO269" s="538"/>
      <c r="AP269" s="540"/>
      <c r="AQ269" s="543"/>
      <c r="AR269" s="544"/>
      <c r="AS269" s="544"/>
      <c r="AT269" s="544"/>
      <c r="AU269" s="544"/>
      <c r="AV269" s="544"/>
      <c r="AW269" s="545"/>
      <c r="AX269" s="491"/>
      <c r="AY269" s="492"/>
      <c r="AZ269" s="103">
        <v>1</v>
      </c>
      <c r="BA269" s="552"/>
      <c r="BB269" s="553"/>
      <c r="BC269" s="553"/>
      <c r="BD269" s="554"/>
      <c r="BE269" s="500"/>
      <c r="BF269" s="501"/>
      <c r="BG269" s="104"/>
      <c r="BH269" s="502"/>
      <c r="BI269" s="503"/>
      <c r="BJ269" s="503"/>
      <c r="BK269" s="503"/>
      <c r="BL269" s="503"/>
      <c r="BM269" s="504"/>
      <c r="BN269" s="502"/>
      <c r="BO269" s="503"/>
      <c r="BP269" s="503"/>
      <c r="BQ269" s="503"/>
      <c r="BR269" s="503"/>
      <c r="BS269" s="504"/>
      <c r="BT269" s="502"/>
      <c r="BU269" s="503"/>
      <c r="BV269" s="503"/>
      <c r="BW269" s="503"/>
      <c r="BX269" s="503"/>
      <c r="BY269" s="504"/>
      <c r="BZ269" s="552"/>
      <c r="CA269" s="553"/>
      <c r="CB269" s="553"/>
      <c r="CC269" s="554"/>
      <c r="CD269" s="477"/>
      <c r="CE269" s="478"/>
      <c r="CF269" s="478"/>
      <c r="CG269" s="478"/>
      <c r="CH269" s="479"/>
      <c r="CI269" s="477"/>
      <c r="CJ269" s="478"/>
      <c r="CK269" s="478"/>
      <c r="CL269" s="478"/>
      <c r="CM269" s="479"/>
      <c r="CN269" s="477"/>
      <c r="CO269" s="478"/>
      <c r="CP269" s="478"/>
      <c r="CQ269" s="478"/>
      <c r="CR269" s="479"/>
      <c r="CS269" s="480"/>
      <c r="CT269" s="481"/>
      <c r="CU269" s="481"/>
      <c r="CV269" s="481"/>
      <c r="CW269" s="482"/>
    </row>
    <row r="270" spans="1:101" s="91" customFormat="1" ht="16.5" x14ac:dyDescent="0.15">
      <c r="A270" s="517"/>
      <c r="B270" s="102"/>
      <c r="C270" s="220" t="str">
        <f t="shared" ca="1" si="8"/>
        <v/>
      </c>
      <c r="D270" s="521"/>
      <c r="E270" s="522"/>
      <c r="F270" s="522"/>
      <c r="G270" s="522"/>
      <c r="H270" s="522"/>
      <c r="I270" s="522"/>
      <c r="J270" s="522"/>
      <c r="K270" s="527"/>
      <c r="L270" s="528"/>
      <c r="M270" s="528"/>
      <c r="N270" s="528"/>
      <c r="O270" s="528"/>
      <c r="P270" s="528"/>
      <c r="Q270" s="528"/>
      <c r="R270" s="533"/>
      <c r="S270" s="534"/>
      <c r="T270" s="533"/>
      <c r="U270" s="534"/>
      <c r="V270" s="527"/>
      <c r="W270" s="528"/>
      <c r="X270" s="528"/>
      <c r="Y270" s="528"/>
      <c r="Z270" s="528"/>
      <c r="AA270" s="528"/>
      <c r="AB270" s="528"/>
      <c r="AC270" s="527"/>
      <c r="AD270" s="528"/>
      <c r="AE270" s="528"/>
      <c r="AF270" s="528"/>
      <c r="AG270" s="528"/>
      <c r="AH270" s="528"/>
      <c r="AI270" s="528"/>
      <c r="AJ270" s="527"/>
      <c r="AK270" s="528"/>
      <c r="AL270" s="528"/>
      <c r="AM270" s="528"/>
      <c r="AN270" s="528"/>
      <c r="AO270" s="528"/>
      <c r="AP270" s="541"/>
      <c r="AQ270" s="546"/>
      <c r="AR270" s="547"/>
      <c r="AS270" s="547"/>
      <c r="AT270" s="547"/>
      <c r="AU270" s="547"/>
      <c r="AV270" s="547"/>
      <c r="AW270" s="548"/>
      <c r="AX270" s="493"/>
      <c r="AY270" s="494"/>
      <c r="AZ270" s="105">
        <v>2</v>
      </c>
      <c r="BA270" s="483"/>
      <c r="BB270" s="484"/>
      <c r="BC270" s="484"/>
      <c r="BD270" s="485"/>
      <c r="BE270" s="486"/>
      <c r="BF270" s="487"/>
      <c r="BG270" s="106"/>
      <c r="BH270" s="488"/>
      <c r="BI270" s="489"/>
      <c r="BJ270" s="489"/>
      <c r="BK270" s="489"/>
      <c r="BL270" s="489"/>
      <c r="BM270" s="490"/>
      <c r="BN270" s="488"/>
      <c r="BO270" s="489"/>
      <c r="BP270" s="489"/>
      <c r="BQ270" s="489"/>
      <c r="BR270" s="489"/>
      <c r="BS270" s="490"/>
      <c r="BT270" s="488"/>
      <c r="BU270" s="489"/>
      <c r="BV270" s="489"/>
      <c r="BW270" s="489"/>
      <c r="BX270" s="489"/>
      <c r="BY270" s="490"/>
      <c r="BZ270" s="483"/>
      <c r="CA270" s="484"/>
      <c r="CB270" s="484"/>
      <c r="CC270" s="485"/>
      <c r="CD270" s="477"/>
      <c r="CE270" s="478"/>
      <c r="CF270" s="478"/>
      <c r="CG270" s="478"/>
      <c r="CH270" s="479"/>
      <c r="CI270" s="477"/>
      <c r="CJ270" s="478"/>
      <c r="CK270" s="478"/>
      <c r="CL270" s="478"/>
      <c r="CM270" s="479"/>
      <c r="CN270" s="477"/>
      <c r="CO270" s="478"/>
      <c r="CP270" s="478"/>
      <c r="CQ270" s="478"/>
      <c r="CR270" s="479"/>
      <c r="CS270" s="480"/>
      <c r="CT270" s="481"/>
      <c r="CU270" s="481"/>
      <c r="CV270" s="481"/>
      <c r="CW270" s="482"/>
    </row>
    <row r="271" spans="1:101" s="91" customFormat="1" ht="16.5" x14ac:dyDescent="0.15">
      <c r="A271" s="517"/>
      <c r="B271" s="102"/>
      <c r="C271" s="220" t="str">
        <f t="shared" ca="1" si="8"/>
        <v/>
      </c>
      <c r="D271" s="521"/>
      <c r="E271" s="522"/>
      <c r="F271" s="522"/>
      <c r="G271" s="522"/>
      <c r="H271" s="522"/>
      <c r="I271" s="522"/>
      <c r="J271" s="522"/>
      <c r="K271" s="527"/>
      <c r="L271" s="528"/>
      <c r="M271" s="528"/>
      <c r="N271" s="528"/>
      <c r="O271" s="528"/>
      <c r="P271" s="528"/>
      <c r="Q271" s="528"/>
      <c r="R271" s="533"/>
      <c r="S271" s="534"/>
      <c r="T271" s="533"/>
      <c r="U271" s="534"/>
      <c r="V271" s="527"/>
      <c r="W271" s="528"/>
      <c r="X271" s="528"/>
      <c r="Y271" s="528"/>
      <c r="Z271" s="528"/>
      <c r="AA271" s="528"/>
      <c r="AB271" s="528"/>
      <c r="AC271" s="527"/>
      <c r="AD271" s="528"/>
      <c r="AE271" s="528"/>
      <c r="AF271" s="528"/>
      <c r="AG271" s="528"/>
      <c r="AH271" s="528"/>
      <c r="AI271" s="528"/>
      <c r="AJ271" s="527"/>
      <c r="AK271" s="528"/>
      <c r="AL271" s="528"/>
      <c r="AM271" s="528"/>
      <c r="AN271" s="528"/>
      <c r="AO271" s="528"/>
      <c r="AP271" s="541"/>
      <c r="AQ271" s="546"/>
      <c r="AR271" s="547"/>
      <c r="AS271" s="547"/>
      <c r="AT271" s="547"/>
      <c r="AU271" s="547"/>
      <c r="AV271" s="547"/>
      <c r="AW271" s="548"/>
      <c r="AX271" s="493"/>
      <c r="AY271" s="494"/>
      <c r="AZ271" s="105">
        <v>3</v>
      </c>
      <c r="BA271" s="483"/>
      <c r="BB271" s="484"/>
      <c r="BC271" s="484"/>
      <c r="BD271" s="485"/>
      <c r="BE271" s="486"/>
      <c r="BF271" s="487"/>
      <c r="BG271" s="106"/>
      <c r="BH271" s="488"/>
      <c r="BI271" s="489"/>
      <c r="BJ271" s="489"/>
      <c r="BK271" s="489"/>
      <c r="BL271" s="489"/>
      <c r="BM271" s="490"/>
      <c r="BN271" s="488"/>
      <c r="BO271" s="489"/>
      <c r="BP271" s="489"/>
      <c r="BQ271" s="489"/>
      <c r="BR271" s="489"/>
      <c r="BS271" s="490"/>
      <c r="BT271" s="488"/>
      <c r="BU271" s="489"/>
      <c r="BV271" s="489"/>
      <c r="BW271" s="489"/>
      <c r="BX271" s="489"/>
      <c r="BY271" s="490"/>
      <c r="BZ271" s="483"/>
      <c r="CA271" s="484"/>
      <c r="CB271" s="484"/>
      <c r="CC271" s="485"/>
      <c r="CD271" s="477"/>
      <c r="CE271" s="478"/>
      <c r="CF271" s="478"/>
      <c r="CG271" s="478"/>
      <c r="CH271" s="479"/>
      <c r="CI271" s="477"/>
      <c r="CJ271" s="478"/>
      <c r="CK271" s="478"/>
      <c r="CL271" s="478"/>
      <c r="CM271" s="479"/>
      <c r="CN271" s="477"/>
      <c r="CO271" s="478"/>
      <c r="CP271" s="478"/>
      <c r="CQ271" s="478"/>
      <c r="CR271" s="479"/>
      <c r="CS271" s="480"/>
      <c r="CT271" s="481"/>
      <c r="CU271" s="481"/>
      <c r="CV271" s="481"/>
      <c r="CW271" s="482"/>
    </row>
    <row r="272" spans="1:101" s="91" customFormat="1" ht="16.5" x14ac:dyDescent="0.15">
      <c r="A272" s="517"/>
      <c r="B272" s="102"/>
      <c r="C272" s="220" t="str">
        <f t="shared" ca="1" si="8"/>
        <v/>
      </c>
      <c r="D272" s="521"/>
      <c r="E272" s="522"/>
      <c r="F272" s="522"/>
      <c r="G272" s="522"/>
      <c r="H272" s="522"/>
      <c r="I272" s="522"/>
      <c r="J272" s="522"/>
      <c r="K272" s="527"/>
      <c r="L272" s="528"/>
      <c r="M272" s="528"/>
      <c r="N272" s="528"/>
      <c r="O272" s="528"/>
      <c r="P272" s="528"/>
      <c r="Q272" s="528"/>
      <c r="R272" s="533"/>
      <c r="S272" s="534"/>
      <c r="T272" s="533"/>
      <c r="U272" s="534"/>
      <c r="V272" s="527"/>
      <c r="W272" s="528"/>
      <c r="X272" s="528"/>
      <c r="Y272" s="528"/>
      <c r="Z272" s="528"/>
      <c r="AA272" s="528"/>
      <c r="AB272" s="528"/>
      <c r="AC272" s="527"/>
      <c r="AD272" s="528"/>
      <c r="AE272" s="528"/>
      <c r="AF272" s="528"/>
      <c r="AG272" s="528"/>
      <c r="AH272" s="528"/>
      <c r="AI272" s="528"/>
      <c r="AJ272" s="527"/>
      <c r="AK272" s="528"/>
      <c r="AL272" s="528"/>
      <c r="AM272" s="528"/>
      <c r="AN272" s="528"/>
      <c r="AO272" s="528"/>
      <c r="AP272" s="541"/>
      <c r="AQ272" s="546"/>
      <c r="AR272" s="547"/>
      <c r="AS272" s="547"/>
      <c r="AT272" s="547"/>
      <c r="AU272" s="547"/>
      <c r="AV272" s="547"/>
      <c r="AW272" s="548"/>
      <c r="AX272" s="493"/>
      <c r="AY272" s="494"/>
      <c r="AZ272" s="105">
        <v>4</v>
      </c>
      <c r="BA272" s="483"/>
      <c r="BB272" s="484"/>
      <c r="BC272" s="484"/>
      <c r="BD272" s="485"/>
      <c r="BE272" s="486"/>
      <c r="BF272" s="487"/>
      <c r="BG272" s="106"/>
      <c r="BH272" s="488"/>
      <c r="BI272" s="489"/>
      <c r="BJ272" s="489"/>
      <c r="BK272" s="489"/>
      <c r="BL272" s="489"/>
      <c r="BM272" s="490"/>
      <c r="BN272" s="488"/>
      <c r="BO272" s="489"/>
      <c r="BP272" s="489"/>
      <c r="BQ272" s="489"/>
      <c r="BR272" s="489"/>
      <c r="BS272" s="490"/>
      <c r="BT272" s="488"/>
      <c r="BU272" s="489"/>
      <c r="BV272" s="489"/>
      <c r="BW272" s="489"/>
      <c r="BX272" s="489"/>
      <c r="BY272" s="490"/>
      <c r="BZ272" s="483"/>
      <c r="CA272" s="484"/>
      <c r="CB272" s="484"/>
      <c r="CC272" s="485"/>
      <c r="CD272" s="477"/>
      <c r="CE272" s="478"/>
      <c r="CF272" s="478"/>
      <c r="CG272" s="478"/>
      <c r="CH272" s="479"/>
      <c r="CI272" s="477"/>
      <c r="CJ272" s="478"/>
      <c r="CK272" s="478"/>
      <c r="CL272" s="478"/>
      <c r="CM272" s="479"/>
      <c r="CN272" s="477"/>
      <c r="CO272" s="478"/>
      <c r="CP272" s="478"/>
      <c r="CQ272" s="478"/>
      <c r="CR272" s="479"/>
      <c r="CS272" s="480"/>
      <c r="CT272" s="481"/>
      <c r="CU272" s="481"/>
      <c r="CV272" s="481"/>
      <c r="CW272" s="482"/>
    </row>
    <row r="273" spans="1:101" s="91" customFormat="1" ht="16.5" x14ac:dyDescent="0.15">
      <c r="A273" s="517"/>
      <c r="B273" s="102"/>
      <c r="C273" s="220" t="str">
        <f t="shared" ca="1" si="8"/>
        <v/>
      </c>
      <c r="D273" s="521"/>
      <c r="E273" s="522"/>
      <c r="F273" s="522"/>
      <c r="G273" s="522"/>
      <c r="H273" s="522"/>
      <c r="I273" s="522"/>
      <c r="J273" s="522"/>
      <c r="K273" s="527"/>
      <c r="L273" s="528"/>
      <c r="M273" s="528"/>
      <c r="N273" s="528"/>
      <c r="O273" s="528"/>
      <c r="P273" s="528"/>
      <c r="Q273" s="528"/>
      <c r="R273" s="533"/>
      <c r="S273" s="534"/>
      <c r="T273" s="533"/>
      <c r="U273" s="534"/>
      <c r="V273" s="527"/>
      <c r="W273" s="528"/>
      <c r="X273" s="528"/>
      <c r="Y273" s="528"/>
      <c r="Z273" s="528"/>
      <c r="AA273" s="528"/>
      <c r="AB273" s="528"/>
      <c r="AC273" s="527"/>
      <c r="AD273" s="528"/>
      <c r="AE273" s="528"/>
      <c r="AF273" s="528"/>
      <c r="AG273" s="528"/>
      <c r="AH273" s="528"/>
      <c r="AI273" s="528"/>
      <c r="AJ273" s="527"/>
      <c r="AK273" s="528"/>
      <c r="AL273" s="528"/>
      <c r="AM273" s="528"/>
      <c r="AN273" s="528"/>
      <c r="AO273" s="528"/>
      <c r="AP273" s="541"/>
      <c r="AQ273" s="546"/>
      <c r="AR273" s="547"/>
      <c r="AS273" s="547"/>
      <c r="AT273" s="547"/>
      <c r="AU273" s="547"/>
      <c r="AV273" s="547"/>
      <c r="AW273" s="548"/>
      <c r="AX273" s="493"/>
      <c r="AY273" s="494"/>
      <c r="AZ273" s="105">
        <v>5</v>
      </c>
      <c r="BA273" s="483"/>
      <c r="BB273" s="484"/>
      <c r="BC273" s="484"/>
      <c r="BD273" s="485"/>
      <c r="BE273" s="486"/>
      <c r="BF273" s="487"/>
      <c r="BG273" s="106"/>
      <c r="BH273" s="488"/>
      <c r="BI273" s="489"/>
      <c r="BJ273" s="489"/>
      <c r="BK273" s="489"/>
      <c r="BL273" s="489"/>
      <c r="BM273" s="490"/>
      <c r="BN273" s="488"/>
      <c r="BO273" s="489"/>
      <c r="BP273" s="489"/>
      <c r="BQ273" s="489"/>
      <c r="BR273" s="489"/>
      <c r="BS273" s="490"/>
      <c r="BT273" s="488"/>
      <c r="BU273" s="489"/>
      <c r="BV273" s="489"/>
      <c r="BW273" s="489"/>
      <c r="BX273" s="489"/>
      <c r="BY273" s="490"/>
      <c r="BZ273" s="483"/>
      <c r="CA273" s="484"/>
      <c r="CB273" s="484"/>
      <c r="CC273" s="485"/>
      <c r="CD273" s="477"/>
      <c r="CE273" s="478"/>
      <c r="CF273" s="478"/>
      <c r="CG273" s="478"/>
      <c r="CH273" s="479"/>
      <c r="CI273" s="477"/>
      <c r="CJ273" s="478"/>
      <c r="CK273" s="478"/>
      <c r="CL273" s="478"/>
      <c r="CM273" s="479"/>
      <c r="CN273" s="477"/>
      <c r="CO273" s="478"/>
      <c r="CP273" s="478"/>
      <c r="CQ273" s="478"/>
      <c r="CR273" s="479"/>
      <c r="CS273" s="480"/>
      <c r="CT273" s="481"/>
      <c r="CU273" s="481"/>
      <c r="CV273" s="481"/>
      <c r="CW273" s="482"/>
    </row>
    <row r="274" spans="1:101" s="91" customFormat="1" ht="16.5" x14ac:dyDescent="0.15">
      <c r="A274" s="518"/>
      <c r="B274" s="107"/>
      <c r="C274" s="219" t="str">
        <f t="shared" ca="1" si="8"/>
        <v/>
      </c>
      <c r="D274" s="523"/>
      <c r="E274" s="650"/>
      <c r="F274" s="650"/>
      <c r="G274" s="650"/>
      <c r="H274" s="650"/>
      <c r="I274" s="650"/>
      <c r="J274" s="650"/>
      <c r="K274" s="529"/>
      <c r="L274" s="539"/>
      <c r="M274" s="539"/>
      <c r="N274" s="539"/>
      <c r="O274" s="539"/>
      <c r="P274" s="539"/>
      <c r="Q274" s="539"/>
      <c r="R274" s="535"/>
      <c r="S274" s="537"/>
      <c r="T274" s="535"/>
      <c r="U274" s="537"/>
      <c r="V274" s="529"/>
      <c r="W274" s="539"/>
      <c r="X274" s="539"/>
      <c r="Y274" s="539"/>
      <c r="Z274" s="539"/>
      <c r="AA274" s="539"/>
      <c r="AB274" s="539"/>
      <c r="AC274" s="529"/>
      <c r="AD274" s="539"/>
      <c r="AE274" s="539"/>
      <c r="AF274" s="539"/>
      <c r="AG274" s="539"/>
      <c r="AH274" s="539"/>
      <c r="AI274" s="539"/>
      <c r="AJ274" s="529"/>
      <c r="AK274" s="539"/>
      <c r="AL274" s="539"/>
      <c r="AM274" s="539"/>
      <c r="AN274" s="539"/>
      <c r="AO274" s="539"/>
      <c r="AP274" s="542"/>
      <c r="AQ274" s="549"/>
      <c r="AR274" s="550"/>
      <c r="AS274" s="550"/>
      <c r="AT274" s="550"/>
      <c r="AU274" s="550"/>
      <c r="AV274" s="550"/>
      <c r="AW274" s="551"/>
      <c r="AX274" s="495"/>
      <c r="AY274" s="496"/>
      <c r="AZ274" s="108">
        <v>6</v>
      </c>
      <c r="BA274" s="505"/>
      <c r="BB274" s="506"/>
      <c r="BC274" s="506"/>
      <c r="BD274" s="507"/>
      <c r="BE274" s="644"/>
      <c r="BF274" s="645"/>
      <c r="BG274" s="109"/>
      <c r="BH274" s="510"/>
      <c r="BI274" s="511"/>
      <c r="BJ274" s="511"/>
      <c r="BK274" s="511"/>
      <c r="BL274" s="511"/>
      <c r="BM274" s="512"/>
      <c r="BN274" s="510"/>
      <c r="BO274" s="511"/>
      <c r="BP274" s="511"/>
      <c r="BQ274" s="511"/>
      <c r="BR274" s="511"/>
      <c r="BS274" s="512"/>
      <c r="BT274" s="510"/>
      <c r="BU274" s="511"/>
      <c r="BV274" s="511"/>
      <c r="BW274" s="511"/>
      <c r="BX274" s="511"/>
      <c r="BY274" s="512"/>
      <c r="BZ274" s="505"/>
      <c r="CA274" s="506"/>
      <c r="CB274" s="506"/>
      <c r="CC274" s="507"/>
      <c r="CD274" s="477"/>
      <c r="CE274" s="478"/>
      <c r="CF274" s="478"/>
      <c r="CG274" s="478"/>
      <c r="CH274" s="479"/>
      <c r="CI274" s="477"/>
      <c r="CJ274" s="478"/>
      <c r="CK274" s="478"/>
      <c r="CL274" s="478"/>
      <c r="CM274" s="479"/>
      <c r="CN274" s="477"/>
      <c r="CO274" s="478"/>
      <c r="CP274" s="478"/>
      <c r="CQ274" s="478"/>
      <c r="CR274" s="479"/>
      <c r="CS274" s="480"/>
      <c r="CT274" s="481"/>
      <c r="CU274" s="481"/>
      <c r="CV274" s="481"/>
      <c r="CW274" s="482"/>
    </row>
    <row r="275" spans="1:101" s="91" customFormat="1" ht="16.5" x14ac:dyDescent="0.15">
      <c r="A275" s="516">
        <v>45</v>
      </c>
      <c r="B275" s="102"/>
      <c r="C275" s="222" t="str">
        <f t="shared" ca="1" si="8"/>
        <v/>
      </c>
      <c r="D275" s="519"/>
      <c r="E275" s="649"/>
      <c r="F275" s="649"/>
      <c r="G275" s="649"/>
      <c r="H275" s="649"/>
      <c r="I275" s="649"/>
      <c r="J275" s="649"/>
      <c r="K275" s="525"/>
      <c r="L275" s="538"/>
      <c r="M275" s="538"/>
      <c r="N275" s="538"/>
      <c r="O275" s="538"/>
      <c r="P275" s="538"/>
      <c r="Q275" s="538"/>
      <c r="R275" s="531"/>
      <c r="S275" s="532"/>
      <c r="T275" s="531"/>
      <c r="U275" s="532"/>
      <c r="V275" s="525"/>
      <c r="W275" s="538"/>
      <c r="X275" s="538"/>
      <c r="Y275" s="538"/>
      <c r="Z275" s="538"/>
      <c r="AA275" s="538"/>
      <c r="AB275" s="538"/>
      <c r="AC275" s="525"/>
      <c r="AD275" s="538"/>
      <c r="AE275" s="538"/>
      <c r="AF275" s="538"/>
      <c r="AG275" s="538"/>
      <c r="AH275" s="538"/>
      <c r="AI275" s="538"/>
      <c r="AJ275" s="525"/>
      <c r="AK275" s="538"/>
      <c r="AL275" s="538"/>
      <c r="AM275" s="538"/>
      <c r="AN275" s="538"/>
      <c r="AO275" s="538"/>
      <c r="AP275" s="540"/>
      <c r="AQ275" s="543"/>
      <c r="AR275" s="544"/>
      <c r="AS275" s="544"/>
      <c r="AT275" s="544"/>
      <c r="AU275" s="544"/>
      <c r="AV275" s="544"/>
      <c r="AW275" s="545"/>
      <c r="AX275" s="491"/>
      <c r="AY275" s="492"/>
      <c r="AZ275" s="103">
        <v>1</v>
      </c>
      <c r="BA275" s="497"/>
      <c r="BB275" s="498"/>
      <c r="BC275" s="498"/>
      <c r="BD275" s="499"/>
      <c r="BE275" s="500"/>
      <c r="BF275" s="501"/>
      <c r="BG275" s="110"/>
      <c r="BH275" s="502"/>
      <c r="BI275" s="503"/>
      <c r="BJ275" s="503"/>
      <c r="BK275" s="503"/>
      <c r="BL275" s="503"/>
      <c r="BM275" s="504"/>
      <c r="BN275" s="502"/>
      <c r="BO275" s="503"/>
      <c r="BP275" s="503"/>
      <c r="BQ275" s="503"/>
      <c r="BR275" s="503"/>
      <c r="BS275" s="504"/>
      <c r="BT275" s="502"/>
      <c r="BU275" s="503"/>
      <c r="BV275" s="503"/>
      <c r="BW275" s="503"/>
      <c r="BX275" s="503"/>
      <c r="BY275" s="504"/>
      <c r="BZ275" s="497"/>
      <c r="CA275" s="498"/>
      <c r="CB275" s="498"/>
      <c r="CC275" s="499"/>
      <c r="CD275" s="477"/>
      <c r="CE275" s="478"/>
      <c r="CF275" s="478"/>
      <c r="CG275" s="478"/>
      <c r="CH275" s="479"/>
      <c r="CI275" s="477"/>
      <c r="CJ275" s="478"/>
      <c r="CK275" s="478"/>
      <c r="CL275" s="478"/>
      <c r="CM275" s="479"/>
      <c r="CN275" s="477"/>
      <c r="CO275" s="478"/>
      <c r="CP275" s="478"/>
      <c r="CQ275" s="478"/>
      <c r="CR275" s="479"/>
      <c r="CS275" s="480"/>
      <c r="CT275" s="481"/>
      <c r="CU275" s="481"/>
      <c r="CV275" s="481"/>
      <c r="CW275" s="482"/>
    </row>
    <row r="276" spans="1:101" s="91" customFormat="1" ht="16.5" x14ac:dyDescent="0.15">
      <c r="A276" s="517"/>
      <c r="B276" s="102"/>
      <c r="C276" s="220" t="str">
        <f t="shared" ca="1" si="8"/>
        <v/>
      </c>
      <c r="D276" s="521"/>
      <c r="E276" s="522"/>
      <c r="F276" s="522"/>
      <c r="G276" s="522"/>
      <c r="H276" s="522"/>
      <c r="I276" s="522"/>
      <c r="J276" s="522"/>
      <c r="K276" s="527"/>
      <c r="L276" s="528"/>
      <c r="M276" s="528"/>
      <c r="N276" s="528"/>
      <c r="O276" s="528"/>
      <c r="P276" s="528"/>
      <c r="Q276" s="528"/>
      <c r="R276" s="533"/>
      <c r="S276" s="534"/>
      <c r="T276" s="533"/>
      <c r="U276" s="534"/>
      <c r="V276" s="527"/>
      <c r="W276" s="528"/>
      <c r="X276" s="528"/>
      <c r="Y276" s="528"/>
      <c r="Z276" s="528"/>
      <c r="AA276" s="528"/>
      <c r="AB276" s="528"/>
      <c r="AC276" s="527"/>
      <c r="AD276" s="528"/>
      <c r="AE276" s="528"/>
      <c r="AF276" s="528"/>
      <c r="AG276" s="528"/>
      <c r="AH276" s="528"/>
      <c r="AI276" s="528"/>
      <c r="AJ276" s="527"/>
      <c r="AK276" s="528"/>
      <c r="AL276" s="528"/>
      <c r="AM276" s="528"/>
      <c r="AN276" s="528"/>
      <c r="AO276" s="528"/>
      <c r="AP276" s="541"/>
      <c r="AQ276" s="546"/>
      <c r="AR276" s="547"/>
      <c r="AS276" s="547"/>
      <c r="AT276" s="547"/>
      <c r="AU276" s="547"/>
      <c r="AV276" s="547"/>
      <c r="AW276" s="548"/>
      <c r="AX276" s="493"/>
      <c r="AY276" s="494"/>
      <c r="AZ276" s="105">
        <v>2</v>
      </c>
      <c r="BA276" s="483"/>
      <c r="BB276" s="484"/>
      <c r="BC276" s="484"/>
      <c r="BD276" s="485"/>
      <c r="BE276" s="486"/>
      <c r="BF276" s="487"/>
      <c r="BG276" s="106"/>
      <c r="BH276" s="488"/>
      <c r="BI276" s="489"/>
      <c r="BJ276" s="489"/>
      <c r="BK276" s="489"/>
      <c r="BL276" s="489"/>
      <c r="BM276" s="490"/>
      <c r="BN276" s="488"/>
      <c r="BO276" s="489"/>
      <c r="BP276" s="489"/>
      <c r="BQ276" s="489"/>
      <c r="BR276" s="489"/>
      <c r="BS276" s="490"/>
      <c r="BT276" s="488"/>
      <c r="BU276" s="489"/>
      <c r="BV276" s="489"/>
      <c r="BW276" s="489"/>
      <c r="BX276" s="489"/>
      <c r="BY276" s="490"/>
      <c r="BZ276" s="483"/>
      <c r="CA276" s="484"/>
      <c r="CB276" s="484"/>
      <c r="CC276" s="485"/>
      <c r="CD276" s="477"/>
      <c r="CE276" s="478"/>
      <c r="CF276" s="478"/>
      <c r="CG276" s="478"/>
      <c r="CH276" s="479"/>
      <c r="CI276" s="477"/>
      <c r="CJ276" s="478"/>
      <c r="CK276" s="478"/>
      <c r="CL276" s="478"/>
      <c r="CM276" s="479"/>
      <c r="CN276" s="477"/>
      <c r="CO276" s="478"/>
      <c r="CP276" s="478"/>
      <c r="CQ276" s="478"/>
      <c r="CR276" s="479"/>
      <c r="CS276" s="480"/>
      <c r="CT276" s="481"/>
      <c r="CU276" s="481"/>
      <c r="CV276" s="481"/>
      <c r="CW276" s="482"/>
    </row>
    <row r="277" spans="1:101" s="91" customFormat="1" ht="16.5" x14ac:dyDescent="0.15">
      <c r="A277" s="517"/>
      <c r="B277" s="102"/>
      <c r="C277" s="220" t="str">
        <f t="shared" ca="1" si="8"/>
        <v/>
      </c>
      <c r="D277" s="521"/>
      <c r="E277" s="522"/>
      <c r="F277" s="522"/>
      <c r="G277" s="522"/>
      <c r="H277" s="522"/>
      <c r="I277" s="522"/>
      <c r="J277" s="522"/>
      <c r="K277" s="527"/>
      <c r="L277" s="528"/>
      <c r="M277" s="528"/>
      <c r="N277" s="528"/>
      <c r="O277" s="528"/>
      <c r="P277" s="528"/>
      <c r="Q277" s="528"/>
      <c r="R277" s="533"/>
      <c r="S277" s="534"/>
      <c r="T277" s="533"/>
      <c r="U277" s="534"/>
      <c r="V277" s="527"/>
      <c r="W277" s="528"/>
      <c r="X277" s="528"/>
      <c r="Y277" s="528"/>
      <c r="Z277" s="528"/>
      <c r="AA277" s="528"/>
      <c r="AB277" s="528"/>
      <c r="AC277" s="527"/>
      <c r="AD277" s="528"/>
      <c r="AE277" s="528"/>
      <c r="AF277" s="528"/>
      <c r="AG277" s="528"/>
      <c r="AH277" s="528"/>
      <c r="AI277" s="528"/>
      <c r="AJ277" s="527"/>
      <c r="AK277" s="528"/>
      <c r="AL277" s="528"/>
      <c r="AM277" s="528"/>
      <c r="AN277" s="528"/>
      <c r="AO277" s="528"/>
      <c r="AP277" s="541"/>
      <c r="AQ277" s="546"/>
      <c r="AR277" s="547"/>
      <c r="AS277" s="547"/>
      <c r="AT277" s="547"/>
      <c r="AU277" s="547"/>
      <c r="AV277" s="547"/>
      <c r="AW277" s="548"/>
      <c r="AX277" s="493"/>
      <c r="AY277" s="494"/>
      <c r="AZ277" s="105">
        <v>3</v>
      </c>
      <c r="BA277" s="483"/>
      <c r="BB277" s="484"/>
      <c r="BC277" s="484"/>
      <c r="BD277" s="485"/>
      <c r="BE277" s="486"/>
      <c r="BF277" s="487"/>
      <c r="BG277" s="106"/>
      <c r="BH277" s="488"/>
      <c r="BI277" s="489"/>
      <c r="BJ277" s="489"/>
      <c r="BK277" s="489"/>
      <c r="BL277" s="489"/>
      <c r="BM277" s="490"/>
      <c r="BN277" s="488"/>
      <c r="BO277" s="489"/>
      <c r="BP277" s="489"/>
      <c r="BQ277" s="489"/>
      <c r="BR277" s="489"/>
      <c r="BS277" s="490"/>
      <c r="BT277" s="488"/>
      <c r="BU277" s="489"/>
      <c r="BV277" s="489"/>
      <c r="BW277" s="489"/>
      <c r="BX277" s="489"/>
      <c r="BY277" s="490"/>
      <c r="BZ277" s="483"/>
      <c r="CA277" s="484"/>
      <c r="CB277" s="484"/>
      <c r="CC277" s="485"/>
      <c r="CD277" s="477"/>
      <c r="CE277" s="478"/>
      <c r="CF277" s="478"/>
      <c r="CG277" s="478"/>
      <c r="CH277" s="479"/>
      <c r="CI277" s="477"/>
      <c r="CJ277" s="478"/>
      <c r="CK277" s="478"/>
      <c r="CL277" s="478"/>
      <c r="CM277" s="479"/>
      <c r="CN277" s="477"/>
      <c r="CO277" s="478"/>
      <c r="CP277" s="478"/>
      <c r="CQ277" s="478"/>
      <c r="CR277" s="479"/>
      <c r="CS277" s="480"/>
      <c r="CT277" s="481"/>
      <c r="CU277" s="481"/>
      <c r="CV277" s="481"/>
      <c r="CW277" s="482"/>
    </row>
    <row r="278" spans="1:101" s="91" customFormat="1" ht="16.5" x14ac:dyDescent="0.15">
      <c r="A278" s="517"/>
      <c r="B278" s="102"/>
      <c r="C278" s="220" t="str">
        <f t="shared" ca="1" si="8"/>
        <v/>
      </c>
      <c r="D278" s="521"/>
      <c r="E278" s="522"/>
      <c r="F278" s="522"/>
      <c r="G278" s="522"/>
      <c r="H278" s="522"/>
      <c r="I278" s="522"/>
      <c r="J278" s="522"/>
      <c r="K278" s="527"/>
      <c r="L278" s="528"/>
      <c r="M278" s="528"/>
      <c r="N278" s="528"/>
      <c r="O278" s="528"/>
      <c r="P278" s="528"/>
      <c r="Q278" s="528"/>
      <c r="R278" s="533"/>
      <c r="S278" s="534"/>
      <c r="T278" s="533"/>
      <c r="U278" s="534"/>
      <c r="V278" s="527"/>
      <c r="W278" s="528"/>
      <c r="X278" s="528"/>
      <c r="Y278" s="528"/>
      <c r="Z278" s="528"/>
      <c r="AA278" s="528"/>
      <c r="AB278" s="528"/>
      <c r="AC278" s="527"/>
      <c r="AD278" s="528"/>
      <c r="AE278" s="528"/>
      <c r="AF278" s="528"/>
      <c r="AG278" s="528"/>
      <c r="AH278" s="528"/>
      <c r="AI278" s="528"/>
      <c r="AJ278" s="527"/>
      <c r="AK278" s="528"/>
      <c r="AL278" s="528"/>
      <c r="AM278" s="528"/>
      <c r="AN278" s="528"/>
      <c r="AO278" s="528"/>
      <c r="AP278" s="541"/>
      <c r="AQ278" s="546"/>
      <c r="AR278" s="547"/>
      <c r="AS278" s="547"/>
      <c r="AT278" s="547"/>
      <c r="AU278" s="547"/>
      <c r="AV278" s="547"/>
      <c r="AW278" s="548"/>
      <c r="AX278" s="493"/>
      <c r="AY278" s="494"/>
      <c r="AZ278" s="105">
        <v>4</v>
      </c>
      <c r="BA278" s="483"/>
      <c r="BB278" s="484"/>
      <c r="BC278" s="484"/>
      <c r="BD278" s="485"/>
      <c r="BE278" s="486"/>
      <c r="BF278" s="487"/>
      <c r="BG278" s="106"/>
      <c r="BH278" s="488"/>
      <c r="BI278" s="489"/>
      <c r="BJ278" s="489"/>
      <c r="BK278" s="489"/>
      <c r="BL278" s="489"/>
      <c r="BM278" s="490"/>
      <c r="BN278" s="488"/>
      <c r="BO278" s="489"/>
      <c r="BP278" s="489"/>
      <c r="BQ278" s="489"/>
      <c r="BR278" s="489"/>
      <c r="BS278" s="490"/>
      <c r="BT278" s="488"/>
      <c r="BU278" s="489"/>
      <c r="BV278" s="489"/>
      <c r="BW278" s="489"/>
      <c r="BX278" s="489"/>
      <c r="BY278" s="490"/>
      <c r="BZ278" s="483"/>
      <c r="CA278" s="484"/>
      <c r="CB278" s="484"/>
      <c r="CC278" s="485"/>
      <c r="CD278" s="477"/>
      <c r="CE278" s="478"/>
      <c r="CF278" s="478"/>
      <c r="CG278" s="478"/>
      <c r="CH278" s="479"/>
      <c r="CI278" s="477"/>
      <c r="CJ278" s="478"/>
      <c r="CK278" s="478"/>
      <c r="CL278" s="478"/>
      <c r="CM278" s="479"/>
      <c r="CN278" s="477"/>
      <c r="CO278" s="478"/>
      <c r="CP278" s="478"/>
      <c r="CQ278" s="478"/>
      <c r="CR278" s="479"/>
      <c r="CS278" s="480"/>
      <c r="CT278" s="481"/>
      <c r="CU278" s="481"/>
      <c r="CV278" s="481"/>
      <c r="CW278" s="482"/>
    </row>
    <row r="279" spans="1:101" s="91" customFormat="1" ht="16.5" x14ac:dyDescent="0.15">
      <c r="A279" s="517"/>
      <c r="B279" s="102"/>
      <c r="C279" s="220" t="str">
        <f t="shared" ca="1" si="8"/>
        <v/>
      </c>
      <c r="D279" s="521"/>
      <c r="E279" s="522"/>
      <c r="F279" s="522"/>
      <c r="G279" s="522"/>
      <c r="H279" s="522"/>
      <c r="I279" s="522"/>
      <c r="J279" s="522"/>
      <c r="K279" s="527"/>
      <c r="L279" s="528"/>
      <c r="M279" s="528"/>
      <c r="N279" s="528"/>
      <c r="O279" s="528"/>
      <c r="P279" s="528"/>
      <c r="Q279" s="528"/>
      <c r="R279" s="533"/>
      <c r="S279" s="534"/>
      <c r="T279" s="533"/>
      <c r="U279" s="534"/>
      <c r="V279" s="527"/>
      <c r="W279" s="528"/>
      <c r="X279" s="528"/>
      <c r="Y279" s="528"/>
      <c r="Z279" s="528"/>
      <c r="AA279" s="528"/>
      <c r="AB279" s="528"/>
      <c r="AC279" s="527"/>
      <c r="AD279" s="528"/>
      <c r="AE279" s="528"/>
      <c r="AF279" s="528"/>
      <c r="AG279" s="528"/>
      <c r="AH279" s="528"/>
      <c r="AI279" s="528"/>
      <c r="AJ279" s="527"/>
      <c r="AK279" s="528"/>
      <c r="AL279" s="528"/>
      <c r="AM279" s="528"/>
      <c r="AN279" s="528"/>
      <c r="AO279" s="528"/>
      <c r="AP279" s="541"/>
      <c r="AQ279" s="546"/>
      <c r="AR279" s="547"/>
      <c r="AS279" s="547"/>
      <c r="AT279" s="547"/>
      <c r="AU279" s="547"/>
      <c r="AV279" s="547"/>
      <c r="AW279" s="548"/>
      <c r="AX279" s="493"/>
      <c r="AY279" s="494"/>
      <c r="AZ279" s="105">
        <v>5</v>
      </c>
      <c r="BA279" s="483"/>
      <c r="BB279" s="484"/>
      <c r="BC279" s="484"/>
      <c r="BD279" s="485"/>
      <c r="BE279" s="486"/>
      <c r="BF279" s="487"/>
      <c r="BG279" s="106"/>
      <c r="BH279" s="488"/>
      <c r="BI279" s="489"/>
      <c r="BJ279" s="489"/>
      <c r="BK279" s="489"/>
      <c r="BL279" s="489"/>
      <c r="BM279" s="490"/>
      <c r="BN279" s="488"/>
      <c r="BO279" s="489"/>
      <c r="BP279" s="489"/>
      <c r="BQ279" s="489"/>
      <c r="BR279" s="489"/>
      <c r="BS279" s="490"/>
      <c r="BT279" s="488"/>
      <c r="BU279" s="489"/>
      <c r="BV279" s="489"/>
      <c r="BW279" s="489"/>
      <c r="BX279" s="489"/>
      <c r="BY279" s="490"/>
      <c r="BZ279" s="483"/>
      <c r="CA279" s="484"/>
      <c r="CB279" s="484"/>
      <c r="CC279" s="485"/>
      <c r="CD279" s="477"/>
      <c r="CE279" s="478"/>
      <c r="CF279" s="478"/>
      <c r="CG279" s="478"/>
      <c r="CH279" s="479"/>
      <c r="CI279" s="477"/>
      <c r="CJ279" s="478"/>
      <c r="CK279" s="478"/>
      <c r="CL279" s="478"/>
      <c r="CM279" s="479"/>
      <c r="CN279" s="477"/>
      <c r="CO279" s="478"/>
      <c r="CP279" s="478"/>
      <c r="CQ279" s="478"/>
      <c r="CR279" s="479"/>
      <c r="CS279" s="480"/>
      <c r="CT279" s="481"/>
      <c r="CU279" s="481"/>
      <c r="CV279" s="481"/>
      <c r="CW279" s="482"/>
    </row>
    <row r="280" spans="1:101" s="91" customFormat="1" ht="16.5" x14ac:dyDescent="0.15">
      <c r="A280" s="518"/>
      <c r="B280" s="107"/>
      <c r="C280" s="219" t="str">
        <f t="shared" ca="1" si="8"/>
        <v/>
      </c>
      <c r="D280" s="523"/>
      <c r="E280" s="650"/>
      <c r="F280" s="650"/>
      <c r="G280" s="650"/>
      <c r="H280" s="650"/>
      <c r="I280" s="650"/>
      <c r="J280" s="650"/>
      <c r="K280" s="529"/>
      <c r="L280" s="539"/>
      <c r="M280" s="539"/>
      <c r="N280" s="539"/>
      <c r="O280" s="539"/>
      <c r="P280" s="539"/>
      <c r="Q280" s="539"/>
      <c r="R280" s="535"/>
      <c r="S280" s="537"/>
      <c r="T280" s="535"/>
      <c r="U280" s="537"/>
      <c r="V280" s="529"/>
      <c r="W280" s="539"/>
      <c r="X280" s="539"/>
      <c r="Y280" s="539"/>
      <c r="Z280" s="539"/>
      <c r="AA280" s="539"/>
      <c r="AB280" s="539"/>
      <c r="AC280" s="529"/>
      <c r="AD280" s="539"/>
      <c r="AE280" s="539"/>
      <c r="AF280" s="539"/>
      <c r="AG280" s="539"/>
      <c r="AH280" s="539"/>
      <c r="AI280" s="539"/>
      <c r="AJ280" s="529"/>
      <c r="AK280" s="539"/>
      <c r="AL280" s="539"/>
      <c r="AM280" s="539"/>
      <c r="AN280" s="539"/>
      <c r="AO280" s="539"/>
      <c r="AP280" s="542"/>
      <c r="AQ280" s="549"/>
      <c r="AR280" s="550"/>
      <c r="AS280" s="550"/>
      <c r="AT280" s="550"/>
      <c r="AU280" s="550"/>
      <c r="AV280" s="550"/>
      <c r="AW280" s="551"/>
      <c r="AX280" s="495"/>
      <c r="AY280" s="496"/>
      <c r="AZ280" s="112">
        <v>6</v>
      </c>
      <c r="BA280" s="513"/>
      <c r="BB280" s="514"/>
      <c r="BC280" s="514"/>
      <c r="BD280" s="515"/>
      <c r="BE280" s="644"/>
      <c r="BF280" s="645"/>
      <c r="BG280" s="111"/>
      <c r="BH280" s="646"/>
      <c r="BI280" s="647"/>
      <c r="BJ280" s="647"/>
      <c r="BK280" s="647"/>
      <c r="BL280" s="647"/>
      <c r="BM280" s="648"/>
      <c r="BN280" s="646"/>
      <c r="BO280" s="647"/>
      <c r="BP280" s="647"/>
      <c r="BQ280" s="647"/>
      <c r="BR280" s="647"/>
      <c r="BS280" s="648"/>
      <c r="BT280" s="646"/>
      <c r="BU280" s="647"/>
      <c r="BV280" s="647"/>
      <c r="BW280" s="647"/>
      <c r="BX280" s="647"/>
      <c r="BY280" s="648"/>
      <c r="BZ280" s="513"/>
      <c r="CA280" s="514"/>
      <c r="CB280" s="514"/>
      <c r="CC280" s="515"/>
      <c r="CD280" s="477"/>
      <c r="CE280" s="478"/>
      <c r="CF280" s="478"/>
      <c r="CG280" s="478"/>
      <c r="CH280" s="479"/>
      <c r="CI280" s="477"/>
      <c r="CJ280" s="478"/>
      <c r="CK280" s="478"/>
      <c r="CL280" s="478"/>
      <c r="CM280" s="479"/>
      <c r="CN280" s="477"/>
      <c r="CO280" s="478"/>
      <c r="CP280" s="478"/>
      <c r="CQ280" s="478"/>
      <c r="CR280" s="479"/>
      <c r="CS280" s="480"/>
      <c r="CT280" s="481"/>
      <c r="CU280" s="481"/>
      <c r="CV280" s="481"/>
      <c r="CW280" s="482"/>
    </row>
    <row r="281" spans="1:101" s="91" customFormat="1" ht="16.5" x14ac:dyDescent="0.15">
      <c r="A281" s="516">
        <v>46</v>
      </c>
      <c r="B281" s="102"/>
      <c r="C281" s="222" t="str">
        <f t="shared" ref="C281:C344" ca="1" si="9">IF(AND(OFFSET($K281,-($AZ281-1),0)&lt;&gt;"",OFFSET($R281,-($AZ281-1),0)&lt;&gt;"x"),"@","")</f>
        <v/>
      </c>
      <c r="D281" s="519"/>
      <c r="E281" s="649"/>
      <c r="F281" s="649"/>
      <c r="G281" s="649"/>
      <c r="H281" s="649"/>
      <c r="I281" s="649"/>
      <c r="J281" s="649"/>
      <c r="K281" s="525"/>
      <c r="L281" s="538"/>
      <c r="M281" s="538"/>
      <c r="N281" s="538"/>
      <c r="O281" s="538"/>
      <c r="P281" s="538"/>
      <c r="Q281" s="538"/>
      <c r="R281" s="531"/>
      <c r="S281" s="532"/>
      <c r="T281" s="531"/>
      <c r="U281" s="532"/>
      <c r="V281" s="525"/>
      <c r="W281" s="538"/>
      <c r="X281" s="538"/>
      <c r="Y281" s="538"/>
      <c r="Z281" s="538"/>
      <c r="AA281" s="538"/>
      <c r="AB281" s="538"/>
      <c r="AC281" s="525"/>
      <c r="AD281" s="538"/>
      <c r="AE281" s="538"/>
      <c r="AF281" s="538"/>
      <c r="AG281" s="538"/>
      <c r="AH281" s="538"/>
      <c r="AI281" s="538"/>
      <c r="AJ281" s="525"/>
      <c r="AK281" s="538"/>
      <c r="AL281" s="538"/>
      <c r="AM281" s="538"/>
      <c r="AN281" s="538"/>
      <c r="AO281" s="538"/>
      <c r="AP281" s="540"/>
      <c r="AQ281" s="543"/>
      <c r="AR281" s="544"/>
      <c r="AS281" s="544"/>
      <c r="AT281" s="544"/>
      <c r="AU281" s="544"/>
      <c r="AV281" s="544"/>
      <c r="AW281" s="545"/>
      <c r="AX281" s="491"/>
      <c r="AY281" s="492"/>
      <c r="AZ281" s="103">
        <v>1</v>
      </c>
      <c r="BA281" s="497"/>
      <c r="BB281" s="498"/>
      <c r="BC281" s="498"/>
      <c r="BD281" s="499"/>
      <c r="BE281" s="500"/>
      <c r="BF281" s="501"/>
      <c r="BG281" s="110"/>
      <c r="BH281" s="502"/>
      <c r="BI281" s="503"/>
      <c r="BJ281" s="503"/>
      <c r="BK281" s="503"/>
      <c r="BL281" s="503"/>
      <c r="BM281" s="504"/>
      <c r="BN281" s="502"/>
      <c r="BO281" s="503"/>
      <c r="BP281" s="503"/>
      <c r="BQ281" s="503"/>
      <c r="BR281" s="503"/>
      <c r="BS281" s="504"/>
      <c r="BT281" s="502"/>
      <c r="BU281" s="503"/>
      <c r="BV281" s="503"/>
      <c r="BW281" s="503"/>
      <c r="BX281" s="503"/>
      <c r="BY281" s="504"/>
      <c r="BZ281" s="497"/>
      <c r="CA281" s="498"/>
      <c r="CB281" s="498"/>
      <c r="CC281" s="499"/>
      <c r="CD281" s="477"/>
      <c r="CE281" s="478"/>
      <c r="CF281" s="478"/>
      <c r="CG281" s="478"/>
      <c r="CH281" s="479"/>
      <c r="CI281" s="477"/>
      <c r="CJ281" s="478"/>
      <c r="CK281" s="478"/>
      <c r="CL281" s="478"/>
      <c r="CM281" s="479"/>
      <c r="CN281" s="477"/>
      <c r="CO281" s="478"/>
      <c r="CP281" s="478"/>
      <c r="CQ281" s="478"/>
      <c r="CR281" s="479"/>
      <c r="CS281" s="480"/>
      <c r="CT281" s="481"/>
      <c r="CU281" s="481"/>
      <c r="CV281" s="481"/>
      <c r="CW281" s="482"/>
    </row>
    <row r="282" spans="1:101" s="91" customFormat="1" ht="16.5" x14ac:dyDescent="0.15">
      <c r="A282" s="517"/>
      <c r="B282" s="102"/>
      <c r="C282" s="220" t="str">
        <f t="shared" ca="1" si="9"/>
        <v/>
      </c>
      <c r="D282" s="521"/>
      <c r="E282" s="522"/>
      <c r="F282" s="522"/>
      <c r="G282" s="522"/>
      <c r="H282" s="522"/>
      <c r="I282" s="522"/>
      <c r="J282" s="522"/>
      <c r="K282" s="527"/>
      <c r="L282" s="528"/>
      <c r="M282" s="528"/>
      <c r="N282" s="528"/>
      <c r="O282" s="528"/>
      <c r="P282" s="528"/>
      <c r="Q282" s="528"/>
      <c r="R282" s="533"/>
      <c r="S282" s="534"/>
      <c r="T282" s="533"/>
      <c r="U282" s="534"/>
      <c r="V282" s="527"/>
      <c r="W282" s="528"/>
      <c r="X282" s="528"/>
      <c r="Y282" s="528"/>
      <c r="Z282" s="528"/>
      <c r="AA282" s="528"/>
      <c r="AB282" s="528"/>
      <c r="AC282" s="527"/>
      <c r="AD282" s="528"/>
      <c r="AE282" s="528"/>
      <c r="AF282" s="528"/>
      <c r="AG282" s="528"/>
      <c r="AH282" s="528"/>
      <c r="AI282" s="528"/>
      <c r="AJ282" s="527"/>
      <c r="AK282" s="528"/>
      <c r="AL282" s="528"/>
      <c r="AM282" s="528"/>
      <c r="AN282" s="528"/>
      <c r="AO282" s="528"/>
      <c r="AP282" s="541"/>
      <c r="AQ282" s="546"/>
      <c r="AR282" s="547"/>
      <c r="AS282" s="547"/>
      <c r="AT282" s="547"/>
      <c r="AU282" s="547"/>
      <c r="AV282" s="547"/>
      <c r="AW282" s="548"/>
      <c r="AX282" s="493"/>
      <c r="AY282" s="494"/>
      <c r="AZ282" s="105">
        <v>2</v>
      </c>
      <c r="BA282" s="483"/>
      <c r="BB282" s="484"/>
      <c r="BC282" s="484"/>
      <c r="BD282" s="485"/>
      <c r="BE282" s="486"/>
      <c r="BF282" s="487"/>
      <c r="BG282" s="106"/>
      <c r="BH282" s="488"/>
      <c r="BI282" s="489"/>
      <c r="BJ282" s="489"/>
      <c r="BK282" s="489"/>
      <c r="BL282" s="489"/>
      <c r="BM282" s="490"/>
      <c r="BN282" s="488"/>
      <c r="BO282" s="489"/>
      <c r="BP282" s="489"/>
      <c r="BQ282" s="489"/>
      <c r="BR282" s="489"/>
      <c r="BS282" s="490"/>
      <c r="BT282" s="488"/>
      <c r="BU282" s="489"/>
      <c r="BV282" s="489"/>
      <c r="BW282" s="489"/>
      <c r="BX282" s="489"/>
      <c r="BY282" s="490"/>
      <c r="BZ282" s="483"/>
      <c r="CA282" s="484"/>
      <c r="CB282" s="484"/>
      <c r="CC282" s="485"/>
      <c r="CD282" s="477"/>
      <c r="CE282" s="478"/>
      <c r="CF282" s="478"/>
      <c r="CG282" s="478"/>
      <c r="CH282" s="479"/>
      <c r="CI282" s="477"/>
      <c r="CJ282" s="478"/>
      <c r="CK282" s="478"/>
      <c r="CL282" s="478"/>
      <c r="CM282" s="479"/>
      <c r="CN282" s="477"/>
      <c r="CO282" s="478"/>
      <c r="CP282" s="478"/>
      <c r="CQ282" s="478"/>
      <c r="CR282" s="479"/>
      <c r="CS282" s="480"/>
      <c r="CT282" s="481"/>
      <c r="CU282" s="481"/>
      <c r="CV282" s="481"/>
      <c r="CW282" s="482"/>
    </row>
    <row r="283" spans="1:101" s="91" customFormat="1" ht="16.5" x14ac:dyDescent="0.15">
      <c r="A283" s="517"/>
      <c r="B283" s="102"/>
      <c r="C283" s="220" t="str">
        <f t="shared" ca="1" si="9"/>
        <v/>
      </c>
      <c r="D283" s="521"/>
      <c r="E283" s="522"/>
      <c r="F283" s="522"/>
      <c r="G283" s="522"/>
      <c r="H283" s="522"/>
      <c r="I283" s="522"/>
      <c r="J283" s="522"/>
      <c r="K283" s="527"/>
      <c r="L283" s="528"/>
      <c r="M283" s="528"/>
      <c r="N283" s="528"/>
      <c r="O283" s="528"/>
      <c r="P283" s="528"/>
      <c r="Q283" s="528"/>
      <c r="R283" s="533"/>
      <c r="S283" s="534"/>
      <c r="T283" s="533"/>
      <c r="U283" s="534"/>
      <c r="V283" s="527"/>
      <c r="W283" s="528"/>
      <c r="X283" s="528"/>
      <c r="Y283" s="528"/>
      <c r="Z283" s="528"/>
      <c r="AA283" s="528"/>
      <c r="AB283" s="528"/>
      <c r="AC283" s="527"/>
      <c r="AD283" s="528"/>
      <c r="AE283" s="528"/>
      <c r="AF283" s="528"/>
      <c r="AG283" s="528"/>
      <c r="AH283" s="528"/>
      <c r="AI283" s="528"/>
      <c r="AJ283" s="527"/>
      <c r="AK283" s="528"/>
      <c r="AL283" s="528"/>
      <c r="AM283" s="528"/>
      <c r="AN283" s="528"/>
      <c r="AO283" s="528"/>
      <c r="AP283" s="541"/>
      <c r="AQ283" s="546"/>
      <c r="AR283" s="547"/>
      <c r="AS283" s="547"/>
      <c r="AT283" s="547"/>
      <c r="AU283" s="547"/>
      <c r="AV283" s="547"/>
      <c r="AW283" s="548"/>
      <c r="AX283" s="493"/>
      <c r="AY283" s="494"/>
      <c r="AZ283" s="105">
        <v>3</v>
      </c>
      <c r="BA283" s="483"/>
      <c r="BB283" s="484"/>
      <c r="BC283" s="484"/>
      <c r="BD283" s="485"/>
      <c r="BE283" s="486"/>
      <c r="BF283" s="487"/>
      <c r="BG283" s="106"/>
      <c r="BH283" s="488"/>
      <c r="BI283" s="489"/>
      <c r="BJ283" s="489"/>
      <c r="BK283" s="489"/>
      <c r="BL283" s="489"/>
      <c r="BM283" s="490"/>
      <c r="BN283" s="488"/>
      <c r="BO283" s="489"/>
      <c r="BP283" s="489"/>
      <c r="BQ283" s="489"/>
      <c r="BR283" s="489"/>
      <c r="BS283" s="490"/>
      <c r="BT283" s="488"/>
      <c r="BU283" s="489"/>
      <c r="BV283" s="489"/>
      <c r="BW283" s="489"/>
      <c r="BX283" s="489"/>
      <c r="BY283" s="490"/>
      <c r="BZ283" s="483"/>
      <c r="CA283" s="484"/>
      <c r="CB283" s="484"/>
      <c r="CC283" s="485"/>
      <c r="CD283" s="477"/>
      <c r="CE283" s="478"/>
      <c r="CF283" s="478"/>
      <c r="CG283" s="478"/>
      <c r="CH283" s="479"/>
      <c r="CI283" s="477"/>
      <c r="CJ283" s="478"/>
      <c r="CK283" s="478"/>
      <c r="CL283" s="478"/>
      <c r="CM283" s="479"/>
      <c r="CN283" s="477"/>
      <c r="CO283" s="478"/>
      <c r="CP283" s="478"/>
      <c r="CQ283" s="478"/>
      <c r="CR283" s="479"/>
      <c r="CS283" s="480"/>
      <c r="CT283" s="481"/>
      <c r="CU283" s="481"/>
      <c r="CV283" s="481"/>
      <c r="CW283" s="482"/>
    </row>
    <row r="284" spans="1:101" s="91" customFormat="1" ht="16.5" x14ac:dyDescent="0.15">
      <c r="A284" s="517"/>
      <c r="B284" s="102"/>
      <c r="C284" s="220" t="str">
        <f t="shared" ca="1" si="9"/>
        <v/>
      </c>
      <c r="D284" s="521"/>
      <c r="E284" s="522"/>
      <c r="F284" s="522"/>
      <c r="G284" s="522"/>
      <c r="H284" s="522"/>
      <c r="I284" s="522"/>
      <c r="J284" s="522"/>
      <c r="K284" s="527"/>
      <c r="L284" s="528"/>
      <c r="M284" s="528"/>
      <c r="N284" s="528"/>
      <c r="O284" s="528"/>
      <c r="P284" s="528"/>
      <c r="Q284" s="528"/>
      <c r="R284" s="533"/>
      <c r="S284" s="534"/>
      <c r="T284" s="533"/>
      <c r="U284" s="534"/>
      <c r="V284" s="527"/>
      <c r="W284" s="528"/>
      <c r="X284" s="528"/>
      <c r="Y284" s="528"/>
      <c r="Z284" s="528"/>
      <c r="AA284" s="528"/>
      <c r="AB284" s="528"/>
      <c r="AC284" s="527"/>
      <c r="AD284" s="528"/>
      <c r="AE284" s="528"/>
      <c r="AF284" s="528"/>
      <c r="AG284" s="528"/>
      <c r="AH284" s="528"/>
      <c r="AI284" s="528"/>
      <c r="AJ284" s="527"/>
      <c r="AK284" s="528"/>
      <c r="AL284" s="528"/>
      <c r="AM284" s="528"/>
      <c r="AN284" s="528"/>
      <c r="AO284" s="528"/>
      <c r="AP284" s="541"/>
      <c r="AQ284" s="546"/>
      <c r="AR284" s="547"/>
      <c r="AS284" s="547"/>
      <c r="AT284" s="547"/>
      <c r="AU284" s="547"/>
      <c r="AV284" s="547"/>
      <c r="AW284" s="548"/>
      <c r="AX284" s="493"/>
      <c r="AY284" s="494"/>
      <c r="AZ284" s="105">
        <v>4</v>
      </c>
      <c r="BA284" s="483"/>
      <c r="BB284" s="484"/>
      <c r="BC284" s="484"/>
      <c r="BD284" s="485"/>
      <c r="BE284" s="486"/>
      <c r="BF284" s="487"/>
      <c r="BG284" s="106"/>
      <c r="BH284" s="488"/>
      <c r="BI284" s="489"/>
      <c r="BJ284" s="489"/>
      <c r="BK284" s="489"/>
      <c r="BL284" s="489"/>
      <c r="BM284" s="490"/>
      <c r="BN284" s="488"/>
      <c r="BO284" s="489"/>
      <c r="BP284" s="489"/>
      <c r="BQ284" s="489"/>
      <c r="BR284" s="489"/>
      <c r="BS284" s="490"/>
      <c r="BT284" s="488"/>
      <c r="BU284" s="489"/>
      <c r="BV284" s="489"/>
      <c r="BW284" s="489"/>
      <c r="BX284" s="489"/>
      <c r="BY284" s="490"/>
      <c r="BZ284" s="483"/>
      <c r="CA284" s="484"/>
      <c r="CB284" s="484"/>
      <c r="CC284" s="485"/>
      <c r="CD284" s="477"/>
      <c r="CE284" s="478"/>
      <c r="CF284" s="478"/>
      <c r="CG284" s="478"/>
      <c r="CH284" s="479"/>
      <c r="CI284" s="477"/>
      <c r="CJ284" s="478"/>
      <c r="CK284" s="478"/>
      <c r="CL284" s="478"/>
      <c r="CM284" s="479"/>
      <c r="CN284" s="477"/>
      <c r="CO284" s="478"/>
      <c r="CP284" s="478"/>
      <c r="CQ284" s="478"/>
      <c r="CR284" s="479"/>
      <c r="CS284" s="480"/>
      <c r="CT284" s="481"/>
      <c r="CU284" s="481"/>
      <c r="CV284" s="481"/>
      <c r="CW284" s="482"/>
    </row>
    <row r="285" spans="1:101" s="91" customFormat="1" ht="16.5" x14ac:dyDescent="0.15">
      <c r="A285" s="517"/>
      <c r="B285" s="102"/>
      <c r="C285" s="220" t="str">
        <f t="shared" ca="1" si="9"/>
        <v/>
      </c>
      <c r="D285" s="521"/>
      <c r="E285" s="522"/>
      <c r="F285" s="522"/>
      <c r="G285" s="522"/>
      <c r="H285" s="522"/>
      <c r="I285" s="522"/>
      <c r="J285" s="522"/>
      <c r="K285" s="527"/>
      <c r="L285" s="528"/>
      <c r="M285" s="528"/>
      <c r="N285" s="528"/>
      <c r="O285" s="528"/>
      <c r="P285" s="528"/>
      <c r="Q285" s="528"/>
      <c r="R285" s="533"/>
      <c r="S285" s="534"/>
      <c r="T285" s="533"/>
      <c r="U285" s="534"/>
      <c r="V285" s="527"/>
      <c r="W285" s="528"/>
      <c r="X285" s="528"/>
      <c r="Y285" s="528"/>
      <c r="Z285" s="528"/>
      <c r="AA285" s="528"/>
      <c r="AB285" s="528"/>
      <c r="AC285" s="527"/>
      <c r="AD285" s="528"/>
      <c r="AE285" s="528"/>
      <c r="AF285" s="528"/>
      <c r="AG285" s="528"/>
      <c r="AH285" s="528"/>
      <c r="AI285" s="528"/>
      <c r="AJ285" s="527"/>
      <c r="AK285" s="528"/>
      <c r="AL285" s="528"/>
      <c r="AM285" s="528"/>
      <c r="AN285" s="528"/>
      <c r="AO285" s="528"/>
      <c r="AP285" s="541"/>
      <c r="AQ285" s="546"/>
      <c r="AR285" s="547"/>
      <c r="AS285" s="547"/>
      <c r="AT285" s="547"/>
      <c r="AU285" s="547"/>
      <c r="AV285" s="547"/>
      <c r="AW285" s="548"/>
      <c r="AX285" s="493"/>
      <c r="AY285" s="494"/>
      <c r="AZ285" s="105">
        <v>5</v>
      </c>
      <c r="BA285" s="483"/>
      <c r="BB285" s="484"/>
      <c r="BC285" s="484"/>
      <c r="BD285" s="485"/>
      <c r="BE285" s="486"/>
      <c r="BF285" s="487"/>
      <c r="BG285" s="106"/>
      <c r="BH285" s="488"/>
      <c r="BI285" s="489"/>
      <c r="BJ285" s="489"/>
      <c r="BK285" s="489"/>
      <c r="BL285" s="489"/>
      <c r="BM285" s="490"/>
      <c r="BN285" s="488"/>
      <c r="BO285" s="489"/>
      <c r="BP285" s="489"/>
      <c r="BQ285" s="489"/>
      <c r="BR285" s="489"/>
      <c r="BS285" s="490"/>
      <c r="BT285" s="488"/>
      <c r="BU285" s="489"/>
      <c r="BV285" s="489"/>
      <c r="BW285" s="489"/>
      <c r="BX285" s="489"/>
      <c r="BY285" s="490"/>
      <c r="BZ285" s="483"/>
      <c r="CA285" s="484"/>
      <c r="CB285" s="484"/>
      <c r="CC285" s="485"/>
      <c r="CD285" s="477"/>
      <c r="CE285" s="478"/>
      <c r="CF285" s="478"/>
      <c r="CG285" s="478"/>
      <c r="CH285" s="479"/>
      <c r="CI285" s="477"/>
      <c r="CJ285" s="478"/>
      <c r="CK285" s="478"/>
      <c r="CL285" s="478"/>
      <c r="CM285" s="479"/>
      <c r="CN285" s="477"/>
      <c r="CO285" s="478"/>
      <c r="CP285" s="478"/>
      <c r="CQ285" s="478"/>
      <c r="CR285" s="479"/>
      <c r="CS285" s="480"/>
      <c r="CT285" s="481"/>
      <c r="CU285" s="481"/>
      <c r="CV285" s="481"/>
      <c r="CW285" s="482"/>
    </row>
    <row r="286" spans="1:101" s="91" customFormat="1" ht="16.5" x14ac:dyDescent="0.15">
      <c r="A286" s="518"/>
      <c r="B286" s="107"/>
      <c r="C286" s="220" t="str">
        <f t="shared" ca="1" si="9"/>
        <v/>
      </c>
      <c r="D286" s="523"/>
      <c r="E286" s="650"/>
      <c r="F286" s="650"/>
      <c r="G286" s="650"/>
      <c r="H286" s="650"/>
      <c r="I286" s="650"/>
      <c r="J286" s="650"/>
      <c r="K286" s="529"/>
      <c r="L286" s="539"/>
      <c r="M286" s="539"/>
      <c r="N286" s="539"/>
      <c r="O286" s="539"/>
      <c r="P286" s="539"/>
      <c r="Q286" s="539"/>
      <c r="R286" s="535"/>
      <c r="S286" s="537"/>
      <c r="T286" s="535"/>
      <c r="U286" s="537"/>
      <c r="V286" s="529"/>
      <c r="W286" s="539"/>
      <c r="X286" s="539"/>
      <c r="Y286" s="539"/>
      <c r="Z286" s="539"/>
      <c r="AA286" s="539"/>
      <c r="AB286" s="539"/>
      <c r="AC286" s="529"/>
      <c r="AD286" s="539"/>
      <c r="AE286" s="539"/>
      <c r="AF286" s="539"/>
      <c r="AG286" s="539"/>
      <c r="AH286" s="539"/>
      <c r="AI286" s="539"/>
      <c r="AJ286" s="529"/>
      <c r="AK286" s="539"/>
      <c r="AL286" s="539"/>
      <c r="AM286" s="539"/>
      <c r="AN286" s="539"/>
      <c r="AO286" s="539"/>
      <c r="AP286" s="542"/>
      <c r="AQ286" s="549"/>
      <c r="AR286" s="550"/>
      <c r="AS286" s="550"/>
      <c r="AT286" s="550"/>
      <c r="AU286" s="550"/>
      <c r="AV286" s="550"/>
      <c r="AW286" s="551"/>
      <c r="AX286" s="495"/>
      <c r="AY286" s="496"/>
      <c r="AZ286" s="108">
        <v>6</v>
      </c>
      <c r="BA286" s="513"/>
      <c r="BB286" s="514"/>
      <c r="BC286" s="514"/>
      <c r="BD286" s="515"/>
      <c r="BE286" s="644"/>
      <c r="BF286" s="645"/>
      <c r="BG286" s="111"/>
      <c r="BH286" s="510"/>
      <c r="BI286" s="511"/>
      <c r="BJ286" s="511"/>
      <c r="BK286" s="511"/>
      <c r="BL286" s="511"/>
      <c r="BM286" s="512"/>
      <c r="BN286" s="510"/>
      <c r="BO286" s="511"/>
      <c r="BP286" s="511"/>
      <c r="BQ286" s="511"/>
      <c r="BR286" s="511"/>
      <c r="BS286" s="512"/>
      <c r="BT286" s="510"/>
      <c r="BU286" s="511"/>
      <c r="BV286" s="511"/>
      <c r="BW286" s="511"/>
      <c r="BX286" s="511"/>
      <c r="BY286" s="512"/>
      <c r="BZ286" s="513"/>
      <c r="CA286" s="514"/>
      <c r="CB286" s="514"/>
      <c r="CC286" s="515"/>
      <c r="CD286" s="477"/>
      <c r="CE286" s="478"/>
      <c r="CF286" s="478"/>
      <c r="CG286" s="478"/>
      <c r="CH286" s="479"/>
      <c r="CI286" s="477"/>
      <c r="CJ286" s="478"/>
      <c r="CK286" s="478"/>
      <c r="CL286" s="478"/>
      <c r="CM286" s="479"/>
      <c r="CN286" s="477"/>
      <c r="CO286" s="478"/>
      <c r="CP286" s="478"/>
      <c r="CQ286" s="478"/>
      <c r="CR286" s="479"/>
      <c r="CS286" s="480"/>
      <c r="CT286" s="481"/>
      <c r="CU286" s="481"/>
      <c r="CV286" s="481"/>
      <c r="CW286" s="482"/>
    </row>
    <row r="287" spans="1:101" s="91" customFormat="1" ht="16.5" x14ac:dyDescent="0.15">
      <c r="A287" s="516">
        <v>47</v>
      </c>
      <c r="B287" s="102"/>
      <c r="C287" s="216" t="str">
        <f t="shared" ca="1" si="9"/>
        <v/>
      </c>
      <c r="D287" s="519"/>
      <c r="E287" s="649"/>
      <c r="F287" s="649"/>
      <c r="G287" s="649"/>
      <c r="H287" s="649"/>
      <c r="I287" s="649"/>
      <c r="J287" s="649"/>
      <c r="K287" s="525"/>
      <c r="L287" s="538"/>
      <c r="M287" s="538"/>
      <c r="N287" s="538"/>
      <c r="O287" s="538"/>
      <c r="P287" s="538"/>
      <c r="Q287" s="538"/>
      <c r="R287" s="531"/>
      <c r="S287" s="532"/>
      <c r="T287" s="531"/>
      <c r="U287" s="532"/>
      <c r="V287" s="525"/>
      <c r="W287" s="538"/>
      <c r="X287" s="538"/>
      <c r="Y287" s="538"/>
      <c r="Z287" s="538"/>
      <c r="AA287" s="538"/>
      <c r="AB287" s="538"/>
      <c r="AC287" s="525"/>
      <c r="AD287" s="538"/>
      <c r="AE287" s="538"/>
      <c r="AF287" s="538"/>
      <c r="AG287" s="538"/>
      <c r="AH287" s="538"/>
      <c r="AI287" s="538"/>
      <c r="AJ287" s="525"/>
      <c r="AK287" s="538"/>
      <c r="AL287" s="538"/>
      <c r="AM287" s="538"/>
      <c r="AN287" s="538"/>
      <c r="AO287" s="538"/>
      <c r="AP287" s="540"/>
      <c r="AQ287" s="543"/>
      <c r="AR287" s="544"/>
      <c r="AS287" s="544"/>
      <c r="AT287" s="544"/>
      <c r="AU287" s="544"/>
      <c r="AV287" s="544"/>
      <c r="AW287" s="545"/>
      <c r="AX287" s="491"/>
      <c r="AY287" s="492"/>
      <c r="AZ287" s="103">
        <v>1</v>
      </c>
      <c r="BA287" s="552"/>
      <c r="BB287" s="553"/>
      <c r="BC287" s="553"/>
      <c r="BD287" s="554"/>
      <c r="BE287" s="500"/>
      <c r="BF287" s="501"/>
      <c r="BG287" s="104"/>
      <c r="BH287" s="502"/>
      <c r="BI287" s="503"/>
      <c r="BJ287" s="503"/>
      <c r="BK287" s="503"/>
      <c r="BL287" s="503"/>
      <c r="BM287" s="504"/>
      <c r="BN287" s="502"/>
      <c r="BO287" s="503"/>
      <c r="BP287" s="503"/>
      <c r="BQ287" s="503"/>
      <c r="BR287" s="503"/>
      <c r="BS287" s="504"/>
      <c r="BT287" s="502"/>
      <c r="BU287" s="503"/>
      <c r="BV287" s="503"/>
      <c r="BW287" s="503"/>
      <c r="BX287" s="503"/>
      <c r="BY287" s="504"/>
      <c r="BZ287" s="552"/>
      <c r="CA287" s="553"/>
      <c r="CB287" s="553"/>
      <c r="CC287" s="554"/>
      <c r="CD287" s="477"/>
      <c r="CE287" s="478"/>
      <c r="CF287" s="478"/>
      <c r="CG287" s="478"/>
      <c r="CH287" s="479"/>
      <c r="CI287" s="477"/>
      <c r="CJ287" s="478"/>
      <c r="CK287" s="478"/>
      <c r="CL287" s="478"/>
      <c r="CM287" s="479"/>
      <c r="CN287" s="477"/>
      <c r="CO287" s="478"/>
      <c r="CP287" s="478"/>
      <c r="CQ287" s="478"/>
      <c r="CR287" s="479"/>
      <c r="CS287" s="480"/>
      <c r="CT287" s="481"/>
      <c r="CU287" s="481"/>
      <c r="CV287" s="481"/>
      <c r="CW287" s="482"/>
    </row>
    <row r="288" spans="1:101" s="91" customFormat="1" ht="16.5" x14ac:dyDescent="0.15">
      <c r="A288" s="517"/>
      <c r="B288" s="102"/>
      <c r="C288" s="220" t="str">
        <f t="shared" ca="1" si="9"/>
        <v/>
      </c>
      <c r="D288" s="521"/>
      <c r="E288" s="522"/>
      <c r="F288" s="522"/>
      <c r="G288" s="522"/>
      <c r="H288" s="522"/>
      <c r="I288" s="522"/>
      <c r="J288" s="522"/>
      <c r="K288" s="527"/>
      <c r="L288" s="528"/>
      <c r="M288" s="528"/>
      <c r="N288" s="528"/>
      <c r="O288" s="528"/>
      <c r="P288" s="528"/>
      <c r="Q288" s="528"/>
      <c r="R288" s="533"/>
      <c r="S288" s="534"/>
      <c r="T288" s="533"/>
      <c r="U288" s="534"/>
      <c r="V288" s="527"/>
      <c r="W288" s="528"/>
      <c r="X288" s="528"/>
      <c r="Y288" s="528"/>
      <c r="Z288" s="528"/>
      <c r="AA288" s="528"/>
      <c r="AB288" s="528"/>
      <c r="AC288" s="527"/>
      <c r="AD288" s="528"/>
      <c r="AE288" s="528"/>
      <c r="AF288" s="528"/>
      <c r="AG288" s="528"/>
      <c r="AH288" s="528"/>
      <c r="AI288" s="528"/>
      <c r="AJ288" s="527"/>
      <c r="AK288" s="528"/>
      <c r="AL288" s="528"/>
      <c r="AM288" s="528"/>
      <c r="AN288" s="528"/>
      <c r="AO288" s="528"/>
      <c r="AP288" s="541"/>
      <c r="AQ288" s="546"/>
      <c r="AR288" s="547"/>
      <c r="AS288" s="547"/>
      <c r="AT288" s="547"/>
      <c r="AU288" s="547"/>
      <c r="AV288" s="547"/>
      <c r="AW288" s="548"/>
      <c r="AX288" s="493"/>
      <c r="AY288" s="494"/>
      <c r="AZ288" s="105">
        <v>2</v>
      </c>
      <c r="BA288" s="483"/>
      <c r="BB288" s="484"/>
      <c r="BC288" s="484"/>
      <c r="BD288" s="485"/>
      <c r="BE288" s="486"/>
      <c r="BF288" s="487"/>
      <c r="BG288" s="106"/>
      <c r="BH288" s="488"/>
      <c r="BI288" s="489"/>
      <c r="BJ288" s="489"/>
      <c r="BK288" s="489"/>
      <c r="BL288" s="489"/>
      <c r="BM288" s="490"/>
      <c r="BN288" s="488"/>
      <c r="BO288" s="489"/>
      <c r="BP288" s="489"/>
      <c r="BQ288" s="489"/>
      <c r="BR288" s="489"/>
      <c r="BS288" s="490"/>
      <c r="BT288" s="488"/>
      <c r="BU288" s="489"/>
      <c r="BV288" s="489"/>
      <c r="BW288" s="489"/>
      <c r="BX288" s="489"/>
      <c r="BY288" s="490"/>
      <c r="BZ288" s="483"/>
      <c r="CA288" s="484"/>
      <c r="CB288" s="484"/>
      <c r="CC288" s="485"/>
      <c r="CD288" s="477"/>
      <c r="CE288" s="478"/>
      <c r="CF288" s="478"/>
      <c r="CG288" s="478"/>
      <c r="CH288" s="479"/>
      <c r="CI288" s="477"/>
      <c r="CJ288" s="478"/>
      <c r="CK288" s="478"/>
      <c r="CL288" s="478"/>
      <c r="CM288" s="479"/>
      <c r="CN288" s="477"/>
      <c r="CO288" s="478"/>
      <c r="CP288" s="478"/>
      <c r="CQ288" s="478"/>
      <c r="CR288" s="479"/>
      <c r="CS288" s="480"/>
      <c r="CT288" s="481"/>
      <c r="CU288" s="481"/>
      <c r="CV288" s="481"/>
      <c r="CW288" s="482"/>
    </row>
    <row r="289" spans="1:101" s="91" customFormat="1" ht="16.5" x14ac:dyDescent="0.15">
      <c r="A289" s="517"/>
      <c r="B289" s="102"/>
      <c r="C289" s="220" t="str">
        <f t="shared" ca="1" si="9"/>
        <v/>
      </c>
      <c r="D289" s="521"/>
      <c r="E289" s="522"/>
      <c r="F289" s="522"/>
      <c r="G289" s="522"/>
      <c r="H289" s="522"/>
      <c r="I289" s="522"/>
      <c r="J289" s="522"/>
      <c r="K289" s="527"/>
      <c r="L289" s="528"/>
      <c r="M289" s="528"/>
      <c r="N289" s="528"/>
      <c r="O289" s="528"/>
      <c r="P289" s="528"/>
      <c r="Q289" s="528"/>
      <c r="R289" s="533"/>
      <c r="S289" s="534"/>
      <c r="T289" s="533"/>
      <c r="U289" s="534"/>
      <c r="V289" s="527"/>
      <c r="W289" s="528"/>
      <c r="X289" s="528"/>
      <c r="Y289" s="528"/>
      <c r="Z289" s="528"/>
      <c r="AA289" s="528"/>
      <c r="AB289" s="528"/>
      <c r="AC289" s="527"/>
      <c r="AD289" s="528"/>
      <c r="AE289" s="528"/>
      <c r="AF289" s="528"/>
      <c r="AG289" s="528"/>
      <c r="AH289" s="528"/>
      <c r="AI289" s="528"/>
      <c r="AJ289" s="527"/>
      <c r="AK289" s="528"/>
      <c r="AL289" s="528"/>
      <c r="AM289" s="528"/>
      <c r="AN289" s="528"/>
      <c r="AO289" s="528"/>
      <c r="AP289" s="541"/>
      <c r="AQ289" s="546"/>
      <c r="AR289" s="547"/>
      <c r="AS289" s="547"/>
      <c r="AT289" s="547"/>
      <c r="AU289" s="547"/>
      <c r="AV289" s="547"/>
      <c r="AW289" s="548"/>
      <c r="AX289" s="493"/>
      <c r="AY289" s="494"/>
      <c r="AZ289" s="105">
        <v>3</v>
      </c>
      <c r="BA289" s="483"/>
      <c r="BB289" s="484"/>
      <c r="BC289" s="484"/>
      <c r="BD289" s="485"/>
      <c r="BE289" s="486"/>
      <c r="BF289" s="487"/>
      <c r="BG289" s="106"/>
      <c r="BH289" s="488"/>
      <c r="BI289" s="489"/>
      <c r="BJ289" s="489"/>
      <c r="BK289" s="489"/>
      <c r="BL289" s="489"/>
      <c r="BM289" s="490"/>
      <c r="BN289" s="488"/>
      <c r="BO289" s="489"/>
      <c r="BP289" s="489"/>
      <c r="BQ289" s="489"/>
      <c r="BR289" s="489"/>
      <c r="BS289" s="490"/>
      <c r="BT289" s="488"/>
      <c r="BU289" s="489"/>
      <c r="BV289" s="489"/>
      <c r="BW289" s="489"/>
      <c r="BX289" s="489"/>
      <c r="BY289" s="490"/>
      <c r="BZ289" s="483"/>
      <c r="CA289" s="484"/>
      <c r="CB289" s="484"/>
      <c r="CC289" s="485"/>
      <c r="CD289" s="477"/>
      <c r="CE289" s="478"/>
      <c r="CF289" s="478"/>
      <c r="CG289" s="478"/>
      <c r="CH289" s="479"/>
      <c r="CI289" s="477"/>
      <c r="CJ289" s="478"/>
      <c r="CK289" s="478"/>
      <c r="CL289" s="478"/>
      <c r="CM289" s="479"/>
      <c r="CN289" s="477"/>
      <c r="CO289" s="478"/>
      <c r="CP289" s="478"/>
      <c r="CQ289" s="478"/>
      <c r="CR289" s="479"/>
      <c r="CS289" s="480"/>
      <c r="CT289" s="481"/>
      <c r="CU289" s="481"/>
      <c r="CV289" s="481"/>
      <c r="CW289" s="482"/>
    </row>
    <row r="290" spans="1:101" s="91" customFormat="1" ht="16.5" x14ac:dyDescent="0.15">
      <c r="A290" s="517"/>
      <c r="B290" s="102"/>
      <c r="C290" s="220" t="str">
        <f t="shared" ca="1" si="9"/>
        <v/>
      </c>
      <c r="D290" s="521"/>
      <c r="E290" s="522"/>
      <c r="F290" s="522"/>
      <c r="G290" s="522"/>
      <c r="H290" s="522"/>
      <c r="I290" s="522"/>
      <c r="J290" s="522"/>
      <c r="K290" s="527"/>
      <c r="L290" s="528"/>
      <c r="M290" s="528"/>
      <c r="N290" s="528"/>
      <c r="O290" s="528"/>
      <c r="P290" s="528"/>
      <c r="Q290" s="528"/>
      <c r="R290" s="533"/>
      <c r="S290" s="534"/>
      <c r="T290" s="533"/>
      <c r="U290" s="534"/>
      <c r="V290" s="527"/>
      <c r="W290" s="528"/>
      <c r="X290" s="528"/>
      <c r="Y290" s="528"/>
      <c r="Z290" s="528"/>
      <c r="AA290" s="528"/>
      <c r="AB290" s="528"/>
      <c r="AC290" s="527"/>
      <c r="AD290" s="528"/>
      <c r="AE290" s="528"/>
      <c r="AF290" s="528"/>
      <c r="AG290" s="528"/>
      <c r="AH290" s="528"/>
      <c r="AI290" s="528"/>
      <c r="AJ290" s="527"/>
      <c r="AK290" s="528"/>
      <c r="AL290" s="528"/>
      <c r="AM290" s="528"/>
      <c r="AN290" s="528"/>
      <c r="AO290" s="528"/>
      <c r="AP290" s="541"/>
      <c r="AQ290" s="546"/>
      <c r="AR290" s="547"/>
      <c r="AS290" s="547"/>
      <c r="AT290" s="547"/>
      <c r="AU290" s="547"/>
      <c r="AV290" s="547"/>
      <c r="AW290" s="548"/>
      <c r="AX290" s="493"/>
      <c r="AY290" s="494"/>
      <c r="AZ290" s="105">
        <v>4</v>
      </c>
      <c r="BA290" s="483"/>
      <c r="BB290" s="484"/>
      <c r="BC290" s="484"/>
      <c r="BD290" s="485"/>
      <c r="BE290" s="486"/>
      <c r="BF290" s="487"/>
      <c r="BG290" s="106"/>
      <c r="BH290" s="488"/>
      <c r="BI290" s="489"/>
      <c r="BJ290" s="489"/>
      <c r="BK290" s="489"/>
      <c r="BL290" s="489"/>
      <c r="BM290" s="490"/>
      <c r="BN290" s="488"/>
      <c r="BO290" s="489"/>
      <c r="BP290" s="489"/>
      <c r="BQ290" s="489"/>
      <c r="BR290" s="489"/>
      <c r="BS290" s="490"/>
      <c r="BT290" s="488"/>
      <c r="BU290" s="489"/>
      <c r="BV290" s="489"/>
      <c r="BW290" s="489"/>
      <c r="BX290" s="489"/>
      <c r="BY290" s="490"/>
      <c r="BZ290" s="483"/>
      <c r="CA290" s="484"/>
      <c r="CB290" s="484"/>
      <c r="CC290" s="485"/>
      <c r="CD290" s="477"/>
      <c r="CE290" s="478"/>
      <c r="CF290" s="478"/>
      <c r="CG290" s="478"/>
      <c r="CH290" s="479"/>
      <c r="CI290" s="477"/>
      <c r="CJ290" s="478"/>
      <c r="CK290" s="478"/>
      <c r="CL290" s="478"/>
      <c r="CM290" s="479"/>
      <c r="CN290" s="477"/>
      <c r="CO290" s="478"/>
      <c r="CP290" s="478"/>
      <c r="CQ290" s="478"/>
      <c r="CR290" s="479"/>
      <c r="CS290" s="480"/>
      <c r="CT290" s="481"/>
      <c r="CU290" s="481"/>
      <c r="CV290" s="481"/>
      <c r="CW290" s="482"/>
    </row>
    <row r="291" spans="1:101" s="91" customFormat="1" ht="16.5" x14ac:dyDescent="0.15">
      <c r="A291" s="517"/>
      <c r="B291" s="102"/>
      <c r="C291" s="220" t="str">
        <f t="shared" ca="1" si="9"/>
        <v/>
      </c>
      <c r="D291" s="521"/>
      <c r="E291" s="522"/>
      <c r="F291" s="522"/>
      <c r="G291" s="522"/>
      <c r="H291" s="522"/>
      <c r="I291" s="522"/>
      <c r="J291" s="522"/>
      <c r="K291" s="527"/>
      <c r="L291" s="528"/>
      <c r="M291" s="528"/>
      <c r="N291" s="528"/>
      <c r="O291" s="528"/>
      <c r="P291" s="528"/>
      <c r="Q291" s="528"/>
      <c r="R291" s="533"/>
      <c r="S291" s="534"/>
      <c r="T291" s="533"/>
      <c r="U291" s="534"/>
      <c r="V291" s="527"/>
      <c r="W291" s="528"/>
      <c r="X291" s="528"/>
      <c r="Y291" s="528"/>
      <c r="Z291" s="528"/>
      <c r="AA291" s="528"/>
      <c r="AB291" s="528"/>
      <c r="AC291" s="527"/>
      <c r="AD291" s="528"/>
      <c r="AE291" s="528"/>
      <c r="AF291" s="528"/>
      <c r="AG291" s="528"/>
      <c r="AH291" s="528"/>
      <c r="AI291" s="528"/>
      <c r="AJ291" s="527"/>
      <c r="AK291" s="528"/>
      <c r="AL291" s="528"/>
      <c r="AM291" s="528"/>
      <c r="AN291" s="528"/>
      <c r="AO291" s="528"/>
      <c r="AP291" s="541"/>
      <c r="AQ291" s="546"/>
      <c r="AR291" s="547"/>
      <c r="AS291" s="547"/>
      <c r="AT291" s="547"/>
      <c r="AU291" s="547"/>
      <c r="AV291" s="547"/>
      <c r="AW291" s="548"/>
      <c r="AX291" s="493"/>
      <c r="AY291" s="494"/>
      <c r="AZ291" s="105">
        <v>5</v>
      </c>
      <c r="BA291" s="483"/>
      <c r="BB291" s="484"/>
      <c r="BC291" s="484"/>
      <c r="BD291" s="485"/>
      <c r="BE291" s="486"/>
      <c r="BF291" s="487"/>
      <c r="BG291" s="106"/>
      <c r="BH291" s="488"/>
      <c r="BI291" s="489"/>
      <c r="BJ291" s="489"/>
      <c r="BK291" s="489"/>
      <c r="BL291" s="489"/>
      <c r="BM291" s="490"/>
      <c r="BN291" s="488"/>
      <c r="BO291" s="489"/>
      <c r="BP291" s="489"/>
      <c r="BQ291" s="489"/>
      <c r="BR291" s="489"/>
      <c r="BS291" s="490"/>
      <c r="BT291" s="488"/>
      <c r="BU291" s="489"/>
      <c r="BV291" s="489"/>
      <c r="BW291" s="489"/>
      <c r="BX291" s="489"/>
      <c r="BY291" s="490"/>
      <c r="BZ291" s="483"/>
      <c r="CA291" s="484"/>
      <c r="CB291" s="484"/>
      <c r="CC291" s="485"/>
      <c r="CD291" s="477"/>
      <c r="CE291" s="478"/>
      <c r="CF291" s="478"/>
      <c r="CG291" s="478"/>
      <c r="CH291" s="479"/>
      <c r="CI291" s="477"/>
      <c r="CJ291" s="478"/>
      <c r="CK291" s="478"/>
      <c r="CL291" s="478"/>
      <c r="CM291" s="479"/>
      <c r="CN291" s="477"/>
      <c r="CO291" s="478"/>
      <c r="CP291" s="478"/>
      <c r="CQ291" s="478"/>
      <c r="CR291" s="479"/>
      <c r="CS291" s="480"/>
      <c r="CT291" s="481"/>
      <c r="CU291" s="481"/>
      <c r="CV291" s="481"/>
      <c r="CW291" s="482"/>
    </row>
    <row r="292" spans="1:101" s="91" customFormat="1" ht="16.5" x14ac:dyDescent="0.15">
      <c r="A292" s="518"/>
      <c r="B292" s="107"/>
      <c r="C292" s="219" t="str">
        <f t="shared" ca="1" si="9"/>
        <v/>
      </c>
      <c r="D292" s="523"/>
      <c r="E292" s="650"/>
      <c r="F292" s="650"/>
      <c r="G292" s="650"/>
      <c r="H292" s="650"/>
      <c r="I292" s="650"/>
      <c r="J292" s="650"/>
      <c r="K292" s="529"/>
      <c r="L292" s="539"/>
      <c r="M292" s="539"/>
      <c r="N292" s="539"/>
      <c r="O292" s="539"/>
      <c r="P292" s="539"/>
      <c r="Q292" s="539"/>
      <c r="R292" s="535"/>
      <c r="S292" s="537"/>
      <c r="T292" s="535"/>
      <c r="U292" s="537"/>
      <c r="V292" s="529"/>
      <c r="W292" s="539"/>
      <c r="X292" s="539"/>
      <c r="Y292" s="539"/>
      <c r="Z292" s="539"/>
      <c r="AA292" s="539"/>
      <c r="AB292" s="539"/>
      <c r="AC292" s="529"/>
      <c r="AD292" s="539"/>
      <c r="AE292" s="539"/>
      <c r="AF292" s="539"/>
      <c r="AG292" s="539"/>
      <c r="AH292" s="539"/>
      <c r="AI292" s="539"/>
      <c r="AJ292" s="529"/>
      <c r="AK292" s="539"/>
      <c r="AL292" s="539"/>
      <c r="AM292" s="539"/>
      <c r="AN292" s="539"/>
      <c r="AO292" s="539"/>
      <c r="AP292" s="542"/>
      <c r="AQ292" s="549"/>
      <c r="AR292" s="550"/>
      <c r="AS292" s="550"/>
      <c r="AT292" s="550"/>
      <c r="AU292" s="550"/>
      <c r="AV292" s="550"/>
      <c r="AW292" s="551"/>
      <c r="AX292" s="495"/>
      <c r="AY292" s="496"/>
      <c r="AZ292" s="108">
        <v>6</v>
      </c>
      <c r="BA292" s="505"/>
      <c r="BB292" s="506"/>
      <c r="BC292" s="506"/>
      <c r="BD292" s="507"/>
      <c r="BE292" s="644"/>
      <c r="BF292" s="645"/>
      <c r="BG292" s="109"/>
      <c r="BH292" s="510"/>
      <c r="BI292" s="511"/>
      <c r="BJ292" s="511"/>
      <c r="BK292" s="511"/>
      <c r="BL292" s="511"/>
      <c r="BM292" s="512"/>
      <c r="BN292" s="510"/>
      <c r="BO292" s="511"/>
      <c r="BP292" s="511"/>
      <c r="BQ292" s="511"/>
      <c r="BR292" s="511"/>
      <c r="BS292" s="512"/>
      <c r="BT292" s="510"/>
      <c r="BU292" s="511"/>
      <c r="BV292" s="511"/>
      <c r="BW292" s="511"/>
      <c r="BX292" s="511"/>
      <c r="BY292" s="512"/>
      <c r="BZ292" s="505"/>
      <c r="CA292" s="506"/>
      <c r="CB292" s="506"/>
      <c r="CC292" s="507"/>
      <c r="CD292" s="477"/>
      <c r="CE292" s="478"/>
      <c r="CF292" s="478"/>
      <c r="CG292" s="478"/>
      <c r="CH292" s="479"/>
      <c r="CI292" s="477"/>
      <c r="CJ292" s="478"/>
      <c r="CK292" s="478"/>
      <c r="CL292" s="478"/>
      <c r="CM292" s="479"/>
      <c r="CN292" s="477"/>
      <c r="CO292" s="478"/>
      <c r="CP292" s="478"/>
      <c r="CQ292" s="478"/>
      <c r="CR292" s="479"/>
      <c r="CS292" s="480"/>
      <c r="CT292" s="481"/>
      <c r="CU292" s="481"/>
      <c r="CV292" s="481"/>
      <c r="CW292" s="482"/>
    </row>
    <row r="293" spans="1:101" s="91" customFormat="1" ht="16.5" x14ac:dyDescent="0.15">
      <c r="A293" s="516">
        <v>48</v>
      </c>
      <c r="B293" s="102"/>
      <c r="C293" s="222" t="str">
        <f t="shared" ca="1" si="9"/>
        <v/>
      </c>
      <c r="D293" s="519"/>
      <c r="E293" s="649"/>
      <c r="F293" s="649"/>
      <c r="G293" s="649"/>
      <c r="H293" s="649"/>
      <c r="I293" s="649"/>
      <c r="J293" s="649"/>
      <c r="K293" s="525"/>
      <c r="L293" s="538"/>
      <c r="M293" s="538"/>
      <c r="N293" s="538"/>
      <c r="O293" s="538"/>
      <c r="P293" s="538"/>
      <c r="Q293" s="538"/>
      <c r="R293" s="531"/>
      <c r="S293" s="532"/>
      <c r="T293" s="531"/>
      <c r="U293" s="532"/>
      <c r="V293" s="525"/>
      <c r="W293" s="538"/>
      <c r="X293" s="538"/>
      <c r="Y293" s="538"/>
      <c r="Z293" s="538"/>
      <c r="AA293" s="538"/>
      <c r="AB293" s="538"/>
      <c r="AC293" s="525"/>
      <c r="AD293" s="538"/>
      <c r="AE293" s="538"/>
      <c r="AF293" s="538"/>
      <c r="AG293" s="538"/>
      <c r="AH293" s="538"/>
      <c r="AI293" s="538"/>
      <c r="AJ293" s="525"/>
      <c r="AK293" s="538"/>
      <c r="AL293" s="538"/>
      <c r="AM293" s="538"/>
      <c r="AN293" s="538"/>
      <c r="AO293" s="538"/>
      <c r="AP293" s="540"/>
      <c r="AQ293" s="543"/>
      <c r="AR293" s="544"/>
      <c r="AS293" s="544"/>
      <c r="AT293" s="544"/>
      <c r="AU293" s="544"/>
      <c r="AV293" s="544"/>
      <c r="AW293" s="545"/>
      <c r="AX293" s="491"/>
      <c r="AY293" s="492"/>
      <c r="AZ293" s="103">
        <v>1</v>
      </c>
      <c r="BA293" s="497"/>
      <c r="BB293" s="498"/>
      <c r="BC293" s="498"/>
      <c r="BD293" s="499"/>
      <c r="BE293" s="500"/>
      <c r="BF293" s="501"/>
      <c r="BG293" s="110"/>
      <c r="BH293" s="502"/>
      <c r="BI293" s="503"/>
      <c r="BJ293" s="503"/>
      <c r="BK293" s="503"/>
      <c r="BL293" s="503"/>
      <c r="BM293" s="504"/>
      <c r="BN293" s="502"/>
      <c r="BO293" s="503"/>
      <c r="BP293" s="503"/>
      <c r="BQ293" s="503"/>
      <c r="BR293" s="503"/>
      <c r="BS293" s="504"/>
      <c r="BT293" s="502"/>
      <c r="BU293" s="503"/>
      <c r="BV293" s="503"/>
      <c r="BW293" s="503"/>
      <c r="BX293" s="503"/>
      <c r="BY293" s="504"/>
      <c r="BZ293" s="497"/>
      <c r="CA293" s="498"/>
      <c r="CB293" s="498"/>
      <c r="CC293" s="499"/>
      <c r="CD293" s="477"/>
      <c r="CE293" s="478"/>
      <c r="CF293" s="478"/>
      <c r="CG293" s="478"/>
      <c r="CH293" s="479"/>
      <c r="CI293" s="477"/>
      <c r="CJ293" s="478"/>
      <c r="CK293" s="478"/>
      <c r="CL293" s="478"/>
      <c r="CM293" s="479"/>
      <c r="CN293" s="477"/>
      <c r="CO293" s="478"/>
      <c r="CP293" s="478"/>
      <c r="CQ293" s="478"/>
      <c r="CR293" s="479"/>
      <c r="CS293" s="480"/>
      <c r="CT293" s="481"/>
      <c r="CU293" s="481"/>
      <c r="CV293" s="481"/>
      <c r="CW293" s="482"/>
    </row>
    <row r="294" spans="1:101" s="91" customFormat="1" ht="16.5" x14ac:dyDescent="0.15">
      <c r="A294" s="517"/>
      <c r="B294" s="102"/>
      <c r="C294" s="220" t="str">
        <f t="shared" ca="1" si="9"/>
        <v/>
      </c>
      <c r="D294" s="521"/>
      <c r="E294" s="522"/>
      <c r="F294" s="522"/>
      <c r="G294" s="522"/>
      <c r="H294" s="522"/>
      <c r="I294" s="522"/>
      <c r="J294" s="522"/>
      <c r="K294" s="527"/>
      <c r="L294" s="528"/>
      <c r="M294" s="528"/>
      <c r="N294" s="528"/>
      <c r="O294" s="528"/>
      <c r="P294" s="528"/>
      <c r="Q294" s="528"/>
      <c r="R294" s="533"/>
      <c r="S294" s="534"/>
      <c r="T294" s="533"/>
      <c r="U294" s="534"/>
      <c r="V294" s="527"/>
      <c r="W294" s="528"/>
      <c r="X294" s="528"/>
      <c r="Y294" s="528"/>
      <c r="Z294" s="528"/>
      <c r="AA294" s="528"/>
      <c r="AB294" s="528"/>
      <c r="AC294" s="527"/>
      <c r="AD294" s="528"/>
      <c r="AE294" s="528"/>
      <c r="AF294" s="528"/>
      <c r="AG294" s="528"/>
      <c r="AH294" s="528"/>
      <c r="AI294" s="528"/>
      <c r="AJ294" s="527"/>
      <c r="AK294" s="528"/>
      <c r="AL294" s="528"/>
      <c r="AM294" s="528"/>
      <c r="AN294" s="528"/>
      <c r="AO294" s="528"/>
      <c r="AP294" s="541"/>
      <c r="AQ294" s="546"/>
      <c r="AR294" s="547"/>
      <c r="AS294" s="547"/>
      <c r="AT294" s="547"/>
      <c r="AU294" s="547"/>
      <c r="AV294" s="547"/>
      <c r="AW294" s="548"/>
      <c r="AX294" s="493"/>
      <c r="AY294" s="494"/>
      <c r="AZ294" s="105">
        <v>2</v>
      </c>
      <c r="BA294" s="483"/>
      <c r="BB294" s="484"/>
      <c r="BC294" s="484"/>
      <c r="BD294" s="485"/>
      <c r="BE294" s="486"/>
      <c r="BF294" s="487"/>
      <c r="BG294" s="106"/>
      <c r="BH294" s="488"/>
      <c r="BI294" s="489"/>
      <c r="BJ294" s="489"/>
      <c r="BK294" s="489"/>
      <c r="BL294" s="489"/>
      <c r="BM294" s="490"/>
      <c r="BN294" s="488"/>
      <c r="BO294" s="489"/>
      <c r="BP294" s="489"/>
      <c r="BQ294" s="489"/>
      <c r="BR294" s="489"/>
      <c r="BS294" s="490"/>
      <c r="BT294" s="488"/>
      <c r="BU294" s="489"/>
      <c r="BV294" s="489"/>
      <c r="BW294" s="489"/>
      <c r="BX294" s="489"/>
      <c r="BY294" s="490"/>
      <c r="BZ294" s="483"/>
      <c r="CA294" s="484"/>
      <c r="CB294" s="484"/>
      <c r="CC294" s="485"/>
      <c r="CD294" s="477"/>
      <c r="CE294" s="478"/>
      <c r="CF294" s="478"/>
      <c r="CG294" s="478"/>
      <c r="CH294" s="479"/>
      <c r="CI294" s="477"/>
      <c r="CJ294" s="478"/>
      <c r="CK294" s="478"/>
      <c r="CL294" s="478"/>
      <c r="CM294" s="479"/>
      <c r="CN294" s="477"/>
      <c r="CO294" s="478"/>
      <c r="CP294" s="478"/>
      <c r="CQ294" s="478"/>
      <c r="CR294" s="479"/>
      <c r="CS294" s="480"/>
      <c r="CT294" s="481"/>
      <c r="CU294" s="481"/>
      <c r="CV294" s="481"/>
      <c r="CW294" s="482"/>
    </row>
    <row r="295" spans="1:101" s="91" customFormat="1" ht="16.5" x14ac:dyDescent="0.15">
      <c r="A295" s="517"/>
      <c r="B295" s="102"/>
      <c r="C295" s="220" t="str">
        <f t="shared" ca="1" si="9"/>
        <v/>
      </c>
      <c r="D295" s="521"/>
      <c r="E295" s="522"/>
      <c r="F295" s="522"/>
      <c r="G295" s="522"/>
      <c r="H295" s="522"/>
      <c r="I295" s="522"/>
      <c r="J295" s="522"/>
      <c r="K295" s="527"/>
      <c r="L295" s="528"/>
      <c r="M295" s="528"/>
      <c r="N295" s="528"/>
      <c r="O295" s="528"/>
      <c r="P295" s="528"/>
      <c r="Q295" s="528"/>
      <c r="R295" s="533"/>
      <c r="S295" s="534"/>
      <c r="T295" s="533"/>
      <c r="U295" s="534"/>
      <c r="V295" s="527"/>
      <c r="W295" s="528"/>
      <c r="X295" s="528"/>
      <c r="Y295" s="528"/>
      <c r="Z295" s="528"/>
      <c r="AA295" s="528"/>
      <c r="AB295" s="528"/>
      <c r="AC295" s="527"/>
      <c r="AD295" s="528"/>
      <c r="AE295" s="528"/>
      <c r="AF295" s="528"/>
      <c r="AG295" s="528"/>
      <c r="AH295" s="528"/>
      <c r="AI295" s="528"/>
      <c r="AJ295" s="527"/>
      <c r="AK295" s="528"/>
      <c r="AL295" s="528"/>
      <c r="AM295" s="528"/>
      <c r="AN295" s="528"/>
      <c r="AO295" s="528"/>
      <c r="AP295" s="541"/>
      <c r="AQ295" s="546"/>
      <c r="AR295" s="547"/>
      <c r="AS295" s="547"/>
      <c r="AT295" s="547"/>
      <c r="AU295" s="547"/>
      <c r="AV295" s="547"/>
      <c r="AW295" s="548"/>
      <c r="AX295" s="493"/>
      <c r="AY295" s="494"/>
      <c r="AZ295" s="105">
        <v>3</v>
      </c>
      <c r="BA295" s="483"/>
      <c r="BB295" s="484"/>
      <c r="BC295" s="484"/>
      <c r="BD295" s="485"/>
      <c r="BE295" s="486"/>
      <c r="BF295" s="487"/>
      <c r="BG295" s="106"/>
      <c r="BH295" s="488"/>
      <c r="BI295" s="489"/>
      <c r="BJ295" s="489"/>
      <c r="BK295" s="489"/>
      <c r="BL295" s="489"/>
      <c r="BM295" s="490"/>
      <c r="BN295" s="488"/>
      <c r="BO295" s="489"/>
      <c r="BP295" s="489"/>
      <c r="BQ295" s="489"/>
      <c r="BR295" s="489"/>
      <c r="BS295" s="490"/>
      <c r="BT295" s="488"/>
      <c r="BU295" s="489"/>
      <c r="BV295" s="489"/>
      <c r="BW295" s="489"/>
      <c r="BX295" s="489"/>
      <c r="BY295" s="490"/>
      <c r="BZ295" s="483"/>
      <c r="CA295" s="484"/>
      <c r="CB295" s="484"/>
      <c r="CC295" s="485"/>
      <c r="CD295" s="477"/>
      <c r="CE295" s="478"/>
      <c r="CF295" s="478"/>
      <c r="CG295" s="478"/>
      <c r="CH295" s="479"/>
      <c r="CI295" s="477"/>
      <c r="CJ295" s="478"/>
      <c r="CK295" s="478"/>
      <c r="CL295" s="478"/>
      <c r="CM295" s="479"/>
      <c r="CN295" s="477"/>
      <c r="CO295" s="478"/>
      <c r="CP295" s="478"/>
      <c r="CQ295" s="478"/>
      <c r="CR295" s="479"/>
      <c r="CS295" s="480"/>
      <c r="CT295" s="481"/>
      <c r="CU295" s="481"/>
      <c r="CV295" s="481"/>
      <c r="CW295" s="482"/>
    </row>
    <row r="296" spans="1:101" s="91" customFormat="1" ht="16.5" x14ac:dyDescent="0.15">
      <c r="A296" s="517"/>
      <c r="B296" s="102"/>
      <c r="C296" s="220" t="str">
        <f t="shared" ca="1" si="9"/>
        <v/>
      </c>
      <c r="D296" s="521"/>
      <c r="E296" s="522"/>
      <c r="F296" s="522"/>
      <c r="G296" s="522"/>
      <c r="H296" s="522"/>
      <c r="I296" s="522"/>
      <c r="J296" s="522"/>
      <c r="K296" s="527"/>
      <c r="L296" s="528"/>
      <c r="M296" s="528"/>
      <c r="N296" s="528"/>
      <c r="O296" s="528"/>
      <c r="P296" s="528"/>
      <c r="Q296" s="528"/>
      <c r="R296" s="533"/>
      <c r="S296" s="534"/>
      <c r="T296" s="533"/>
      <c r="U296" s="534"/>
      <c r="V296" s="527"/>
      <c r="W296" s="528"/>
      <c r="X296" s="528"/>
      <c r="Y296" s="528"/>
      <c r="Z296" s="528"/>
      <c r="AA296" s="528"/>
      <c r="AB296" s="528"/>
      <c r="AC296" s="527"/>
      <c r="AD296" s="528"/>
      <c r="AE296" s="528"/>
      <c r="AF296" s="528"/>
      <c r="AG296" s="528"/>
      <c r="AH296" s="528"/>
      <c r="AI296" s="528"/>
      <c r="AJ296" s="527"/>
      <c r="AK296" s="528"/>
      <c r="AL296" s="528"/>
      <c r="AM296" s="528"/>
      <c r="AN296" s="528"/>
      <c r="AO296" s="528"/>
      <c r="AP296" s="541"/>
      <c r="AQ296" s="546"/>
      <c r="AR296" s="547"/>
      <c r="AS296" s="547"/>
      <c r="AT296" s="547"/>
      <c r="AU296" s="547"/>
      <c r="AV296" s="547"/>
      <c r="AW296" s="548"/>
      <c r="AX296" s="493"/>
      <c r="AY296" s="494"/>
      <c r="AZ296" s="105">
        <v>4</v>
      </c>
      <c r="BA296" s="483"/>
      <c r="BB296" s="484"/>
      <c r="BC296" s="484"/>
      <c r="BD296" s="485"/>
      <c r="BE296" s="486"/>
      <c r="BF296" s="487"/>
      <c r="BG296" s="106"/>
      <c r="BH296" s="488"/>
      <c r="BI296" s="489"/>
      <c r="BJ296" s="489"/>
      <c r="BK296" s="489"/>
      <c r="BL296" s="489"/>
      <c r="BM296" s="490"/>
      <c r="BN296" s="488"/>
      <c r="BO296" s="489"/>
      <c r="BP296" s="489"/>
      <c r="BQ296" s="489"/>
      <c r="BR296" s="489"/>
      <c r="BS296" s="490"/>
      <c r="BT296" s="488"/>
      <c r="BU296" s="489"/>
      <c r="BV296" s="489"/>
      <c r="BW296" s="489"/>
      <c r="BX296" s="489"/>
      <c r="BY296" s="490"/>
      <c r="BZ296" s="483"/>
      <c r="CA296" s="484"/>
      <c r="CB296" s="484"/>
      <c r="CC296" s="485"/>
      <c r="CD296" s="477"/>
      <c r="CE296" s="478"/>
      <c r="CF296" s="478"/>
      <c r="CG296" s="478"/>
      <c r="CH296" s="479"/>
      <c r="CI296" s="477"/>
      <c r="CJ296" s="478"/>
      <c r="CK296" s="478"/>
      <c r="CL296" s="478"/>
      <c r="CM296" s="479"/>
      <c r="CN296" s="477"/>
      <c r="CO296" s="478"/>
      <c r="CP296" s="478"/>
      <c r="CQ296" s="478"/>
      <c r="CR296" s="479"/>
      <c r="CS296" s="480"/>
      <c r="CT296" s="481"/>
      <c r="CU296" s="481"/>
      <c r="CV296" s="481"/>
      <c r="CW296" s="482"/>
    </row>
    <row r="297" spans="1:101" s="91" customFormat="1" ht="16.5" x14ac:dyDescent="0.15">
      <c r="A297" s="517"/>
      <c r="B297" s="102"/>
      <c r="C297" s="220" t="str">
        <f t="shared" ca="1" si="9"/>
        <v/>
      </c>
      <c r="D297" s="521"/>
      <c r="E297" s="522"/>
      <c r="F297" s="522"/>
      <c r="G297" s="522"/>
      <c r="H297" s="522"/>
      <c r="I297" s="522"/>
      <c r="J297" s="522"/>
      <c r="K297" s="527"/>
      <c r="L297" s="528"/>
      <c r="M297" s="528"/>
      <c r="N297" s="528"/>
      <c r="O297" s="528"/>
      <c r="P297" s="528"/>
      <c r="Q297" s="528"/>
      <c r="R297" s="533"/>
      <c r="S297" s="534"/>
      <c r="T297" s="533"/>
      <c r="U297" s="534"/>
      <c r="V297" s="527"/>
      <c r="W297" s="528"/>
      <c r="X297" s="528"/>
      <c r="Y297" s="528"/>
      <c r="Z297" s="528"/>
      <c r="AA297" s="528"/>
      <c r="AB297" s="528"/>
      <c r="AC297" s="527"/>
      <c r="AD297" s="528"/>
      <c r="AE297" s="528"/>
      <c r="AF297" s="528"/>
      <c r="AG297" s="528"/>
      <c r="AH297" s="528"/>
      <c r="AI297" s="528"/>
      <c r="AJ297" s="527"/>
      <c r="AK297" s="528"/>
      <c r="AL297" s="528"/>
      <c r="AM297" s="528"/>
      <c r="AN297" s="528"/>
      <c r="AO297" s="528"/>
      <c r="AP297" s="541"/>
      <c r="AQ297" s="546"/>
      <c r="AR297" s="547"/>
      <c r="AS297" s="547"/>
      <c r="AT297" s="547"/>
      <c r="AU297" s="547"/>
      <c r="AV297" s="547"/>
      <c r="AW297" s="548"/>
      <c r="AX297" s="493"/>
      <c r="AY297" s="494"/>
      <c r="AZ297" s="105">
        <v>5</v>
      </c>
      <c r="BA297" s="483"/>
      <c r="BB297" s="484"/>
      <c r="BC297" s="484"/>
      <c r="BD297" s="485"/>
      <c r="BE297" s="486"/>
      <c r="BF297" s="487"/>
      <c r="BG297" s="106"/>
      <c r="BH297" s="488"/>
      <c r="BI297" s="489"/>
      <c r="BJ297" s="489"/>
      <c r="BK297" s="489"/>
      <c r="BL297" s="489"/>
      <c r="BM297" s="490"/>
      <c r="BN297" s="488"/>
      <c r="BO297" s="489"/>
      <c r="BP297" s="489"/>
      <c r="BQ297" s="489"/>
      <c r="BR297" s="489"/>
      <c r="BS297" s="490"/>
      <c r="BT297" s="488"/>
      <c r="BU297" s="489"/>
      <c r="BV297" s="489"/>
      <c r="BW297" s="489"/>
      <c r="BX297" s="489"/>
      <c r="BY297" s="490"/>
      <c r="BZ297" s="483"/>
      <c r="CA297" s="484"/>
      <c r="CB297" s="484"/>
      <c r="CC297" s="485"/>
      <c r="CD297" s="477"/>
      <c r="CE297" s="478"/>
      <c r="CF297" s="478"/>
      <c r="CG297" s="478"/>
      <c r="CH297" s="479"/>
      <c r="CI297" s="477"/>
      <c r="CJ297" s="478"/>
      <c r="CK297" s="478"/>
      <c r="CL297" s="478"/>
      <c r="CM297" s="479"/>
      <c r="CN297" s="477"/>
      <c r="CO297" s="478"/>
      <c r="CP297" s="478"/>
      <c r="CQ297" s="478"/>
      <c r="CR297" s="479"/>
      <c r="CS297" s="480"/>
      <c r="CT297" s="481"/>
      <c r="CU297" s="481"/>
      <c r="CV297" s="481"/>
      <c r="CW297" s="482"/>
    </row>
    <row r="298" spans="1:101" s="91" customFormat="1" ht="16.5" x14ac:dyDescent="0.15">
      <c r="A298" s="518"/>
      <c r="B298" s="107"/>
      <c r="C298" s="219" t="str">
        <f t="shared" ca="1" si="9"/>
        <v/>
      </c>
      <c r="D298" s="523"/>
      <c r="E298" s="650"/>
      <c r="F298" s="650"/>
      <c r="G298" s="650"/>
      <c r="H298" s="650"/>
      <c r="I298" s="650"/>
      <c r="J298" s="650"/>
      <c r="K298" s="529"/>
      <c r="L298" s="539"/>
      <c r="M298" s="539"/>
      <c r="N298" s="539"/>
      <c r="O298" s="539"/>
      <c r="P298" s="539"/>
      <c r="Q298" s="539"/>
      <c r="R298" s="535"/>
      <c r="S298" s="537"/>
      <c r="T298" s="535"/>
      <c r="U298" s="537"/>
      <c r="V298" s="529"/>
      <c r="W298" s="539"/>
      <c r="X298" s="539"/>
      <c r="Y298" s="539"/>
      <c r="Z298" s="539"/>
      <c r="AA298" s="539"/>
      <c r="AB298" s="539"/>
      <c r="AC298" s="529"/>
      <c r="AD298" s="539"/>
      <c r="AE298" s="539"/>
      <c r="AF298" s="539"/>
      <c r="AG298" s="539"/>
      <c r="AH298" s="539"/>
      <c r="AI298" s="539"/>
      <c r="AJ298" s="529"/>
      <c r="AK298" s="539"/>
      <c r="AL298" s="539"/>
      <c r="AM298" s="539"/>
      <c r="AN298" s="539"/>
      <c r="AO298" s="539"/>
      <c r="AP298" s="542"/>
      <c r="AQ298" s="549"/>
      <c r="AR298" s="550"/>
      <c r="AS298" s="550"/>
      <c r="AT298" s="550"/>
      <c r="AU298" s="550"/>
      <c r="AV298" s="550"/>
      <c r="AW298" s="551"/>
      <c r="AX298" s="495"/>
      <c r="AY298" s="496"/>
      <c r="AZ298" s="112">
        <v>6</v>
      </c>
      <c r="BA298" s="513"/>
      <c r="BB298" s="514"/>
      <c r="BC298" s="514"/>
      <c r="BD298" s="515"/>
      <c r="BE298" s="644"/>
      <c r="BF298" s="645"/>
      <c r="BG298" s="111"/>
      <c r="BH298" s="646"/>
      <c r="BI298" s="647"/>
      <c r="BJ298" s="647"/>
      <c r="BK298" s="647"/>
      <c r="BL298" s="647"/>
      <c r="BM298" s="648"/>
      <c r="BN298" s="646"/>
      <c r="BO298" s="647"/>
      <c r="BP298" s="647"/>
      <c r="BQ298" s="647"/>
      <c r="BR298" s="647"/>
      <c r="BS298" s="648"/>
      <c r="BT298" s="646"/>
      <c r="BU298" s="647"/>
      <c r="BV298" s="647"/>
      <c r="BW298" s="647"/>
      <c r="BX298" s="647"/>
      <c r="BY298" s="648"/>
      <c r="BZ298" s="513"/>
      <c r="CA298" s="514"/>
      <c r="CB298" s="514"/>
      <c r="CC298" s="515"/>
      <c r="CD298" s="477"/>
      <c r="CE298" s="478"/>
      <c r="CF298" s="478"/>
      <c r="CG298" s="478"/>
      <c r="CH298" s="479"/>
      <c r="CI298" s="477"/>
      <c r="CJ298" s="478"/>
      <c r="CK298" s="478"/>
      <c r="CL298" s="478"/>
      <c r="CM298" s="479"/>
      <c r="CN298" s="477"/>
      <c r="CO298" s="478"/>
      <c r="CP298" s="478"/>
      <c r="CQ298" s="478"/>
      <c r="CR298" s="479"/>
      <c r="CS298" s="480"/>
      <c r="CT298" s="481"/>
      <c r="CU298" s="481"/>
      <c r="CV298" s="481"/>
      <c r="CW298" s="482"/>
    </row>
    <row r="299" spans="1:101" s="91" customFormat="1" ht="16.5" x14ac:dyDescent="0.15">
      <c r="A299" s="516">
        <v>49</v>
      </c>
      <c r="B299" s="102"/>
      <c r="C299" s="222" t="str">
        <f t="shared" ca="1" si="9"/>
        <v/>
      </c>
      <c r="D299" s="519"/>
      <c r="E299" s="649"/>
      <c r="F299" s="649"/>
      <c r="G299" s="649"/>
      <c r="H299" s="649"/>
      <c r="I299" s="649"/>
      <c r="J299" s="649"/>
      <c r="K299" s="525"/>
      <c r="L299" s="538"/>
      <c r="M299" s="538"/>
      <c r="N299" s="538"/>
      <c r="O299" s="538"/>
      <c r="P299" s="538"/>
      <c r="Q299" s="538"/>
      <c r="R299" s="531"/>
      <c r="S299" s="532"/>
      <c r="T299" s="531"/>
      <c r="U299" s="532"/>
      <c r="V299" s="525"/>
      <c r="W299" s="538"/>
      <c r="X299" s="538"/>
      <c r="Y299" s="538"/>
      <c r="Z299" s="538"/>
      <c r="AA299" s="538"/>
      <c r="AB299" s="538"/>
      <c r="AC299" s="525"/>
      <c r="AD299" s="538"/>
      <c r="AE299" s="538"/>
      <c r="AF299" s="538"/>
      <c r="AG299" s="538"/>
      <c r="AH299" s="538"/>
      <c r="AI299" s="538"/>
      <c r="AJ299" s="525"/>
      <c r="AK299" s="538"/>
      <c r="AL299" s="538"/>
      <c r="AM299" s="538"/>
      <c r="AN299" s="538"/>
      <c r="AO299" s="538"/>
      <c r="AP299" s="540"/>
      <c r="AQ299" s="543"/>
      <c r="AR299" s="544"/>
      <c r="AS299" s="544"/>
      <c r="AT299" s="544"/>
      <c r="AU299" s="544"/>
      <c r="AV299" s="544"/>
      <c r="AW299" s="545"/>
      <c r="AX299" s="491"/>
      <c r="AY299" s="492"/>
      <c r="AZ299" s="103">
        <v>1</v>
      </c>
      <c r="BA299" s="497"/>
      <c r="BB299" s="498"/>
      <c r="BC299" s="498"/>
      <c r="BD299" s="499"/>
      <c r="BE299" s="500"/>
      <c r="BF299" s="501"/>
      <c r="BG299" s="110"/>
      <c r="BH299" s="502"/>
      <c r="BI299" s="503"/>
      <c r="BJ299" s="503"/>
      <c r="BK299" s="503"/>
      <c r="BL299" s="503"/>
      <c r="BM299" s="504"/>
      <c r="BN299" s="502"/>
      <c r="BO299" s="503"/>
      <c r="BP299" s="503"/>
      <c r="BQ299" s="503"/>
      <c r="BR299" s="503"/>
      <c r="BS299" s="504"/>
      <c r="BT299" s="502"/>
      <c r="BU299" s="503"/>
      <c r="BV299" s="503"/>
      <c r="BW299" s="503"/>
      <c r="BX299" s="503"/>
      <c r="BY299" s="504"/>
      <c r="BZ299" s="497"/>
      <c r="CA299" s="498"/>
      <c r="CB299" s="498"/>
      <c r="CC299" s="499"/>
      <c r="CD299" s="477"/>
      <c r="CE299" s="478"/>
      <c r="CF299" s="478"/>
      <c r="CG299" s="478"/>
      <c r="CH299" s="479"/>
      <c r="CI299" s="477"/>
      <c r="CJ299" s="478"/>
      <c r="CK299" s="478"/>
      <c r="CL299" s="478"/>
      <c r="CM299" s="479"/>
      <c r="CN299" s="477"/>
      <c r="CO299" s="478"/>
      <c r="CP299" s="478"/>
      <c r="CQ299" s="478"/>
      <c r="CR299" s="479"/>
      <c r="CS299" s="480"/>
      <c r="CT299" s="481"/>
      <c r="CU299" s="481"/>
      <c r="CV299" s="481"/>
      <c r="CW299" s="482"/>
    </row>
    <row r="300" spans="1:101" s="91" customFormat="1" ht="16.5" x14ac:dyDescent="0.15">
      <c r="A300" s="517"/>
      <c r="B300" s="102"/>
      <c r="C300" s="220" t="str">
        <f t="shared" ca="1" si="9"/>
        <v/>
      </c>
      <c r="D300" s="521"/>
      <c r="E300" s="522"/>
      <c r="F300" s="522"/>
      <c r="G300" s="522"/>
      <c r="H300" s="522"/>
      <c r="I300" s="522"/>
      <c r="J300" s="522"/>
      <c r="K300" s="527"/>
      <c r="L300" s="528"/>
      <c r="M300" s="528"/>
      <c r="N300" s="528"/>
      <c r="O300" s="528"/>
      <c r="P300" s="528"/>
      <c r="Q300" s="528"/>
      <c r="R300" s="533"/>
      <c r="S300" s="534"/>
      <c r="T300" s="533"/>
      <c r="U300" s="534"/>
      <c r="V300" s="527"/>
      <c r="W300" s="528"/>
      <c r="X300" s="528"/>
      <c r="Y300" s="528"/>
      <c r="Z300" s="528"/>
      <c r="AA300" s="528"/>
      <c r="AB300" s="528"/>
      <c r="AC300" s="527"/>
      <c r="AD300" s="528"/>
      <c r="AE300" s="528"/>
      <c r="AF300" s="528"/>
      <c r="AG300" s="528"/>
      <c r="AH300" s="528"/>
      <c r="AI300" s="528"/>
      <c r="AJ300" s="527"/>
      <c r="AK300" s="528"/>
      <c r="AL300" s="528"/>
      <c r="AM300" s="528"/>
      <c r="AN300" s="528"/>
      <c r="AO300" s="528"/>
      <c r="AP300" s="541"/>
      <c r="AQ300" s="546"/>
      <c r="AR300" s="547"/>
      <c r="AS300" s="547"/>
      <c r="AT300" s="547"/>
      <c r="AU300" s="547"/>
      <c r="AV300" s="547"/>
      <c r="AW300" s="548"/>
      <c r="AX300" s="493"/>
      <c r="AY300" s="494"/>
      <c r="AZ300" s="105">
        <v>2</v>
      </c>
      <c r="BA300" s="483"/>
      <c r="BB300" s="484"/>
      <c r="BC300" s="484"/>
      <c r="BD300" s="485"/>
      <c r="BE300" s="486"/>
      <c r="BF300" s="487"/>
      <c r="BG300" s="106"/>
      <c r="BH300" s="488"/>
      <c r="BI300" s="489"/>
      <c r="BJ300" s="489"/>
      <c r="BK300" s="489"/>
      <c r="BL300" s="489"/>
      <c r="BM300" s="490"/>
      <c r="BN300" s="488"/>
      <c r="BO300" s="489"/>
      <c r="BP300" s="489"/>
      <c r="BQ300" s="489"/>
      <c r="BR300" s="489"/>
      <c r="BS300" s="490"/>
      <c r="BT300" s="488"/>
      <c r="BU300" s="489"/>
      <c r="BV300" s="489"/>
      <c r="BW300" s="489"/>
      <c r="BX300" s="489"/>
      <c r="BY300" s="490"/>
      <c r="BZ300" s="483"/>
      <c r="CA300" s="484"/>
      <c r="CB300" s="484"/>
      <c r="CC300" s="485"/>
      <c r="CD300" s="477"/>
      <c r="CE300" s="478"/>
      <c r="CF300" s="478"/>
      <c r="CG300" s="478"/>
      <c r="CH300" s="479"/>
      <c r="CI300" s="477"/>
      <c r="CJ300" s="478"/>
      <c r="CK300" s="478"/>
      <c r="CL300" s="478"/>
      <c r="CM300" s="479"/>
      <c r="CN300" s="477"/>
      <c r="CO300" s="478"/>
      <c r="CP300" s="478"/>
      <c r="CQ300" s="478"/>
      <c r="CR300" s="479"/>
      <c r="CS300" s="480"/>
      <c r="CT300" s="481"/>
      <c r="CU300" s="481"/>
      <c r="CV300" s="481"/>
      <c r="CW300" s="482"/>
    </row>
    <row r="301" spans="1:101" s="91" customFormat="1" ht="16.5" x14ac:dyDescent="0.15">
      <c r="A301" s="517"/>
      <c r="B301" s="102"/>
      <c r="C301" s="220" t="str">
        <f t="shared" ca="1" si="9"/>
        <v/>
      </c>
      <c r="D301" s="521"/>
      <c r="E301" s="522"/>
      <c r="F301" s="522"/>
      <c r="G301" s="522"/>
      <c r="H301" s="522"/>
      <c r="I301" s="522"/>
      <c r="J301" s="522"/>
      <c r="K301" s="527"/>
      <c r="L301" s="528"/>
      <c r="M301" s="528"/>
      <c r="N301" s="528"/>
      <c r="O301" s="528"/>
      <c r="P301" s="528"/>
      <c r="Q301" s="528"/>
      <c r="R301" s="533"/>
      <c r="S301" s="534"/>
      <c r="T301" s="533"/>
      <c r="U301" s="534"/>
      <c r="V301" s="527"/>
      <c r="W301" s="528"/>
      <c r="X301" s="528"/>
      <c r="Y301" s="528"/>
      <c r="Z301" s="528"/>
      <c r="AA301" s="528"/>
      <c r="AB301" s="528"/>
      <c r="AC301" s="527"/>
      <c r="AD301" s="528"/>
      <c r="AE301" s="528"/>
      <c r="AF301" s="528"/>
      <c r="AG301" s="528"/>
      <c r="AH301" s="528"/>
      <c r="AI301" s="528"/>
      <c r="AJ301" s="527"/>
      <c r="AK301" s="528"/>
      <c r="AL301" s="528"/>
      <c r="AM301" s="528"/>
      <c r="AN301" s="528"/>
      <c r="AO301" s="528"/>
      <c r="AP301" s="541"/>
      <c r="AQ301" s="546"/>
      <c r="AR301" s="547"/>
      <c r="AS301" s="547"/>
      <c r="AT301" s="547"/>
      <c r="AU301" s="547"/>
      <c r="AV301" s="547"/>
      <c r="AW301" s="548"/>
      <c r="AX301" s="493"/>
      <c r="AY301" s="494"/>
      <c r="AZ301" s="105">
        <v>3</v>
      </c>
      <c r="BA301" s="483"/>
      <c r="BB301" s="484"/>
      <c r="BC301" s="484"/>
      <c r="BD301" s="485"/>
      <c r="BE301" s="486"/>
      <c r="BF301" s="487"/>
      <c r="BG301" s="106"/>
      <c r="BH301" s="488"/>
      <c r="BI301" s="489"/>
      <c r="BJ301" s="489"/>
      <c r="BK301" s="489"/>
      <c r="BL301" s="489"/>
      <c r="BM301" s="490"/>
      <c r="BN301" s="488"/>
      <c r="BO301" s="489"/>
      <c r="BP301" s="489"/>
      <c r="BQ301" s="489"/>
      <c r="BR301" s="489"/>
      <c r="BS301" s="490"/>
      <c r="BT301" s="488"/>
      <c r="BU301" s="489"/>
      <c r="BV301" s="489"/>
      <c r="BW301" s="489"/>
      <c r="BX301" s="489"/>
      <c r="BY301" s="490"/>
      <c r="BZ301" s="483"/>
      <c r="CA301" s="484"/>
      <c r="CB301" s="484"/>
      <c r="CC301" s="485"/>
      <c r="CD301" s="477"/>
      <c r="CE301" s="478"/>
      <c r="CF301" s="478"/>
      <c r="CG301" s="478"/>
      <c r="CH301" s="479"/>
      <c r="CI301" s="477"/>
      <c r="CJ301" s="478"/>
      <c r="CK301" s="478"/>
      <c r="CL301" s="478"/>
      <c r="CM301" s="479"/>
      <c r="CN301" s="477"/>
      <c r="CO301" s="478"/>
      <c r="CP301" s="478"/>
      <c r="CQ301" s="478"/>
      <c r="CR301" s="479"/>
      <c r="CS301" s="480"/>
      <c r="CT301" s="481"/>
      <c r="CU301" s="481"/>
      <c r="CV301" s="481"/>
      <c r="CW301" s="482"/>
    </row>
    <row r="302" spans="1:101" s="91" customFormat="1" ht="16.5" x14ac:dyDescent="0.15">
      <c r="A302" s="517"/>
      <c r="B302" s="102"/>
      <c r="C302" s="220" t="str">
        <f t="shared" ca="1" si="9"/>
        <v/>
      </c>
      <c r="D302" s="521"/>
      <c r="E302" s="522"/>
      <c r="F302" s="522"/>
      <c r="G302" s="522"/>
      <c r="H302" s="522"/>
      <c r="I302" s="522"/>
      <c r="J302" s="522"/>
      <c r="K302" s="527"/>
      <c r="L302" s="528"/>
      <c r="M302" s="528"/>
      <c r="N302" s="528"/>
      <c r="O302" s="528"/>
      <c r="P302" s="528"/>
      <c r="Q302" s="528"/>
      <c r="R302" s="533"/>
      <c r="S302" s="534"/>
      <c r="T302" s="533"/>
      <c r="U302" s="534"/>
      <c r="V302" s="527"/>
      <c r="W302" s="528"/>
      <c r="X302" s="528"/>
      <c r="Y302" s="528"/>
      <c r="Z302" s="528"/>
      <c r="AA302" s="528"/>
      <c r="AB302" s="528"/>
      <c r="AC302" s="527"/>
      <c r="AD302" s="528"/>
      <c r="AE302" s="528"/>
      <c r="AF302" s="528"/>
      <c r="AG302" s="528"/>
      <c r="AH302" s="528"/>
      <c r="AI302" s="528"/>
      <c r="AJ302" s="527"/>
      <c r="AK302" s="528"/>
      <c r="AL302" s="528"/>
      <c r="AM302" s="528"/>
      <c r="AN302" s="528"/>
      <c r="AO302" s="528"/>
      <c r="AP302" s="541"/>
      <c r="AQ302" s="546"/>
      <c r="AR302" s="547"/>
      <c r="AS302" s="547"/>
      <c r="AT302" s="547"/>
      <c r="AU302" s="547"/>
      <c r="AV302" s="547"/>
      <c r="AW302" s="548"/>
      <c r="AX302" s="493"/>
      <c r="AY302" s="494"/>
      <c r="AZ302" s="105">
        <v>4</v>
      </c>
      <c r="BA302" s="483"/>
      <c r="BB302" s="484"/>
      <c r="BC302" s="484"/>
      <c r="BD302" s="485"/>
      <c r="BE302" s="486"/>
      <c r="BF302" s="487"/>
      <c r="BG302" s="106"/>
      <c r="BH302" s="488"/>
      <c r="BI302" s="489"/>
      <c r="BJ302" s="489"/>
      <c r="BK302" s="489"/>
      <c r="BL302" s="489"/>
      <c r="BM302" s="490"/>
      <c r="BN302" s="488"/>
      <c r="BO302" s="489"/>
      <c r="BP302" s="489"/>
      <c r="BQ302" s="489"/>
      <c r="BR302" s="489"/>
      <c r="BS302" s="490"/>
      <c r="BT302" s="488"/>
      <c r="BU302" s="489"/>
      <c r="BV302" s="489"/>
      <c r="BW302" s="489"/>
      <c r="BX302" s="489"/>
      <c r="BY302" s="490"/>
      <c r="BZ302" s="483"/>
      <c r="CA302" s="484"/>
      <c r="CB302" s="484"/>
      <c r="CC302" s="485"/>
      <c r="CD302" s="477"/>
      <c r="CE302" s="478"/>
      <c r="CF302" s="478"/>
      <c r="CG302" s="478"/>
      <c r="CH302" s="479"/>
      <c r="CI302" s="477"/>
      <c r="CJ302" s="478"/>
      <c r="CK302" s="478"/>
      <c r="CL302" s="478"/>
      <c r="CM302" s="479"/>
      <c r="CN302" s="477"/>
      <c r="CO302" s="478"/>
      <c r="CP302" s="478"/>
      <c r="CQ302" s="478"/>
      <c r="CR302" s="479"/>
      <c r="CS302" s="480"/>
      <c r="CT302" s="481"/>
      <c r="CU302" s="481"/>
      <c r="CV302" s="481"/>
      <c r="CW302" s="482"/>
    </row>
    <row r="303" spans="1:101" s="91" customFormat="1" ht="16.5" x14ac:dyDescent="0.15">
      <c r="A303" s="517"/>
      <c r="B303" s="102"/>
      <c r="C303" s="220" t="str">
        <f t="shared" ca="1" si="9"/>
        <v/>
      </c>
      <c r="D303" s="521"/>
      <c r="E303" s="522"/>
      <c r="F303" s="522"/>
      <c r="G303" s="522"/>
      <c r="H303" s="522"/>
      <c r="I303" s="522"/>
      <c r="J303" s="522"/>
      <c r="K303" s="527"/>
      <c r="L303" s="528"/>
      <c r="M303" s="528"/>
      <c r="N303" s="528"/>
      <c r="O303" s="528"/>
      <c r="P303" s="528"/>
      <c r="Q303" s="528"/>
      <c r="R303" s="533"/>
      <c r="S303" s="534"/>
      <c r="T303" s="533"/>
      <c r="U303" s="534"/>
      <c r="V303" s="527"/>
      <c r="W303" s="528"/>
      <c r="X303" s="528"/>
      <c r="Y303" s="528"/>
      <c r="Z303" s="528"/>
      <c r="AA303" s="528"/>
      <c r="AB303" s="528"/>
      <c r="AC303" s="527"/>
      <c r="AD303" s="528"/>
      <c r="AE303" s="528"/>
      <c r="AF303" s="528"/>
      <c r="AG303" s="528"/>
      <c r="AH303" s="528"/>
      <c r="AI303" s="528"/>
      <c r="AJ303" s="527"/>
      <c r="AK303" s="528"/>
      <c r="AL303" s="528"/>
      <c r="AM303" s="528"/>
      <c r="AN303" s="528"/>
      <c r="AO303" s="528"/>
      <c r="AP303" s="541"/>
      <c r="AQ303" s="546"/>
      <c r="AR303" s="547"/>
      <c r="AS303" s="547"/>
      <c r="AT303" s="547"/>
      <c r="AU303" s="547"/>
      <c r="AV303" s="547"/>
      <c r="AW303" s="548"/>
      <c r="AX303" s="493"/>
      <c r="AY303" s="494"/>
      <c r="AZ303" s="105">
        <v>5</v>
      </c>
      <c r="BA303" s="483"/>
      <c r="BB303" s="484"/>
      <c r="BC303" s="484"/>
      <c r="BD303" s="485"/>
      <c r="BE303" s="486"/>
      <c r="BF303" s="487"/>
      <c r="BG303" s="106"/>
      <c r="BH303" s="488"/>
      <c r="BI303" s="489"/>
      <c r="BJ303" s="489"/>
      <c r="BK303" s="489"/>
      <c r="BL303" s="489"/>
      <c r="BM303" s="490"/>
      <c r="BN303" s="488"/>
      <c r="BO303" s="489"/>
      <c r="BP303" s="489"/>
      <c r="BQ303" s="489"/>
      <c r="BR303" s="489"/>
      <c r="BS303" s="490"/>
      <c r="BT303" s="488"/>
      <c r="BU303" s="489"/>
      <c r="BV303" s="489"/>
      <c r="BW303" s="489"/>
      <c r="BX303" s="489"/>
      <c r="BY303" s="490"/>
      <c r="BZ303" s="483"/>
      <c r="CA303" s="484"/>
      <c r="CB303" s="484"/>
      <c r="CC303" s="485"/>
      <c r="CD303" s="477"/>
      <c r="CE303" s="478"/>
      <c r="CF303" s="478"/>
      <c r="CG303" s="478"/>
      <c r="CH303" s="479"/>
      <c r="CI303" s="477"/>
      <c r="CJ303" s="478"/>
      <c r="CK303" s="478"/>
      <c r="CL303" s="478"/>
      <c r="CM303" s="479"/>
      <c r="CN303" s="477"/>
      <c r="CO303" s="478"/>
      <c r="CP303" s="478"/>
      <c r="CQ303" s="478"/>
      <c r="CR303" s="479"/>
      <c r="CS303" s="480"/>
      <c r="CT303" s="481"/>
      <c r="CU303" s="481"/>
      <c r="CV303" s="481"/>
      <c r="CW303" s="482"/>
    </row>
    <row r="304" spans="1:101" s="91" customFormat="1" ht="16.5" x14ac:dyDescent="0.15">
      <c r="A304" s="518"/>
      <c r="B304" s="107"/>
      <c r="C304" s="220" t="str">
        <f t="shared" ca="1" si="9"/>
        <v/>
      </c>
      <c r="D304" s="523"/>
      <c r="E304" s="650"/>
      <c r="F304" s="650"/>
      <c r="G304" s="650"/>
      <c r="H304" s="650"/>
      <c r="I304" s="650"/>
      <c r="J304" s="650"/>
      <c r="K304" s="529"/>
      <c r="L304" s="539"/>
      <c r="M304" s="539"/>
      <c r="N304" s="539"/>
      <c r="O304" s="539"/>
      <c r="P304" s="539"/>
      <c r="Q304" s="539"/>
      <c r="R304" s="535"/>
      <c r="S304" s="537"/>
      <c r="T304" s="535"/>
      <c r="U304" s="537"/>
      <c r="V304" s="529"/>
      <c r="W304" s="539"/>
      <c r="X304" s="539"/>
      <c r="Y304" s="539"/>
      <c r="Z304" s="539"/>
      <c r="AA304" s="539"/>
      <c r="AB304" s="539"/>
      <c r="AC304" s="529"/>
      <c r="AD304" s="539"/>
      <c r="AE304" s="539"/>
      <c r="AF304" s="539"/>
      <c r="AG304" s="539"/>
      <c r="AH304" s="539"/>
      <c r="AI304" s="539"/>
      <c r="AJ304" s="529"/>
      <c r="AK304" s="539"/>
      <c r="AL304" s="539"/>
      <c r="AM304" s="539"/>
      <c r="AN304" s="539"/>
      <c r="AO304" s="539"/>
      <c r="AP304" s="542"/>
      <c r="AQ304" s="549"/>
      <c r="AR304" s="550"/>
      <c r="AS304" s="550"/>
      <c r="AT304" s="550"/>
      <c r="AU304" s="550"/>
      <c r="AV304" s="550"/>
      <c r="AW304" s="551"/>
      <c r="AX304" s="495"/>
      <c r="AY304" s="496"/>
      <c r="AZ304" s="108">
        <v>6</v>
      </c>
      <c r="BA304" s="513"/>
      <c r="BB304" s="514"/>
      <c r="BC304" s="514"/>
      <c r="BD304" s="515"/>
      <c r="BE304" s="644"/>
      <c r="BF304" s="645"/>
      <c r="BG304" s="111"/>
      <c r="BH304" s="510"/>
      <c r="BI304" s="511"/>
      <c r="BJ304" s="511"/>
      <c r="BK304" s="511"/>
      <c r="BL304" s="511"/>
      <c r="BM304" s="512"/>
      <c r="BN304" s="510"/>
      <c r="BO304" s="511"/>
      <c r="BP304" s="511"/>
      <c r="BQ304" s="511"/>
      <c r="BR304" s="511"/>
      <c r="BS304" s="512"/>
      <c r="BT304" s="510"/>
      <c r="BU304" s="511"/>
      <c r="BV304" s="511"/>
      <c r="BW304" s="511"/>
      <c r="BX304" s="511"/>
      <c r="BY304" s="512"/>
      <c r="BZ304" s="513"/>
      <c r="CA304" s="514"/>
      <c r="CB304" s="514"/>
      <c r="CC304" s="515"/>
      <c r="CD304" s="477"/>
      <c r="CE304" s="478"/>
      <c r="CF304" s="478"/>
      <c r="CG304" s="478"/>
      <c r="CH304" s="479"/>
      <c r="CI304" s="477"/>
      <c r="CJ304" s="478"/>
      <c r="CK304" s="478"/>
      <c r="CL304" s="478"/>
      <c r="CM304" s="479"/>
      <c r="CN304" s="477"/>
      <c r="CO304" s="478"/>
      <c r="CP304" s="478"/>
      <c r="CQ304" s="478"/>
      <c r="CR304" s="479"/>
      <c r="CS304" s="480"/>
      <c r="CT304" s="481"/>
      <c r="CU304" s="481"/>
      <c r="CV304" s="481"/>
      <c r="CW304" s="482"/>
    </row>
    <row r="305" spans="1:101" s="91" customFormat="1" ht="16.5" x14ac:dyDescent="0.15">
      <c r="A305" s="516">
        <v>50</v>
      </c>
      <c r="B305" s="102"/>
      <c r="C305" s="216" t="str">
        <f t="shared" ca="1" si="9"/>
        <v/>
      </c>
      <c r="D305" s="519"/>
      <c r="E305" s="649"/>
      <c r="F305" s="649"/>
      <c r="G305" s="649"/>
      <c r="H305" s="649"/>
      <c r="I305" s="649"/>
      <c r="J305" s="649"/>
      <c r="K305" s="525"/>
      <c r="L305" s="538"/>
      <c r="M305" s="538"/>
      <c r="N305" s="538"/>
      <c r="O305" s="538"/>
      <c r="P305" s="538"/>
      <c r="Q305" s="538"/>
      <c r="R305" s="531"/>
      <c r="S305" s="532"/>
      <c r="T305" s="531"/>
      <c r="U305" s="532"/>
      <c r="V305" s="525"/>
      <c r="W305" s="538"/>
      <c r="X305" s="538"/>
      <c r="Y305" s="538"/>
      <c r="Z305" s="538"/>
      <c r="AA305" s="538"/>
      <c r="AB305" s="538"/>
      <c r="AC305" s="525"/>
      <c r="AD305" s="538"/>
      <c r="AE305" s="538"/>
      <c r="AF305" s="538"/>
      <c r="AG305" s="538"/>
      <c r="AH305" s="538"/>
      <c r="AI305" s="538"/>
      <c r="AJ305" s="525"/>
      <c r="AK305" s="538"/>
      <c r="AL305" s="538"/>
      <c r="AM305" s="538"/>
      <c r="AN305" s="538"/>
      <c r="AO305" s="538"/>
      <c r="AP305" s="540"/>
      <c r="AQ305" s="543"/>
      <c r="AR305" s="544"/>
      <c r="AS305" s="544"/>
      <c r="AT305" s="544"/>
      <c r="AU305" s="544"/>
      <c r="AV305" s="544"/>
      <c r="AW305" s="545"/>
      <c r="AX305" s="491"/>
      <c r="AY305" s="492"/>
      <c r="AZ305" s="103">
        <v>1</v>
      </c>
      <c r="BA305" s="552"/>
      <c r="BB305" s="553"/>
      <c r="BC305" s="553"/>
      <c r="BD305" s="554"/>
      <c r="BE305" s="500"/>
      <c r="BF305" s="501"/>
      <c r="BG305" s="104"/>
      <c r="BH305" s="502"/>
      <c r="BI305" s="503"/>
      <c r="BJ305" s="503"/>
      <c r="BK305" s="503"/>
      <c r="BL305" s="503"/>
      <c r="BM305" s="504"/>
      <c r="BN305" s="502"/>
      <c r="BO305" s="503"/>
      <c r="BP305" s="503"/>
      <c r="BQ305" s="503"/>
      <c r="BR305" s="503"/>
      <c r="BS305" s="504"/>
      <c r="BT305" s="502"/>
      <c r="BU305" s="503"/>
      <c r="BV305" s="503"/>
      <c r="BW305" s="503"/>
      <c r="BX305" s="503"/>
      <c r="BY305" s="504"/>
      <c r="BZ305" s="552"/>
      <c r="CA305" s="553"/>
      <c r="CB305" s="553"/>
      <c r="CC305" s="554"/>
      <c r="CD305" s="477"/>
      <c r="CE305" s="478"/>
      <c r="CF305" s="478"/>
      <c r="CG305" s="478"/>
      <c r="CH305" s="479"/>
      <c r="CI305" s="477"/>
      <c r="CJ305" s="478"/>
      <c r="CK305" s="478"/>
      <c r="CL305" s="478"/>
      <c r="CM305" s="479"/>
      <c r="CN305" s="477"/>
      <c r="CO305" s="478"/>
      <c r="CP305" s="478"/>
      <c r="CQ305" s="478"/>
      <c r="CR305" s="479"/>
      <c r="CS305" s="480"/>
      <c r="CT305" s="481"/>
      <c r="CU305" s="481"/>
      <c r="CV305" s="481"/>
      <c r="CW305" s="482"/>
    </row>
    <row r="306" spans="1:101" s="91" customFormat="1" ht="16.5" x14ac:dyDescent="0.15">
      <c r="A306" s="517"/>
      <c r="B306" s="102"/>
      <c r="C306" s="220" t="str">
        <f t="shared" ca="1" si="9"/>
        <v/>
      </c>
      <c r="D306" s="521"/>
      <c r="E306" s="522"/>
      <c r="F306" s="522"/>
      <c r="G306" s="522"/>
      <c r="H306" s="522"/>
      <c r="I306" s="522"/>
      <c r="J306" s="522"/>
      <c r="K306" s="527"/>
      <c r="L306" s="528"/>
      <c r="M306" s="528"/>
      <c r="N306" s="528"/>
      <c r="O306" s="528"/>
      <c r="P306" s="528"/>
      <c r="Q306" s="528"/>
      <c r="R306" s="533"/>
      <c r="S306" s="534"/>
      <c r="T306" s="533"/>
      <c r="U306" s="534"/>
      <c r="V306" s="527"/>
      <c r="W306" s="528"/>
      <c r="X306" s="528"/>
      <c r="Y306" s="528"/>
      <c r="Z306" s="528"/>
      <c r="AA306" s="528"/>
      <c r="AB306" s="528"/>
      <c r="AC306" s="527"/>
      <c r="AD306" s="528"/>
      <c r="AE306" s="528"/>
      <c r="AF306" s="528"/>
      <c r="AG306" s="528"/>
      <c r="AH306" s="528"/>
      <c r="AI306" s="528"/>
      <c r="AJ306" s="527"/>
      <c r="AK306" s="528"/>
      <c r="AL306" s="528"/>
      <c r="AM306" s="528"/>
      <c r="AN306" s="528"/>
      <c r="AO306" s="528"/>
      <c r="AP306" s="541"/>
      <c r="AQ306" s="546"/>
      <c r="AR306" s="547"/>
      <c r="AS306" s="547"/>
      <c r="AT306" s="547"/>
      <c r="AU306" s="547"/>
      <c r="AV306" s="547"/>
      <c r="AW306" s="548"/>
      <c r="AX306" s="493"/>
      <c r="AY306" s="494"/>
      <c r="AZ306" s="105">
        <v>2</v>
      </c>
      <c r="BA306" s="483"/>
      <c r="BB306" s="484"/>
      <c r="BC306" s="484"/>
      <c r="BD306" s="485"/>
      <c r="BE306" s="486"/>
      <c r="BF306" s="487"/>
      <c r="BG306" s="106"/>
      <c r="BH306" s="488"/>
      <c r="BI306" s="489"/>
      <c r="BJ306" s="489"/>
      <c r="BK306" s="489"/>
      <c r="BL306" s="489"/>
      <c r="BM306" s="490"/>
      <c r="BN306" s="488"/>
      <c r="BO306" s="489"/>
      <c r="BP306" s="489"/>
      <c r="BQ306" s="489"/>
      <c r="BR306" s="489"/>
      <c r="BS306" s="490"/>
      <c r="BT306" s="488"/>
      <c r="BU306" s="489"/>
      <c r="BV306" s="489"/>
      <c r="BW306" s="489"/>
      <c r="BX306" s="489"/>
      <c r="BY306" s="490"/>
      <c r="BZ306" s="483"/>
      <c r="CA306" s="484"/>
      <c r="CB306" s="484"/>
      <c r="CC306" s="485"/>
      <c r="CD306" s="477"/>
      <c r="CE306" s="478"/>
      <c r="CF306" s="478"/>
      <c r="CG306" s="478"/>
      <c r="CH306" s="479"/>
      <c r="CI306" s="477"/>
      <c r="CJ306" s="478"/>
      <c r="CK306" s="478"/>
      <c r="CL306" s="478"/>
      <c r="CM306" s="479"/>
      <c r="CN306" s="477"/>
      <c r="CO306" s="478"/>
      <c r="CP306" s="478"/>
      <c r="CQ306" s="478"/>
      <c r="CR306" s="479"/>
      <c r="CS306" s="480"/>
      <c r="CT306" s="481"/>
      <c r="CU306" s="481"/>
      <c r="CV306" s="481"/>
      <c r="CW306" s="482"/>
    </row>
    <row r="307" spans="1:101" s="91" customFormat="1" ht="16.5" x14ac:dyDescent="0.15">
      <c r="A307" s="517"/>
      <c r="B307" s="102"/>
      <c r="C307" s="220" t="str">
        <f t="shared" ca="1" si="9"/>
        <v/>
      </c>
      <c r="D307" s="521"/>
      <c r="E307" s="522"/>
      <c r="F307" s="522"/>
      <c r="G307" s="522"/>
      <c r="H307" s="522"/>
      <c r="I307" s="522"/>
      <c r="J307" s="522"/>
      <c r="K307" s="527"/>
      <c r="L307" s="528"/>
      <c r="M307" s="528"/>
      <c r="N307" s="528"/>
      <c r="O307" s="528"/>
      <c r="P307" s="528"/>
      <c r="Q307" s="528"/>
      <c r="R307" s="533"/>
      <c r="S307" s="534"/>
      <c r="T307" s="533"/>
      <c r="U307" s="534"/>
      <c r="V307" s="527"/>
      <c r="W307" s="528"/>
      <c r="X307" s="528"/>
      <c r="Y307" s="528"/>
      <c r="Z307" s="528"/>
      <c r="AA307" s="528"/>
      <c r="AB307" s="528"/>
      <c r="AC307" s="527"/>
      <c r="AD307" s="528"/>
      <c r="AE307" s="528"/>
      <c r="AF307" s="528"/>
      <c r="AG307" s="528"/>
      <c r="AH307" s="528"/>
      <c r="AI307" s="528"/>
      <c r="AJ307" s="527"/>
      <c r="AK307" s="528"/>
      <c r="AL307" s="528"/>
      <c r="AM307" s="528"/>
      <c r="AN307" s="528"/>
      <c r="AO307" s="528"/>
      <c r="AP307" s="541"/>
      <c r="AQ307" s="546"/>
      <c r="AR307" s="547"/>
      <c r="AS307" s="547"/>
      <c r="AT307" s="547"/>
      <c r="AU307" s="547"/>
      <c r="AV307" s="547"/>
      <c r="AW307" s="548"/>
      <c r="AX307" s="493"/>
      <c r="AY307" s="494"/>
      <c r="AZ307" s="105">
        <v>3</v>
      </c>
      <c r="BA307" s="483"/>
      <c r="BB307" s="484"/>
      <c r="BC307" s="484"/>
      <c r="BD307" s="485"/>
      <c r="BE307" s="486"/>
      <c r="BF307" s="487"/>
      <c r="BG307" s="106"/>
      <c r="BH307" s="488"/>
      <c r="BI307" s="489"/>
      <c r="BJ307" s="489"/>
      <c r="BK307" s="489"/>
      <c r="BL307" s="489"/>
      <c r="BM307" s="490"/>
      <c r="BN307" s="488"/>
      <c r="BO307" s="489"/>
      <c r="BP307" s="489"/>
      <c r="BQ307" s="489"/>
      <c r="BR307" s="489"/>
      <c r="BS307" s="490"/>
      <c r="BT307" s="488"/>
      <c r="BU307" s="489"/>
      <c r="BV307" s="489"/>
      <c r="BW307" s="489"/>
      <c r="BX307" s="489"/>
      <c r="BY307" s="490"/>
      <c r="BZ307" s="483"/>
      <c r="CA307" s="484"/>
      <c r="CB307" s="484"/>
      <c r="CC307" s="485"/>
      <c r="CD307" s="477"/>
      <c r="CE307" s="478"/>
      <c r="CF307" s="478"/>
      <c r="CG307" s="478"/>
      <c r="CH307" s="479"/>
      <c r="CI307" s="477"/>
      <c r="CJ307" s="478"/>
      <c r="CK307" s="478"/>
      <c r="CL307" s="478"/>
      <c r="CM307" s="479"/>
      <c r="CN307" s="477"/>
      <c r="CO307" s="478"/>
      <c r="CP307" s="478"/>
      <c r="CQ307" s="478"/>
      <c r="CR307" s="479"/>
      <c r="CS307" s="480"/>
      <c r="CT307" s="481"/>
      <c r="CU307" s="481"/>
      <c r="CV307" s="481"/>
      <c r="CW307" s="482"/>
    </row>
    <row r="308" spans="1:101" s="91" customFormat="1" ht="16.5" x14ac:dyDescent="0.15">
      <c r="A308" s="517"/>
      <c r="B308" s="102"/>
      <c r="C308" s="220" t="str">
        <f t="shared" ca="1" si="9"/>
        <v/>
      </c>
      <c r="D308" s="521"/>
      <c r="E308" s="522"/>
      <c r="F308" s="522"/>
      <c r="G308" s="522"/>
      <c r="H308" s="522"/>
      <c r="I308" s="522"/>
      <c r="J308" s="522"/>
      <c r="K308" s="527"/>
      <c r="L308" s="528"/>
      <c r="M308" s="528"/>
      <c r="N308" s="528"/>
      <c r="O308" s="528"/>
      <c r="P308" s="528"/>
      <c r="Q308" s="528"/>
      <c r="R308" s="533"/>
      <c r="S308" s="534"/>
      <c r="T308" s="533"/>
      <c r="U308" s="534"/>
      <c r="V308" s="527"/>
      <c r="W308" s="528"/>
      <c r="X308" s="528"/>
      <c r="Y308" s="528"/>
      <c r="Z308" s="528"/>
      <c r="AA308" s="528"/>
      <c r="AB308" s="528"/>
      <c r="AC308" s="527"/>
      <c r="AD308" s="528"/>
      <c r="AE308" s="528"/>
      <c r="AF308" s="528"/>
      <c r="AG308" s="528"/>
      <c r="AH308" s="528"/>
      <c r="AI308" s="528"/>
      <c r="AJ308" s="527"/>
      <c r="AK308" s="528"/>
      <c r="AL308" s="528"/>
      <c r="AM308" s="528"/>
      <c r="AN308" s="528"/>
      <c r="AO308" s="528"/>
      <c r="AP308" s="541"/>
      <c r="AQ308" s="546"/>
      <c r="AR308" s="547"/>
      <c r="AS308" s="547"/>
      <c r="AT308" s="547"/>
      <c r="AU308" s="547"/>
      <c r="AV308" s="547"/>
      <c r="AW308" s="548"/>
      <c r="AX308" s="493"/>
      <c r="AY308" s="494"/>
      <c r="AZ308" s="105">
        <v>4</v>
      </c>
      <c r="BA308" s="483"/>
      <c r="BB308" s="484"/>
      <c r="BC308" s="484"/>
      <c r="BD308" s="485"/>
      <c r="BE308" s="486"/>
      <c r="BF308" s="487"/>
      <c r="BG308" s="106"/>
      <c r="BH308" s="488"/>
      <c r="BI308" s="489"/>
      <c r="BJ308" s="489"/>
      <c r="BK308" s="489"/>
      <c r="BL308" s="489"/>
      <c r="BM308" s="490"/>
      <c r="BN308" s="488"/>
      <c r="BO308" s="489"/>
      <c r="BP308" s="489"/>
      <c r="BQ308" s="489"/>
      <c r="BR308" s="489"/>
      <c r="BS308" s="490"/>
      <c r="BT308" s="488"/>
      <c r="BU308" s="489"/>
      <c r="BV308" s="489"/>
      <c r="BW308" s="489"/>
      <c r="BX308" s="489"/>
      <c r="BY308" s="490"/>
      <c r="BZ308" s="483"/>
      <c r="CA308" s="484"/>
      <c r="CB308" s="484"/>
      <c r="CC308" s="485"/>
      <c r="CD308" s="477"/>
      <c r="CE308" s="478"/>
      <c r="CF308" s="478"/>
      <c r="CG308" s="478"/>
      <c r="CH308" s="479"/>
      <c r="CI308" s="477"/>
      <c r="CJ308" s="478"/>
      <c r="CK308" s="478"/>
      <c r="CL308" s="478"/>
      <c r="CM308" s="479"/>
      <c r="CN308" s="477"/>
      <c r="CO308" s="478"/>
      <c r="CP308" s="478"/>
      <c r="CQ308" s="478"/>
      <c r="CR308" s="479"/>
      <c r="CS308" s="480"/>
      <c r="CT308" s="481"/>
      <c r="CU308" s="481"/>
      <c r="CV308" s="481"/>
      <c r="CW308" s="482"/>
    </row>
    <row r="309" spans="1:101" s="91" customFormat="1" ht="16.5" x14ac:dyDescent="0.15">
      <c r="A309" s="517"/>
      <c r="B309" s="102"/>
      <c r="C309" s="220" t="str">
        <f t="shared" ca="1" si="9"/>
        <v/>
      </c>
      <c r="D309" s="521"/>
      <c r="E309" s="522"/>
      <c r="F309" s="522"/>
      <c r="G309" s="522"/>
      <c r="H309" s="522"/>
      <c r="I309" s="522"/>
      <c r="J309" s="522"/>
      <c r="K309" s="527"/>
      <c r="L309" s="528"/>
      <c r="M309" s="528"/>
      <c r="N309" s="528"/>
      <c r="O309" s="528"/>
      <c r="P309" s="528"/>
      <c r="Q309" s="528"/>
      <c r="R309" s="533"/>
      <c r="S309" s="534"/>
      <c r="T309" s="533"/>
      <c r="U309" s="534"/>
      <c r="V309" s="527"/>
      <c r="W309" s="528"/>
      <c r="X309" s="528"/>
      <c r="Y309" s="528"/>
      <c r="Z309" s="528"/>
      <c r="AA309" s="528"/>
      <c r="AB309" s="528"/>
      <c r="AC309" s="527"/>
      <c r="AD309" s="528"/>
      <c r="AE309" s="528"/>
      <c r="AF309" s="528"/>
      <c r="AG309" s="528"/>
      <c r="AH309" s="528"/>
      <c r="AI309" s="528"/>
      <c r="AJ309" s="527"/>
      <c r="AK309" s="528"/>
      <c r="AL309" s="528"/>
      <c r="AM309" s="528"/>
      <c r="AN309" s="528"/>
      <c r="AO309" s="528"/>
      <c r="AP309" s="541"/>
      <c r="AQ309" s="546"/>
      <c r="AR309" s="547"/>
      <c r="AS309" s="547"/>
      <c r="AT309" s="547"/>
      <c r="AU309" s="547"/>
      <c r="AV309" s="547"/>
      <c r="AW309" s="548"/>
      <c r="AX309" s="493"/>
      <c r="AY309" s="494"/>
      <c r="AZ309" s="105">
        <v>5</v>
      </c>
      <c r="BA309" s="483"/>
      <c r="BB309" s="484"/>
      <c r="BC309" s="484"/>
      <c r="BD309" s="485"/>
      <c r="BE309" s="486"/>
      <c r="BF309" s="487"/>
      <c r="BG309" s="106"/>
      <c r="BH309" s="488"/>
      <c r="BI309" s="489"/>
      <c r="BJ309" s="489"/>
      <c r="BK309" s="489"/>
      <c r="BL309" s="489"/>
      <c r="BM309" s="490"/>
      <c r="BN309" s="488"/>
      <c r="BO309" s="489"/>
      <c r="BP309" s="489"/>
      <c r="BQ309" s="489"/>
      <c r="BR309" s="489"/>
      <c r="BS309" s="490"/>
      <c r="BT309" s="488"/>
      <c r="BU309" s="489"/>
      <c r="BV309" s="489"/>
      <c r="BW309" s="489"/>
      <c r="BX309" s="489"/>
      <c r="BY309" s="490"/>
      <c r="BZ309" s="483"/>
      <c r="CA309" s="484"/>
      <c r="CB309" s="484"/>
      <c r="CC309" s="485"/>
      <c r="CD309" s="477"/>
      <c r="CE309" s="478"/>
      <c r="CF309" s="478"/>
      <c r="CG309" s="478"/>
      <c r="CH309" s="479"/>
      <c r="CI309" s="477"/>
      <c r="CJ309" s="478"/>
      <c r="CK309" s="478"/>
      <c r="CL309" s="478"/>
      <c r="CM309" s="479"/>
      <c r="CN309" s="477"/>
      <c r="CO309" s="478"/>
      <c r="CP309" s="478"/>
      <c r="CQ309" s="478"/>
      <c r="CR309" s="479"/>
      <c r="CS309" s="480"/>
      <c r="CT309" s="481"/>
      <c r="CU309" s="481"/>
      <c r="CV309" s="481"/>
      <c r="CW309" s="482"/>
    </row>
    <row r="310" spans="1:101" s="91" customFormat="1" ht="16.5" x14ac:dyDescent="0.15">
      <c r="A310" s="518"/>
      <c r="B310" s="107"/>
      <c r="C310" s="219" t="str">
        <f t="shared" ca="1" si="9"/>
        <v/>
      </c>
      <c r="D310" s="523"/>
      <c r="E310" s="650"/>
      <c r="F310" s="650"/>
      <c r="G310" s="650"/>
      <c r="H310" s="650"/>
      <c r="I310" s="650"/>
      <c r="J310" s="650"/>
      <c r="K310" s="529"/>
      <c r="L310" s="539"/>
      <c r="M310" s="539"/>
      <c r="N310" s="539"/>
      <c r="O310" s="539"/>
      <c r="P310" s="539"/>
      <c r="Q310" s="539"/>
      <c r="R310" s="535"/>
      <c r="S310" s="537"/>
      <c r="T310" s="535"/>
      <c r="U310" s="537"/>
      <c r="V310" s="529"/>
      <c r="W310" s="539"/>
      <c r="X310" s="539"/>
      <c r="Y310" s="539"/>
      <c r="Z310" s="539"/>
      <c r="AA310" s="539"/>
      <c r="AB310" s="539"/>
      <c r="AC310" s="529"/>
      <c r="AD310" s="539"/>
      <c r="AE310" s="539"/>
      <c r="AF310" s="539"/>
      <c r="AG310" s="539"/>
      <c r="AH310" s="539"/>
      <c r="AI310" s="539"/>
      <c r="AJ310" s="529"/>
      <c r="AK310" s="539"/>
      <c r="AL310" s="539"/>
      <c r="AM310" s="539"/>
      <c r="AN310" s="539"/>
      <c r="AO310" s="539"/>
      <c r="AP310" s="542"/>
      <c r="AQ310" s="549"/>
      <c r="AR310" s="550"/>
      <c r="AS310" s="550"/>
      <c r="AT310" s="550"/>
      <c r="AU310" s="550"/>
      <c r="AV310" s="550"/>
      <c r="AW310" s="551"/>
      <c r="AX310" s="495"/>
      <c r="AY310" s="496"/>
      <c r="AZ310" s="108">
        <v>6</v>
      </c>
      <c r="BA310" s="505"/>
      <c r="BB310" s="506"/>
      <c r="BC310" s="506"/>
      <c r="BD310" s="507"/>
      <c r="BE310" s="644"/>
      <c r="BF310" s="645"/>
      <c r="BG310" s="109"/>
      <c r="BH310" s="510"/>
      <c r="BI310" s="511"/>
      <c r="BJ310" s="511"/>
      <c r="BK310" s="511"/>
      <c r="BL310" s="511"/>
      <c r="BM310" s="512"/>
      <c r="BN310" s="510"/>
      <c r="BO310" s="511"/>
      <c r="BP310" s="511"/>
      <c r="BQ310" s="511"/>
      <c r="BR310" s="511"/>
      <c r="BS310" s="512"/>
      <c r="BT310" s="510"/>
      <c r="BU310" s="511"/>
      <c r="BV310" s="511"/>
      <c r="BW310" s="511"/>
      <c r="BX310" s="511"/>
      <c r="BY310" s="512"/>
      <c r="BZ310" s="505"/>
      <c r="CA310" s="506"/>
      <c r="CB310" s="506"/>
      <c r="CC310" s="507"/>
      <c r="CD310" s="477"/>
      <c r="CE310" s="478"/>
      <c r="CF310" s="478"/>
      <c r="CG310" s="478"/>
      <c r="CH310" s="479"/>
      <c r="CI310" s="477"/>
      <c r="CJ310" s="478"/>
      <c r="CK310" s="478"/>
      <c r="CL310" s="478"/>
      <c r="CM310" s="479"/>
      <c r="CN310" s="477"/>
      <c r="CO310" s="478"/>
      <c r="CP310" s="478"/>
      <c r="CQ310" s="478"/>
      <c r="CR310" s="479"/>
      <c r="CS310" s="480"/>
      <c r="CT310" s="481"/>
      <c r="CU310" s="481"/>
      <c r="CV310" s="481"/>
      <c r="CW310" s="482"/>
    </row>
    <row r="311" spans="1:101" s="91" customFormat="1" ht="16.5" x14ac:dyDescent="0.15">
      <c r="A311" s="516">
        <v>53</v>
      </c>
      <c r="B311" s="102"/>
      <c r="C311" s="222" t="str">
        <f t="shared" ca="1" si="9"/>
        <v/>
      </c>
      <c r="D311" s="519"/>
      <c r="E311" s="649"/>
      <c r="F311" s="649"/>
      <c r="G311" s="649"/>
      <c r="H311" s="649"/>
      <c r="I311" s="649"/>
      <c r="J311" s="649"/>
      <c r="K311" s="525"/>
      <c r="L311" s="538"/>
      <c r="M311" s="538"/>
      <c r="N311" s="538"/>
      <c r="O311" s="538"/>
      <c r="P311" s="538"/>
      <c r="Q311" s="538"/>
      <c r="R311" s="531"/>
      <c r="S311" s="532"/>
      <c r="T311" s="531"/>
      <c r="U311" s="532"/>
      <c r="V311" s="525"/>
      <c r="W311" s="538"/>
      <c r="X311" s="538"/>
      <c r="Y311" s="538"/>
      <c r="Z311" s="538"/>
      <c r="AA311" s="538"/>
      <c r="AB311" s="538"/>
      <c r="AC311" s="525"/>
      <c r="AD311" s="538"/>
      <c r="AE311" s="538"/>
      <c r="AF311" s="538"/>
      <c r="AG311" s="538"/>
      <c r="AH311" s="538"/>
      <c r="AI311" s="538"/>
      <c r="AJ311" s="525"/>
      <c r="AK311" s="538"/>
      <c r="AL311" s="538"/>
      <c r="AM311" s="538"/>
      <c r="AN311" s="538"/>
      <c r="AO311" s="538"/>
      <c r="AP311" s="540"/>
      <c r="AQ311" s="543"/>
      <c r="AR311" s="544"/>
      <c r="AS311" s="544"/>
      <c r="AT311" s="544"/>
      <c r="AU311" s="544"/>
      <c r="AV311" s="544"/>
      <c r="AW311" s="545"/>
      <c r="AX311" s="491"/>
      <c r="AY311" s="492"/>
      <c r="AZ311" s="103">
        <v>1</v>
      </c>
      <c r="BA311" s="497"/>
      <c r="BB311" s="498"/>
      <c r="BC311" s="498"/>
      <c r="BD311" s="499"/>
      <c r="BE311" s="500"/>
      <c r="BF311" s="501"/>
      <c r="BG311" s="110"/>
      <c r="BH311" s="502"/>
      <c r="BI311" s="503"/>
      <c r="BJ311" s="503"/>
      <c r="BK311" s="503"/>
      <c r="BL311" s="503"/>
      <c r="BM311" s="504"/>
      <c r="BN311" s="502"/>
      <c r="BO311" s="503"/>
      <c r="BP311" s="503"/>
      <c r="BQ311" s="503"/>
      <c r="BR311" s="503"/>
      <c r="BS311" s="504"/>
      <c r="BT311" s="502"/>
      <c r="BU311" s="503"/>
      <c r="BV311" s="503"/>
      <c r="BW311" s="503"/>
      <c r="BX311" s="503"/>
      <c r="BY311" s="504"/>
      <c r="BZ311" s="497"/>
      <c r="CA311" s="498"/>
      <c r="CB311" s="498"/>
      <c r="CC311" s="499"/>
      <c r="CD311" s="477"/>
      <c r="CE311" s="478"/>
      <c r="CF311" s="478"/>
      <c r="CG311" s="478"/>
      <c r="CH311" s="479"/>
      <c r="CI311" s="477"/>
      <c r="CJ311" s="478"/>
      <c r="CK311" s="478"/>
      <c r="CL311" s="478"/>
      <c r="CM311" s="479"/>
      <c r="CN311" s="477"/>
      <c r="CO311" s="478"/>
      <c r="CP311" s="478"/>
      <c r="CQ311" s="478"/>
      <c r="CR311" s="479"/>
      <c r="CS311" s="480"/>
      <c r="CT311" s="481"/>
      <c r="CU311" s="481"/>
      <c r="CV311" s="481"/>
      <c r="CW311" s="482"/>
    </row>
    <row r="312" spans="1:101" s="91" customFormat="1" ht="16.5" x14ac:dyDescent="0.15">
      <c r="A312" s="517"/>
      <c r="B312" s="102"/>
      <c r="C312" s="220" t="str">
        <f t="shared" ca="1" si="9"/>
        <v/>
      </c>
      <c r="D312" s="521"/>
      <c r="E312" s="522"/>
      <c r="F312" s="522"/>
      <c r="G312" s="522"/>
      <c r="H312" s="522"/>
      <c r="I312" s="522"/>
      <c r="J312" s="522"/>
      <c r="K312" s="527"/>
      <c r="L312" s="528"/>
      <c r="M312" s="528"/>
      <c r="N312" s="528"/>
      <c r="O312" s="528"/>
      <c r="P312" s="528"/>
      <c r="Q312" s="528"/>
      <c r="R312" s="533"/>
      <c r="S312" s="534"/>
      <c r="T312" s="533"/>
      <c r="U312" s="534"/>
      <c r="V312" s="527"/>
      <c r="W312" s="528"/>
      <c r="X312" s="528"/>
      <c r="Y312" s="528"/>
      <c r="Z312" s="528"/>
      <c r="AA312" s="528"/>
      <c r="AB312" s="528"/>
      <c r="AC312" s="527"/>
      <c r="AD312" s="528"/>
      <c r="AE312" s="528"/>
      <c r="AF312" s="528"/>
      <c r="AG312" s="528"/>
      <c r="AH312" s="528"/>
      <c r="AI312" s="528"/>
      <c r="AJ312" s="527"/>
      <c r="AK312" s="528"/>
      <c r="AL312" s="528"/>
      <c r="AM312" s="528"/>
      <c r="AN312" s="528"/>
      <c r="AO312" s="528"/>
      <c r="AP312" s="541"/>
      <c r="AQ312" s="546"/>
      <c r="AR312" s="547"/>
      <c r="AS312" s="547"/>
      <c r="AT312" s="547"/>
      <c r="AU312" s="547"/>
      <c r="AV312" s="547"/>
      <c r="AW312" s="548"/>
      <c r="AX312" s="493"/>
      <c r="AY312" s="494"/>
      <c r="AZ312" s="105">
        <v>2</v>
      </c>
      <c r="BA312" s="483"/>
      <c r="BB312" s="484"/>
      <c r="BC312" s="484"/>
      <c r="BD312" s="485"/>
      <c r="BE312" s="486"/>
      <c r="BF312" s="487"/>
      <c r="BG312" s="106"/>
      <c r="BH312" s="488"/>
      <c r="BI312" s="489"/>
      <c r="BJ312" s="489"/>
      <c r="BK312" s="489"/>
      <c r="BL312" s="489"/>
      <c r="BM312" s="490"/>
      <c r="BN312" s="488"/>
      <c r="BO312" s="489"/>
      <c r="BP312" s="489"/>
      <c r="BQ312" s="489"/>
      <c r="BR312" s="489"/>
      <c r="BS312" s="490"/>
      <c r="BT312" s="488"/>
      <c r="BU312" s="489"/>
      <c r="BV312" s="489"/>
      <c r="BW312" s="489"/>
      <c r="BX312" s="489"/>
      <c r="BY312" s="490"/>
      <c r="BZ312" s="483"/>
      <c r="CA312" s="484"/>
      <c r="CB312" s="484"/>
      <c r="CC312" s="485"/>
      <c r="CD312" s="477"/>
      <c r="CE312" s="478"/>
      <c r="CF312" s="478"/>
      <c r="CG312" s="478"/>
      <c r="CH312" s="479"/>
      <c r="CI312" s="477"/>
      <c r="CJ312" s="478"/>
      <c r="CK312" s="478"/>
      <c r="CL312" s="478"/>
      <c r="CM312" s="479"/>
      <c r="CN312" s="477"/>
      <c r="CO312" s="478"/>
      <c r="CP312" s="478"/>
      <c r="CQ312" s="478"/>
      <c r="CR312" s="479"/>
      <c r="CS312" s="480"/>
      <c r="CT312" s="481"/>
      <c r="CU312" s="481"/>
      <c r="CV312" s="481"/>
      <c r="CW312" s="482"/>
    </row>
    <row r="313" spans="1:101" s="91" customFormat="1" ht="16.5" x14ac:dyDescent="0.15">
      <c r="A313" s="517"/>
      <c r="B313" s="102"/>
      <c r="C313" s="220" t="str">
        <f t="shared" ca="1" si="9"/>
        <v/>
      </c>
      <c r="D313" s="521"/>
      <c r="E313" s="522"/>
      <c r="F313" s="522"/>
      <c r="G313" s="522"/>
      <c r="H313" s="522"/>
      <c r="I313" s="522"/>
      <c r="J313" s="522"/>
      <c r="K313" s="527"/>
      <c r="L313" s="528"/>
      <c r="M313" s="528"/>
      <c r="N313" s="528"/>
      <c r="O313" s="528"/>
      <c r="P313" s="528"/>
      <c r="Q313" s="528"/>
      <c r="R313" s="533"/>
      <c r="S313" s="534"/>
      <c r="T313" s="533"/>
      <c r="U313" s="534"/>
      <c r="V313" s="527"/>
      <c r="W313" s="528"/>
      <c r="X313" s="528"/>
      <c r="Y313" s="528"/>
      <c r="Z313" s="528"/>
      <c r="AA313" s="528"/>
      <c r="AB313" s="528"/>
      <c r="AC313" s="527"/>
      <c r="AD313" s="528"/>
      <c r="AE313" s="528"/>
      <c r="AF313" s="528"/>
      <c r="AG313" s="528"/>
      <c r="AH313" s="528"/>
      <c r="AI313" s="528"/>
      <c r="AJ313" s="527"/>
      <c r="AK313" s="528"/>
      <c r="AL313" s="528"/>
      <c r="AM313" s="528"/>
      <c r="AN313" s="528"/>
      <c r="AO313" s="528"/>
      <c r="AP313" s="541"/>
      <c r="AQ313" s="546"/>
      <c r="AR313" s="547"/>
      <c r="AS313" s="547"/>
      <c r="AT313" s="547"/>
      <c r="AU313" s="547"/>
      <c r="AV313" s="547"/>
      <c r="AW313" s="548"/>
      <c r="AX313" s="493"/>
      <c r="AY313" s="494"/>
      <c r="AZ313" s="105">
        <v>3</v>
      </c>
      <c r="BA313" s="483"/>
      <c r="BB313" s="484"/>
      <c r="BC313" s="484"/>
      <c r="BD313" s="485"/>
      <c r="BE313" s="486"/>
      <c r="BF313" s="487"/>
      <c r="BG313" s="106"/>
      <c r="BH313" s="488"/>
      <c r="BI313" s="489"/>
      <c r="BJ313" s="489"/>
      <c r="BK313" s="489"/>
      <c r="BL313" s="489"/>
      <c r="BM313" s="490"/>
      <c r="BN313" s="488"/>
      <c r="BO313" s="489"/>
      <c r="BP313" s="489"/>
      <c r="BQ313" s="489"/>
      <c r="BR313" s="489"/>
      <c r="BS313" s="490"/>
      <c r="BT313" s="488"/>
      <c r="BU313" s="489"/>
      <c r="BV313" s="489"/>
      <c r="BW313" s="489"/>
      <c r="BX313" s="489"/>
      <c r="BY313" s="490"/>
      <c r="BZ313" s="483"/>
      <c r="CA313" s="484"/>
      <c r="CB313" s="484"/>
      <c r="CC313" s="485"/>
      <c r="CD313" s="477"/>
      <c r="CE313" s="478"/>
      <c r="CF313" s="478"/>
      <c r="CG313" s="478"/>
      <c r="CH313" s="479"/>
      <c r="CI313" s="477"/>
      <c r="CJ313" s="478"/>
      <c r="CK313" s="478"/>
      <c r="CL313" s="478"/>
      <c r="CM313" s="479"/>
      <c r="CN313" s="477"/>
      <c r="CO313" s="478"/>
      <c r="CP313" s="478"/>
      <c r="CQ313" s="478"/>
      <c r="CR313" s="479"/>
      <c r="CS313" s="480"/>
      <c r="CT313" s="481"/>
      <c r="CU313" s="481"/>
      <c r="CV313" s="481"/>
      <c r="CW313" s="482"/>
    </row>
    <row r="314" spans="1:101" s="91" customFormat="1" ht="16.5" x14ac:dyDescent="0.15">
      <c r="A314" s="517"/>
      <c r="B314" s="102"/>
      <c r="C314" s="220" t="str">
        <f t="shared" ca="1" si="9"/>
        <v/>
      </c>
      <c r="D314" s="521"/>
      <c r="E314" s="522"/>
      <c r="F314" s="522"/>
      <c r="G314" s="522"/>
      <c r="H314" s="522"/>
      <c r="I314" s="522"/>
      <c r="J314" s="522"/>
      <c r="K314" s="527"/>
      <c r="L314" s="528"/>
      <c r="M314" s="528"/>
      <c r="N314" s="528"/>
      <c r="O314" s="528"/>
      <c r="P314" s="528"/>
      <c r="Q314" s="528"/>
      <c r="R314" s="533"/>
      <c r="S314" s="534"/>
      <c r="T314" s="533"/>
      <c r="U314" s="534"/>
      <c r="V314" s="527"/>
      <c r="W314" s="528"/>
      <c r="X314" s="528"/>
      <c r="Y314" s="528"/>
      <c r="Z314" s="528"/>
      <c r="AA314" s="528"/>
      <c r="AB314" s="528"/>
      <c r="AC314" s="527"/>
      <c r="AD314" s="528"/>
      <c r="AE314" s="528"/>
      <c r="AF314" s="528"/>
      <c r="AG314" s="528"/>
      <c r="AH314" s="528"/>
      <c r="AI314" s="528"/>
      <c r="AJ314" s="527"/>
      <c r="AK314" s="528"/>
      <c r="AL314" s="528"/>
      <c r="AM314" s="528"/>
      <c r="AN314" s="528"/>
      <c r="AO314" s="528"/>
      <c r="AP314" s="541"/>
      <c r="AQ314" s="546"/>
      <c r="AR314" s="547"/>
      <c r="AS314" s="547"/>
      <c r="AT314" s="547"/>
      <c r="AU314" s="547"/>
      <c r="AV314" s="547"/>
      <c r="AW314" s="548"/>
      <c r="AX314" s="493"/>
      <c r="AY314" s="494"/>
      <c r="AZ314" s="105">
        <v>4</v>
      </c>
      <c r="BA314" s="483"/>
      <c r="BB314" s="484"/>
      <c r="BC314" s="484"/>
      <c r="BD314" s="485"/>
      <c r="BE314" s="486"/>
      <c r="BF314" s="487"/>
      <c r="BG314" s="106"/>
      <c r="BH314" s="488"/>
      <c r="BI314" s="489"/>
      <c r="BJ314" s="489"/>
      <c r="BK314" s="489"/>
      <c r="BL314" s="489"/>
      <c r="BM314" s="490"/>
      <c r="BN314" s="488"/>
      <c r="BO314" s="489"/>
      <c r="BP314" s="489"/>
      <c r="BQ314" s="489"/>
      <c r="BR314" s="489"/>
      <c r="BS314" s="490"/>
      <c r="BT314" s="488"/>
      <c r="BU314" s="489"/>
      <c r="BV314" s="489"/>
      <c r="BW314" s="489"/>
      <c r="BX314" s="489"/>
      <c r="BY314" s="490"/>
      <c r="BZ314" s="483"/>
      <c r="CA314" s="484"/>
      <c r="CB314" s="484"/>
      <c r="CC314" s="485"/>
      <c r="CD314" s="477"/>
      <c r="CE314" s="478"/>
      <c r="CF314" s="478"/>
      <c r="CG314" s="478"/>
      <c r="CH314" s="479"/>
      <c r="CI314" s="477"/>
      <c r="CJ314" s="478"/>
      <c r="CK314" s="478"/>
      <c r="CL314" s="478"/>
      <c r="CM314" s="479"/>
      <c r="CN314" s="477"/>
      <c r="CO314" s="478"/>
      <c r="CP314" s="478"/>
      <c r="CQ314" s="478"/>
      <c r="CR314" s="479"/>
      <c r="CS314" s="480"/>
      <c r="CT314" s="481"/>
      <c r="CU314" s="481"/>
      <c r="CV314" s="481"/>
      <c r="CW314" s="482"/>
    </row>
    <row r="315" spans="1:101" s="91" customFormat="1" ht="16.5" x14ac:dyDescent="0.15">
      <c r="A315" s="517"/>
      <c r="B315" s="102"/>
      <c r="C315" s="220" t="str">
        <f t="shared" ca="1" si="9"/>
        <v/>
      </c>
      <c r="D315" s="521"/>
      <c r="E315" s="522"/>
      <c r="F315" s="522"/>
      <c r="G315" s="522"/>
      <c r="H315" s="522"/>
      <c r="I315" s="522"/>
      <c r="J315" s="522"/>
      <c r="K315" s="527"/>
      <c r="L315" s="528"/>
      <c r="M315" s="528"/>
      <c r="N315" s="528"/>
      <c r="O315" s="528"/>
      <c r="P315" s="528"/>
      <c r="Q315" s="528"/>
      <c r="R315" s="533"/>
      <c r="S315" s="534"/>
      <c r="T315" s="533"/>
      <c r="U315" s="534"/>
      <c r="V315" s="527"/>
      <c r="W315" s="528"/>
      <c r="X315" s="528"/>
      <c r="Y315" s="528"/>
      <c r="Z315" s="528"/>
      <c r="AA315" s="528"/>
      <c r="AB315" s="528"/>
      <c r="AC315" s="527"/>
      <c r="AD315" s="528"/>
      <c r="AE315" s="528"/>
      <c r="AF315" s="528"/>
      <c r="AG315" s="528"/>
      <c r="AH315" s="528"/>
      <c r="AI315" s="528"/>
      <c r="AJ315" s="527"/>
      <c r="AK315" s="528"/>
      <c r="AL315" s="528"/>
      <c r="AM315" s="528"/>
      <c r="AN315" s="528"/>
      <c r="AO315" s="528"/>
      <c r="AP315" s="541"/>
      <c r="AQ315" s="546"/>
      <c r="AR315" s="547"/>
      <c r="AS315" s="547"/>
      <c r="AT315" s="547"/>
      <c r="AU315" s="547"/>
      <c r="AV315" s="547"/>
      <c r="AW315" s="548"/>
      <c r="AX315" s="493"/>
      <c r="AY315" s="494"/>
      <c r="AZ315" s="105">
        <v>5</v>
      </c>
      <c r="BA315" s="483"/>
      <c r="BB315" s="484"/>
      <c r="BC315" s="484"/>
      <c r="BD315" s="485"/>
      <c r="BE315" s="486"/>
      <c r="BF315" s="487"/>
      <c r="BG315" s="106"/>
      <c r="BH315" s="488"/>
      <c r="BI315" s="489"/>
      <c r="BJ315" s="489"/>
      <c r="BK315" s="489"/>
      <c r="BL315" s="489"/>
      <c r="BM315" s="490"/>
      <c r="BN315" s="488"/>
      <c r="BO315" s="489"/>
      <c r="BP315" s="489"/>
      <c r="BQ315" s="489"/>
      <c r="BR315" s="489"/>
      <c r="BS315" s="490"/>
      <c r="BT315" s="488"/>
      <c r="BU315" s="489"/>
      <c r="BV315" s="489"/>
      <c r="BW315" s="489"/>
      <c r="BX315" s="489"/>
      <c r="BY315" s="490"/>
      <c r="BZ315" s="483"/>
      <c r="CA315" s="484"/>
      <c r="CB315" s="484"/>
      <c r="CC315" s="485"/>
      <c r="CD315" s="477"/>
      <c r="CE315" s="478"/>
      <c r="CF315" s="478"/>
      <c r="CG315" s="478"/>
      <c r="CH315" s="479"/>
      <c r="CI315" s="477"/>
      <c r="CJ315" s="478"/>
      <c r="CK315" s="478"/>
      <c r="CL315" s="478"/>
      <c r="CM315" s="479"/>
      <c r="CN315" s="477"/>
      <c r="CO315" s="478"/>
      <c r="CP315" s="478"/>
      <c r="CQ315" s="478"/>
      <c r="CR315" s="479"/>
      <c r="CS315" s="480"/>
      <c r="CT315" s="481"/>
      <c r="CU315" s="481"/>
      <c r="CV315" s="481"/>
      <c r="CW315" s="482"/>
    </row>
    <row r="316" spans="1:101" s="91" customFormat="1" ht="16.5" x14ac:dyDescent="0.15">
      <c r="A316" s="518"/>
      <c r="B316" s="107"/>
      <c r="C316" s="219" t="str">
        <f t="shared" ca="1" si="9"/>
        <v/>
      </c>
      <c r="D316" s="523"/>
      <c r="E316" s="650"/>
      <c r="F316" s="650"/>
      <c r="G316" s="650"/>
      <c r="H316" s="650"/>
      <c r="I316" s="650"/>
      <c r="J316" s="650"/>
      <c r="K316" s="529"/>
      <c r="L316" s="539"/>
      <c r="M316" s="539"/>
      <c r="N316" s="539"/>
      <c r="O316" s="539"/>
      <c r="P316" s="539"/>
      <c r="Q316" s="539"/>
      <c r="R316" s="535"/>
      <c r="S316" s="537"/>
      <c r="T316" s="535"/>
      <c r="U316" s="537"/>
      <c r="V316" s="529"/>
      <c r="W316" s="539"/>
      <c r="X316" s="539"/>
      <c r="Y316" s="539"/>
      <c r="Z316" s="539"/>
      <c r="AA316" s="539"/>
      <c r="AB316" s="539"/>
      <c r="AC316" s="529"/>
      <c r="AD316" s="539"/>
      <c r="AE316" s="539"/>
      <c r="AF316" s="539"/>
      <c r="AG316" s="539"/>
      <c r="AH316" s="539"/>
      <c r="AI316" s="539"/>
      <c r="AJ316" s="529"/>
      <c r="AK316" s="539"/>
      <c r="AL316" s="539"/>
      <c r="AM316" s="539"/>
      <c r="AN316" s="539"/>
      <c r="AO316" s="539"/>
      <c r="AP316" s="542"/>
      <c r="AQ316" s="549"/>
      <c r="AR316" s="550"/>
      <c r="AS316" s="550"/>
      <c r="AT316" s="550"/>
      <c r="AU316" s="550"/>
      <c r="AV316" s="550"/>
      <c r="AW316" s="551"/>
      <c r="AX316" s="495"/>
      <c r="AY316" s="496"/>
      <c r="AZ316" s="112">
        <v>6</v>
      </c>
      <c r="BA316" s="513"/>
      <c r="BB316" s="514"/>
      <c r="BC316" s="514"/>
      <c r="BD316" s="515"/>
      <c r="BE316" s="644"/>
      <c r="BF316" s="645"/>
      <c r="BG316" s="111"/>
      <c r="BH316" s="646"/>
      <c r="BI316" s="647"/>
      <c r="BJ316" s="647"/>
      <c r="BK316" s="647"/>
      <c r="BL316" s="647"/>
      <c r="BM316" s="648"/>
      <c r="BN316" s="646"/>
      <c r="BO316" s="647"/>
      <c r="BP316" s="647"/>
      <c r="BQ316" s="647"/>
      <c r="BR316" s="647"/>
      <c r="BS316" s="648"/>
      <c r="BT316" s="646"/>
      <c r="BU316" s="647"/>
      <c r="BV316" s="647"/>
      <c r="BW316" s="647"/>
      <c r="BX316" s="647"/>
      <c r="BY316" s="648"/>
      <c r="BZ316" s="513"/>
      <c r="CA316" s="514"/>
      <c r="CB316" s="514"/>
      <c r="CC316" s="515"/>
      <c r="CD316" s="477"/>
      <c r="CE316" s="478"/>
      <c r="CF316" s="478"/>
      <c r="CG316" s="478"/>
      <c r="CH316" s="479"/>
      <c r="CI316" s="477"/>
      <c r="CJ316" s="478"/>
      <c r="CK316" s="478"/>
      <c r="CL316" s="478"/>
      <c r="CM316" s="479"/>
      <c r="CN316" s="477"/>
      <c r="CO316" s="478"/>
      <c r="CP316" s="478"/>
      <c r="CQ316" s="478"/>
      <c r="CR316" s="479"/>
      <c r="CS316" s="480"/>
      <c r="CT316" s="481"/>
      <c r="CU316" s="481"/>
      <c r="CV316" s="481"/>
      <c r="CW316" s="482"/>
    </row>
    <row r="317" spans="1:101" s="91" customFormat="1" ht="16.5" x14ac:dyDescent="0.15">
      <c r="A317" s="516">
        <v>54</v>
      </c>
      <c r="B317" s="102"/>
      <c r="C317" s="222" t="str">
        <f t="shared" ca="1" si="9"/>
        <v/>
      </c>
      <c r="D317" s="519"/>
      <c r="E317" s="649"/>
      <c r="F317" s="649"/>
      <c r="G317" s="649"/>
      <c r="H317" s="649"/>
      <c r="I317" s="649"/>
      <c r="J317" s="649"/>
      <c r="K317" s="525"/>
      <c r="L317" s="538"/>
      <c r="M317" s="538"/>
      <c r="N317" s="538"/>
      <c r="O317" s="538"/>
      <c r="P317" s="538"/>
      <c r="Q317" s="538"/>
      <c r="R317" s="531"/>
      <c r="S317" s="532"/>
      <c r="T317" s="531"/>
      <c r="U317" s="532"/>
      <c r="V317" s="525"/>
      <c r="W317" s="538"/>
      <c r="X317" s="538"/>
      <c r="Y317" s="538"/>
      <c r="Z317" s="538"/>
      <c r="AA317" s="538"/>
      <c r="AB317" s="538"/>
      <c r="AC317" s="525"/>
      <c r="AD317" s="538"/>
      <c r="AE317" s="538"/>
      <c r="AF317" s="538"/>
      <c r="AG317" s="538"/>
      <c r="AH317" s="538"/>
      <c r="AI317" s="538"/>
      <c r="AJ317" s="525"/>
      <c r="AK317" s="538"/>
      <c r="AL317" s="538"/>
      <c r="AM317" s="538"/>
      <c r="AN317" s="538"/>
      <c r="AO317" s="538"/>
      <c r="AP317" s="540"/>
      <c r="AQ317" s="543"/>
      <c r="AR317" s="544"/>
      <c r="AS317" s="544"/>
      <c r="AT317" s="544"/>
      <c r="AU317" s="544"/>
      <c r="AV317" s="544"/>
      <c r="AW317" s="545"/>
      <c r="AX317" s="491"/>
      <c r="AY317" s="492"/>
      <c r="AZ317" s="103">
        <v>1</v>
      </c>
      <c r="BA317" s="497"/>
      <c r="BB317" s="498"/>
      <c r="BC317" s="498"/>
      <c r="BD317" s="499"/>
      <c r="BE317" s="500"/>
      <c r="BF317" s="501"/>
      <c r="BG317" s="110"/>
      <c r="BH317" s="502"/>
      <c r="BI317" s="503"/>
      <c r="BJ317" s="503"/>
      <c r="BK317" s="503"/>
      <c r="BL317" s="503"/>
      <c r="BM317" s="504"/>
      <c r="BN317" s="502"/>
      <c r="BO317" s="503"/>
      <c r="BP317" s="503"/>
      <c r="BQ317" s="503"/>
      <c r="BR317" s="503"/>
      <c r="BS317" s="504"/>
      <c r="BT317" s="502"/>
      <c r="BU317" s="503"/>
      <c r="BV317" s="503"/>
      <c r="BW317" s="503"/>
      <c r="BX317" s="503"/>
      <c r="BY317" s="504"/>
      <c r="BZ317" s="497"/>
      <c r="CA317" s="498"/>
      <c r="CB317" s="498"/>
      <c r="CC317" s="499"/>
      <c r="CD317" s="477"/>
      <c r="CE317" s="478"/>
      <c r="CF317" s="478"/>
      <c r="CG317" s="478"/>
      <c r="CH317" s="479"/>
      <c r="CI317" s="477"/>
      <c r="CJ317" s="478"/>
      <c r="CK317" s="478"/>
      <c r="CL317" s="478"/>
      <c r="CM317" s="479"/>
      <c r="CN317" s="477"/>
      <c r="CO317" s="478"/>
      <c r="CP317" s="478"/>
      <c r="CQ317" s="478"/>
      <c r="CR317" s="479"/>
      <c r="CS317" s="480"/>
      <c r="CT317" s="481"/>
      <c r="CU317" s="481"/>
      <c r="CV317" s="481"/>
      <c r="CW317" s="482"/>
    </row>
    <row r="318" spans="1:101" s="91" customFormat="1" ht="16.5" x14ac:dyDescent="0.15">
      <c r="A318" s="517"/>
      <c r="B318" s="102"/>
      <c r="C318" s="220" t="str">
        <f t="shared" ca="1" si="9"/>
        <v/>
      </c>
      <c r="D318" s="521"/>
      <c r="E318" s="522"/>
      <c r="F318" s="522"/>
      <c r="G318" s="522"/>
      <c r="H318" s="522"/>
      <c r="I318" s="522"/>
      <c r="J318" s="522"/>
      <c r="K318" s="527"/>
      <c r="L318" s="528"/>
      <c r="M318" s="528"/>
      <c r="N318" s="528"/>
      <c r="O318" s="528"/>
      <c r="P318" s="528"/>
      <c r="Q318" s="528"/>
      <c r="R318" s="533"/>
      <c r="S318" s="534"/>
      <c r="T318" s="533"/>
      <c r="U318" s="534"/>
      <c r="V318" s="527"/>
      <c r="W318" s="528"/>
      <c r="X318" s="528"/>
      <c r="Y318" s="528"/>
      <c r="Z318" s="528"/>
      <c r="AA318" s="528"/>
      <c r="AB318" s="528"/>
      <c r="AC318" s="527"/>
      <c r="AD318" s="528"/>
      <c r="AE318" s="528"/>
      <c r="AF318" s="528"/>
      <c r="AG318" s="528"/>
      <c r="AH318" s="528"/>
      <c r="AI318" s="528"/>
      <c r="AJ318" s="527"/>
      <c r="AK318" s="528"/>
      <c r="AL318" s="528"/>
      <c r="AM318" s="528"/>
      <c r="AN318" s="528"/>
      <c r="AO318" s="528"/>
      <c r="AP318" s="541"/>
      <c r="AQ318" s="546"/>
      <c r="AR318" s="547"/>
      <c r="AS318" s="547"/>
      <c r="AT318" s="547"/>
      <c r="AU318" s="547"/>
      <c r="AV318" s="547"/>
      <c r="AW318" s="548"/>
      <c r="AX318" s="493"/>
      <c r="AY318" s="494"/>
      <c r="AZ318" s="105">
        <v>2</v>
      </c>
      <c r="BA318" s="483"/>
      <c r="BB318" s="484"/>
      <c r="BC318" s="484"/>
      <c r="BD318" s="485"/>
      <c r="BE318" s="486"/>
      <c r="BF318" s="487"/>
      <c r="BG318" s="106"/>
      <c r="BH318" s="488"/>
      <c r="BI318" s="489"/>
      <c r="BJ318" s="489"/>
      <c r="BK318" s="489"/>
      <c r="BL318" s="489"/>
      <c r="BM318" s="490"/>
      <c r="BN318" s="488"/>
      <c r="BO318" s="489"/>
      <c r="BP318" s="489"/>
      <c r="BQ318" s="489"/>
      <c r="BR318" s="489"/>
      <c r="BS318" s="490"/>
      <c r="BT318" s="488"/>
      <c r="BU318" s="489"/>
      <c r="BV318" s="489"/>
      <c r="BW318" s="489"/>
      <c r="BX318" s="489"/>
      <c r="BY318" s="490"/>
      <c r="BZ318" s="483"/>
      <c r="CA318" s="484"/>
      <c r="CB318" s="484"/>
      <c r="CC318" s="485"/>
      <c r="CD318" s="477"/>
      <c r="CE318" s="478"/>
      <c r="CF318" s="478"/>
      <c r="CG318" s="478"/>
      <c r="CH318" s="479"/>
      <c r="CI318" s="477"/>
      <c r="CJ318" s="478"/>
      <c r="CK318" s="478"/>
      <c r="CL318" s="478"/>
      <c r="CM318" s="479"/>
      <c r="CN318" s="477"/>
      <c r="CO318" s="478"/>
      <c r="CP318" s="478"/>
      <c r="CQ318" s="478"/>
      <c r="CR318" s="479"/>
      <c r="CS318" s="480"/>
      <c r="CT318" s="481"/>
      <c r="CU318" s="481"/>
      <c r="CV318" s="481"/>
      <c r="CW318" s="482"/>
    </row>
    <row r="319" spans="1:101" s="91" customFormat="1" ht="16.5" x14ac:dyDescent="0.15">
      <c r="A319" s="517"/>
      <c r="B319" s="102"/>
      <c r="C319" s="220" t="str">
        <f t="shared" ca="1" si="9"/>
        <v/>
      </c>
      <c r="D319" s="521"/>
      <c r="E319" s="522"/>
      <c r="F319" s="522"/>
      <c r="G319" s="522"/>
      <c r="H319" s="522"/>
      <c r="I319" s="522"/>
      <c r="J319" s="522"/>
      <c r="K319" s="527"/>
      <c r="L319" s="528"/>
      <c r="M319" s="528"/>
      <c r="N319" s="528"/>
      <c r="O319" s="528"/>
      <c r="P319" s="528"/>
      <c r="Q319" s="528"/>
      <c r="R319" s="533"/>
      <c r="S319" s="534"/>
      <c r="T319" s="533"/>
      <c r="U319" s="534"/>
      <c r="V319" s="527"/>
      <c r="W319" s="528"/>
      <c r="X319" s="528"/>
      <c r="Y319" s="528"/>
      <c r="Z319" s="528"/>
      <c r="AA319" s="528"/>
      <c r="AB319" s="528"/>
      <c r="AC319" s="527"/>
      <c r="AD319" s="528"/>
      <c r="AE319" s="528"/>
      <c r="AF319" s="528"/>
      <c r="AG319" s="528"/>
      <c r="AH319" s="528"/>
      <c r="AI319" s="528"/>
      <c r="AJ319" s="527"/>
      <c r="AK319" s="528"/>
      <c r="AL319" s="528"/>
      <c r="AM319" s="528"/>
      <c r="AN319" s="528"/>
      <c r="AO319" s="528"/>
      <c r="AP319" s="541"/>
      <c r="AQ319" s="546"/>
      <c r="AR319" s="547"/>
      <c r="AS319" s="547"/>
      <c r="AT319" s="547"/>
      <c r="AU319" s="547"/>
      <c r="AV319" s="547"/>
      <c r="AW319" s="548"/>
      <c r="AX319" s="493"/>
      <c r="AY319" s="494"/>
      <c r="AZ319" s="105">
        <v>3</v>
      </c>
      <c r="BA319" s="483"/>
      <c r="BB319" s="484"/>
      <c r="BC319" s="484"/>
      <c r="BD319" s="485"/>
      <c r="BE319" s="486"/>
      <c r="BF319" s="487"/>
      <c r="BG319" s="106"/>
      <c r="BH319" s="488"/>
      <c r="BI319" s="489"/>
      <c r="BJ319" s="489"/>
      <c r="BK319" s="489"/>
      <c r="BL319" s="489"/>
      <c r="BM319" s="490"/>
      <c r="BN319" s="488"/>
      <c r="BO319" s="489"/>
      <c r="BP319" s="489"/>
      <c r="BQ319" s="489"/>
      <c r="BR319" s="489"/>
      <c r="BS319" s="490"/>
      <c r="BT319" s="488"/>
      <c r="BU319" s="489"/>
      <c r="BV319" s="489"/>
      <c r="BW319" s="489"/>
      <c r="BX319" s="489"/>
      <c r="BY319" s="490"/>
      <c r="BZ319" s="483"/>
      <c r="CA319" s="484"/>
      <c r="CB319" s="484"/>
      <c r="CC319" s="485"/>
      <c r="CD319" s="477"/>
      <c r="CE319" s="478"/>
      <c r="CF319" s="478"/>
      <c r="CG319" s="478"/>
      <c r="CH319" s="479"/>
      <c r="CI319" s="477"/>
      <c r="CJ319" s="478"/>
      <c r="CK319" s="478"/>
      <c r="CL319" s="478"/>
      <c r="CM319" s="479"/>
      <c r="CN319" s="477"/>
      <c r="CO319" s="478"/>
      <c r="CP319" s="478"/>
      <c r="CQ319" s="478"/>
      <c r="CR319" s="479"/>
      <c r="CS319" s="480"/>
      <c r="CT319" s="481"/>
      <c r="CU319" s="481"/>
      <c r="CV319" s="481"/>
      <c r="CW319" s="482"/>
    </row>
    <row r="320" spans="1:101" s="91" customFormat="1" ht="16.5" x14ac:dyDescent="0.15">
      <c r="A320" s="517"/>
      <c r="B320" s="102"/>
      <c r="C320" s="220" t="str">
        <f t="shared" ca="1" si="9"/>
        <v/>
      </c>
      <c r="D320" s="521"/>
      <c r="E320" s="522"/>
      <c r="F320" s="522"/>
      <c r="G320" s="522"/>
      <c r="H320" s="522"/>
      <c r="I320" s="522"/>
      <c r="J320" s="522"/>
      <c r="K320" s="527"/>
      <c r="L320" s="528"/>
      <c r="M320" s="528"/>
      <c r="N320" s="528"/>
      <c r="O320" s="528"/>
      <c r="P320" s="528"/>
      <c r="Q320" s="528"/>
      <c r="R320" s="533"/>
      <c r="S320" s="534"/>
      <c r="T320" s="533"/>
      <c r="U320" s="534"/>
      <c r="V320" s="527"/>
      <c r="W320" s="528"/>
      <c r="X320" s="528"/>
      <c r="Y320" s="528"/>
      <c r="Z320" s="528"/>
      <c r="AA320" s="528"/>
      <c r="AB320" s="528"/>
      <c r="AC320" s="527"/>
      <c r="AD320" s="528"/>
      <c r="AE320" s="528"/>
      <c r="AF320" s="528"/>
      <c r="AG320" s="528"/>
      <c r="AH320" s="528"/>
      <c r="AI320" s="528"/>
      <c r="AJ320" s="527"/>
      <c r="AK320" s="528"/>
      <c r="AL320" s="528"/>
      <c r="AM320" s="528"/>
      <c r="AN320" s="528"/>
      <c r="AO320" s="528"/>
      <c r="AP320" s="541"/>
      <c r="AQ320" s="546"/>
      <c r="AR320" s="547"/>
      <c r="AS320" s="547"/>
      <c r="AT320" s="547"/>
      <c r="AU320" s="547"/>
      <c r="AV320" s="547"/>
      <c r="AW320" s="548"/>
      <c r="AX320" s="493"/>
      <c r="AY320" s="494"/>
      <c r="AZ320" s="105">
        <v>4</v>
      </c>
      <c r="BA320" s="483"/>
      <c r="BB320" s="484"/>
      <c r="BC320" s="484"/>
      <c r="BD320" s="485"/>
      <c r="BE320" s="486"/>
      <c r="BF320" s="487"/>
      <c r="BG320" s="106"/>
      <c r="BH320" s="488"/>
      <c r="BI320" s="489"/>
      <c r="BJ320" s="489"/>
      <c r="BK320" s="489"/>
      <c r="BL320" s="489"/>
      <c r="BM320" s="490"/>
      <c r="BN320" s="488"/>
      <c r="BO320" s="489"/>
      <c r="BP320" s="489"/>
      <c r="BQ320" s="489"/>
      <c r="BR320" s="489"/>
      <c r="BS320" s="490"/>
      <c r="BT320" s="488"/>
      <c r="BU320" s="489"/>
      <c r="BV320" s="489"/>
      <c r="BW320" s="489"/>
      <c r="BX320" s="489"/>
      <c r="BY320" s="490"/>
      <c r="BZ320" s="483"/>
      <c r="CA320" s="484"/>
      <c r="CB320" s="484"/>
      <c r="CC320" s="485"/>
      <c r="CD320" s="477"/>
      <c r="CE320" s="478"/>
      <c r="CF320" s="478"/>
      <c r="CG320" s="478"/>
      <c r="CH320" s="479"/>
      <c r="CI320" s="477"/>
      <c r="CJ320" s="478"/>
      <c r="CK320" s="478"/>
      <c r="CL320" s="478"/>
      <c r="CM320" s="479"/>
      <c r="CN320" s="477"/>
      <c r="CO320" s="478"/>
      <c r="CP320" s="478"/>
      <c r="CQ320" s="478"/>
      <c r="CR320" s="479"/>
      <c r="CS320" s="480"/>
      <c r="CT320" s="481"/>
      <c r="CU320" s="481"/>
      <c r="CV320" s="481"/>
      <c r="CW320" s="482"/>
    </row>
    <row r="321" spans="1:101" s="91" customFormat="1" ht="16.5" x14ac:dyDescent="0.15">
      <c r="A321" s="517"/>
      <c r="B321" s="102"/>
      <c r="C321" s="220" t="str">
        <f t="shared" ca="1" si="9"/>
        <v/>
      </c>
      <c r="D321" s="521"/>
      <c r="E321" s="522"/>
      <c r="F321" s="522"/>
      <c r="G321" s="522"/>
      <c r="H321" s="522"/>
      <c r="I321" s="522"/>
      <c r="J321" s="522"/>
      <c r="K321" s="527"/>
      <c r="L321" s="528"/>
      <c r="M321" s="528"/>
      <c r="N321" s="528"/>
      <c r="O321" s="528"/>
      <c r="P321" s="528"/>
      <c r="Q321" s="528"/>
      <c r="R321" s="533"/>
      <c r="S321" s="534"/>
      <c r="T321" s="533"/>
      <c r="U321" s="534"/>
      <c r="V321" s="527"/>
      <c r="W321" s="528"/>
      <c r="X321" s="528"/>
      <c r="Y321" s="528"/>
      <c r="Z321" s="528"/>
      <c r="AA321" s="528"/>
      <c r="AB321" s="528"/>
      <c r="AC321" s="527"/>
      <c r="AD321" s="528"/>
      <c r="AE321" s="528"/>
      <c r="AF321" s="528"/>
      <c r="AG321" s="528"/>
      <c r="AH321" s="528"/>
      <c r="AI321" s="528"/>
      <c r="AJ321" s="527"/>
      <c r="AK321" s="528"/>
      <c r="AL321" s="528"/>
      <c r="AM321" s="528"/>
      <c r="AN321" s="528"/>
      <c r="AO321" s="528"/>
      <c r="AP321" s="541"/>
      <c r="AQ321" s="546"/>
      <c r="AR321" s="547"/>
      <c r="AS321" s="547"/>
      <c r="AT321" s="547"/>
      <c r="AU321" s="547"/>
      <c r="AV321" s="547"/>
      <c r="AW321" s="548"/>
      <c r="AX321" s="493"/>
      <c r="AY321" s="494"/>
      <c r="AZ321" s="105">
        <v>5</v>
      </c>
      <c r="BA321" s="483"/>
      <c r="BB321" s="484"/>
      <c r="BC321" s="484"/>
      <c r="BD321" s="485"/>
      <c r="BE321" s="486"/>
      <c r="BF321" s="487"/>
      <c r="BG321" s="106"/>
      <c r="BH321" s="488"/>
      <c r="BI321" s="489"/>
      <c r="BJ321" s="489"/>
      <c r="BK321" s="489"/>
      <c r="BL321" s="489"/>
      <c r="BM321" s="490"/>
      <c r="BN321" s="488"/>
      <c r="BO321" s="489"/>
      <c r="BP321" s="489"/>
      <c r="BQ321" s="489"/>
      <c r="BR321" s="489"/>
      <c r="BS321" s="490"/>
      <c r="BT321" s="488"/>
      <c r="BU321" s="489"/>
      <c r="BV321" s="489"/>
      <c r="BW321" s="489"/>
      <c r="BX321" s="489"/>
      <c r="BY321" s="490"/>
      <c r="BZ321" s="483"/>
      <c r="CA321" s="484"/>
      <c r="CB321" s="484"/>
      <c r="CC321" s="485"/>
      <c r="CD321" s="477"/>
      <c r="CE321" s="478"/>
      <c r="CF321" s="478"/>
      <c r="CG321" s="478"/>
      <c r="CH321" s="479"/>
      <c r="CI321" s="477"/>
      <c r="CJ321" s="478"/>
      <c r="CK321" s="478"/>
      <c r="CL321" s="478"/>
      <c r="CM321" s="479"/>
      <c r="CN321" s="477"/>
      <c r="CO321" s="478"/>
      <c r="CP321" s="478"/>
      <c r="CQ321" s="478"/>
      <c r="CR321" s="479"/>
      <c r="CS321" s="480"/>
      <c r="CT321" s="481"/>
      <c r="CU321" s="481"/>
      <c r="CV321" s="481"/>
      <c r="CW321" s="482"/>
    </row>
    <row r="322" spans="1:101" s="91" customFormat="1" ht="16.5" x14ac:dyDescent="0.15">
      <c r="A322" s="518"/>
      <c r="B322" s="107"/>
      <c r="C322" s="220" t="str">
        <f t="shared" ca="1" si="9"/>
        <v/>
      </c>
      <c r="D322" s="523"/>
      <c r="E322" s="650"/>
      <c r="F322" s="650"/>
      <c r="G322" s="650"/>
      <c r="H322" s="650"/>
      <c r="I322" s="650"/>
      <c r="J322" s="650"/>
      <c r="K322" s="529"/>
      <c r="L322" s="539"/>
      <c r="M322" s="539"/>
      <c r="N322" s="539"/>
      <c r="O322" s="539"/>
      <c r="P322" s="539"/>
      <c r="Q322" s="539"/>
      <c r="R322" s="535"/>
      <c r="S322" s="537"/>
      <c r="T322" s="535"/>
      <c r="U322" s="537"/>
      <c r="V322" s="529"/>
      <c r="W322" s="539"/>
      <c r="X322" s="539"/>
      <c r="Y322" s="539"/>
      <c r="Z322" s="539"/>
      <c r="AA322" s="539"/>
      <c r="AB322" s="539"/>
      <c r="AC322" s="529"/>
      <c r="AD322" s="539"/>
      <c r="AE322" s="539"/>
      <c r="AF322" s="539"/>
      <c r="AG322" s="539"/>
      <c r="AH322" s="539"/>
      <c r="AI322" s="539"/>
      <c r="AJ322" s="529"/>
      <c r="AK322" s="539"/>
      <c r="AL322" s="539"/>
      <c r="AM322" s="539"/>
      <c r="AN322" s="539"/>
      <c r="AO322" s="539"/>
      <c r="AP322" s="542"/>
      <c r="AQ322" s="549"/>
      <c r="AR322" s="550"/>
      <c r="AS322" s="550"/>
      <c r="AT322" s="550"/>
      <c r="AU322" s="550"/>
      <c r="AV322" s="550"/>
      <c r="AW322" s="551"/>
      <c r="AX322" s="495"/>
      <c r="AY322" s="496"/>
      <c r="AZ322" s="108">
        <v>6</v>
      </c>
      <c r="BA322" s="513"/>
      <c r="BB322" s="514"/>
      <c r="BC322" s="514"/>
      <c r="BD322" s="515"/>
      <c r="BE322" s="644"/>
      <c r="BF322" s="645"/>
      <c r="BG322" s="111"/>
      <c r="BH322" s="510"/>
      <c r="BI322" s="511"/>
      <c r="BJ322" s="511"/>
      <c r="BK322" s="511"/>
      <c r="BL322" s="511"/>
      <c r="BM322" s="512"/>
      <c r="BN322" s="510"/>
      <c r="BO322" s="511"/>
      <c r="BP322" s="511"/>
      <c r="BQ322" s="511"/>
      <c r="BR322" s="511"/>
      <c r="BS322" s="512"/>
      <c r="BT322" s="510"/>
      <c r="BU322" s="511"/>
      <c r="BV322" s="511"/>
      <c r="BW322" s="511"/>
      <c r="BX322" s="511"/>
      <c r="BY322" s="512"/>
      <c r="BZ322" s="513"/>
      <c r="CA322" s="514"/>
      <c r="CB322" s="514"/>
      <c r="CC322" s="515"/>
      <c r="CD322" s="477"/>
      <c r="CE322" s="478"/>
      <c r="CF322" s="478"/>
      <c r="CG322" s="478"/>
      <c r="CH322" s="479"/>
      <c r="CI322" s="477"/>
      <c r="CJ322" s="478"/>
      <c r="CK322" s="478"/>
      <c r="CL322" s="478"/>
      <c r="CM322" s="479"/>
      <c r="CN322" s="477"/>
      <c r="CO322" s="478"/>
      <c r="CP322" s="478"/>
      <c r="CQ322" s="478"/>
      <c r="CR322" s="479"/>
      <c r="CS322" s="480"/>
      <c r="CT322" s="481"/>
      <c r="CU322" s="481"/>
      <c r="CV322" s="481"/>
      <c r="CW322" s="482"/>
    </row>
    <row r="323" spans="1:101" s="91" customFormat="1" ht="16.5" x14ac:dyDescent="0.15">
      <c r="A323" s="516">
        <v>55</v>
      </c>
      <c r="B323" s="102"/>
      <c r="C323" s="216" t="str">
        <f t="shared" ca="1" si="9"/>
        <v/>
      </c>
      <c r="D323" s="519"/>
      <c r="E323" s="649"/>
      <c r="F323" s="649"/>
      <c r="G323" s="649"/>
      <c r="H323" s="649"/>
      <c r="I323" s="649"/>
      <c r="J323" s="649"/>
      <c r="K323" s="525"/>
      <c r="L323" s="538"/>
      <c r="M323" s="538"/>
      <c r="N323" s="538"/>
      <c r="O323" s="538"/>
      <c r="P323" s="538"/>
      <c r="Q323" s="538"/>
      <c r="R323" s="531"/>
      <c r="S323" s="532"/>
      <c r="T323" s="531"/>
      <c r="U323" s="532"/>
      <c r="V323" s="525"/>
      <c r="W323" s="538"/>
      <c r="X323" s="538"/>
      <c r="Y323" s="538"/>
      <c r="Z323" s="538"/>
      <c r="AA323" s="538"/>
      <c r="AB323" s="538"/>
      <c r="AC323" s="525"/>
      <c r="AD323" s="538"/>
      <c r="AE323" s="538"/>
      <c r="AF323" s="538"/>
      <c r="AG323" s="538"/>
      <c r="AH323" s="538"/>
      <c r="AI323" s="538"/>
      <c r="AJ323" s="525"/>
      <c r="AK323" s="538"/>
      <c r="AL323" s="538"/>
      <c r="AM323" s="538"/>
      <c r="AN323" s="538"/>
      <c r="AO323" s="538"/>
      <c r="AP323" s="540"/>
      <c r="AQ323" s="543"/>
      <c r="AR323" s="544"/>
      <c r="AS323" s="544"/>
      <c r="AT323" s="544"/>
      <c r="AU323" s="544"/>
      <c r="AV323" s="544"/>
      <c r="AW323" s="545"/>
      <c r="AX323" s="491"/>
      <c r="AY323" s="492"/>
      <c r="AZ323" s="103">
        <v>1</v>
      </c>
      <c r="BA323" s="552"/>
      <c r="BB323" s="553"/>
      <c r="BC323" s="553"/>
      <c r="BD323" s="554"/>
      <c r="BE323" s="500"/>
      <c r="BF323" s="501"/>
      <c r="BG323" s="104"/>
      <c r="BH323" s="502"/>
      <c r="BI323" s="503"/>
      <c r="BJ323" s="503"/>
      <c r="BK323" s="503"/>
      <c r="BL323" s="503"/>
      <c r="BM323" s="504"/>
      <c r="BN323" s="502"/>
      <c r="BO323" s="503"/>
      <c r="BP323" s="503"/>
      <c r="BQ323" s="503"/>
      <c r="BR323" s="503"/>
      <c r="BS323" s="504"/>
      <c r="BT323" s="502"/>
      <c r="BU323" s="503"/>
      <c r="BV323" s="503"/>
      <c r="BW323" s="503"/>
      <c r="BX323" s="503"/>
      <c r="BY323" s="504"/>
      <c r="BZ323" s="552"/>
      <c r="CA323" s="553"/>
      <c r="CB323" s="553"/>
      <c r="CC323" s="554"/>
      <c r="CD323" s="477"/>
      <c r="CE323" s="478"/>
      <c r="CF323" s="478"/>
      <c r="CG323" s="478"/>
      <c r="CH323" s="479"/>
      <c r="CI323" s="477"/>
      <c r="CJ323" s="478"/>
      <c r="CK323" s="478"/>
      <c r="CL323" s="478"/>
      <c r="CM323" s="479"/>
      <c r="CN323" s="477"/>
      <c r="CO323" s="478"/>
      <c r="CP323" s="478"/>
      <c r="CQ323" s="478"/>
      <c r="CR323" s="479"/>
      <c r="CS323" s="480"/>
      <c r="CT323" s="481"/>
      <c r="CU323" s="481"/>
      <c r="CV323" s="481"/>
      <c r="CW323" s="482"/>
    </row>
    <row r="324" spans="1:101" s="91" customFormat="1" ht="16.5" x14ac:dyDescent="0.15">
      <c r="A324" s="517"/>
      <c r="B324" s="102"/>
      <c r="C324" s="220" t="str">
        <f t="shared" ca="1" si="9"/>
        <v/>
      </c>
      <c r="D324" s="521"/>
      <c r="E324" s="522"/>
      <c r="F324" s="522"/>
      <c r="G324" s="522"/>
      <c r="H324" s="522"/>
      <c r="I324" s="522"/>
      <c r="J324" s="522"/>
      <c r="K324" s="527"/>
      <c r="L324" s="528"/>
      <c r="M324" s="528"/>
      <c r="N324" s="528"/>
      <c r="O324" s="528"/>
      <c r="P324" s="528"/>
      <c r="Q324" s="528"/>
      <c r="R324" s="533"/>
      <c r="S324" s="534"/>
      <c r="T324" s="533"/>
      <c r="U324" s="534"/>
      <c r="V324" s="527"/>
      <c r="W324" s="528"/>
      <c r="X324" s="528"/>
      <c r="Y324" s="528"/>
      <c r="Z324" s="528"/>
      <c r="AA324" s="528"/>
      <c r="AB324" s="528"/>
      <c r="AC324" s="527"/>
      <c r="AD324" s="528"/>
      <c r="AE324" s="528"/>
      <c r="AF324" s="528"/>
      <c r="AG324" s="528"/>
      <c r="AH324" s="528"/>
      <c r="AI324" s="528"/>
      <c r="AJ324" s="527"/>
      <c r="AK324" s="528"/>
      <c r="AL324" s="528"/>
      <c r="AM324" s="528"/>
      <c r="AN324" s="528"/>
      <c r="AO324" s="528"/>
      <c r="AP324" s="541"/>
      <c r="AQ324" s="546"/>
      <c r="AR324" s="547"/>
      <c r="AS324" s="547"/>
      <c r="AT324" s="547"/>
      <c r="AU324" s="547"/>
      <c r="AV324" s="547"/>
      <c r="AW324" s="548"/>
      <c r="AX324" s="493"/>
      <c r="AY324" s="494"/>
      <c r="AZ324" s="105">
        <v>2</v>
      </c>
      <c r="BA324" s="483"/>
      <c r="BB324" s="484"/>
      <c r="BC324" s="484"/>
      <c r="BD324" s="485"/>
      <c r="BE324" s="486"/>
      <c r="BF324" s="487"/>
      <c r="BG324" s="106"/>
      <c r="BH324" s="488"/>
      <c r="BI324" s="489"/>
      <c r="BJ324" s="489"/>
      <c r="BK324" s="489"/>
      <c r="BL324" s="489"/>
      <c r="BM324" s="490"/>
      <c r="BN324" s="488"/>
      <c r="BO324" s="489"/>
      <c r="BP324" s="489"/>
      <c r="BQ324" s="489"/>
      <c r="BR324" s="489"/>
      <c r="BS324" s="490"/>
      <c r="BT324" s="488"/>
      <c r="BU324" s="489"/>
      <c r="BV324" s="489"/>
      <c r="BW324" s="489"/>
      <c r="BX324" s="489"/>
      <c r="BY324" s="490"/>
      <c r="BZ324" s="483"/>
      <c r="CA324" s="484"/>
      <c r="CB324" s="484"/>
      <c r="CC324" s="485"/>
      <c r="CD324" s="477"/>
      <c r="CE324" s="478"/>
      <c r="CF324" s="478"/>
      <c r="CG324" s="478"/>
      <c r="CH324" s="479"/>
      <c r="CI324" s="477"/>
      <c r="CJ324" s="478"/>
      <c r="CK324" s="478"/>
      <c r="CL324" s="478"/>
      <c r="CM324" s="479"/>
      <c r="CN324" s="477"/>
      <c r="CO324" s="478"/>
      <c r="CP324" s="478"/>
      <c r="CQ324" s="478"/>
      <c r="CR324" s="479"/>
      <c r="CS324" s="480"/>
      <c r="CT324" s="481"/>
      <c r="CU324" s="481"/>
      <c r="CV324" s="481"/>
      <c r="CW324" s="482"/>
    </row>
    <row r="325" spans="1:101" s="91" customFormat="1" ht="16.5" x14ac:dyDescent="0.15">
      <c r="A325" s="517"/>
      <c r="B325" s="102"/>
      <c r="C325" s="220" t="str">
        <f t="shared" ca="1" si="9"/>
        <v/>
      </c>
      <c r="D325" s="521"/>
      <c r="E325" s="522"/>
      <c r="F325" s="522"/>
      <c r="G325" s="522"/>
      <c r="H325" s="522"/>
      <c r="I325" s="522"/>
      <c r="J325" s="522"/>
      <c r="K325" s="527"/>
      <c r="L325" s="528"/>
      <c r="M325" s="528"/>
      <c r="N325" s="528"/>
      <c r="O325" s="528"/>
      <c r="P325" s="528"/>
      <c r="Q325" s="528"/>
      <c r="R325" s="533"/>
      <c r="S325" s="534"/>
      <c r="T325" s="533"/>
      <c r="U325" s="534"/>
      <c r="V325" s="527"/>
      <c r="W325" s="528"/>
      <c r="X325" s="528"/>
      <c r="Y325" s="528"/>
      <c r="Z325" s="528"/>
      <c r="AA325" s="528"/>
      <c r="AB325" s="528"/>
      <c r="AC325" s="527"/>
      <c r="AD325" s="528"/>
      <c r="AE325" s="528"/>
      <c r="AF325" s="528"/>
      <c r="AG325" s="528"/>
      <c r="AH325" s="528"/>
      <c r="AI325" s="528"/>
      <c r="AJ325" s="527"/>
      <c r="AK325" s="528"/>
      <c r="AL325" s="528"/>
      <c r="AM325" s="528"/>
      <c r="AN325" s="528"/>
      <c r="AO325" s="528"/>
      <c r="AP325" s="541"/>
      <c r="AQ325" s="546"/>
      <c r="AR325" s="547"/>
      <c r="AS325" s="547"/>
      <c r="AT325" s="547"/>
      <c r="AU325" s="547"/>
      <c r="AV325" s="547"/>
      <c r="AW325" s="548"/>
      <c r="AX325" s="493"/>
      <c r="AY325" s="494"/>
      <c r="AZ325" s="105">
        <v>3</v>
      </c>
      <c r="BA325" s="483"/>
      <c r="BB325" s="484"/>
      <c r="BC325" s="484"/>
      <c r="BD325" s="485"/>
      <c r="BE325" s="486"/>
      <c r="BF325" s="487"/>
      <c r="BG325" s="106"/>
      <c r="BH325" s="488"/>
      <c r="BI325" s="489"/>
      <c r="BJ325" s="489"/>
      <c r="BK325" s="489"/>
      <c r="BL325" s="489"/>
      <c r="BM325" s="490"/>
      <c r="BN325" s="488"/>
      <c r="BO325" s="489"/>
      <c r="BP325" s="489"/>
      <c r="BQ325" s="489"/>
      <c r="BR325" s="489"/>
      <c r="BS325" s="490"/>
      <c r="BT325" s="488"/>
      <c r="BU325" s="489"/>
      <c r="BV325" s="489"/>
      <c r="BW325" s="489"/>
      <c r="BX325" s="489"/>
      <c r="BY325" s="490"/>
      <c r="BZ325" s="483"/>
      <c r="CA325" s="484"/>
      <c r="CB325" s="484"/>
      <c r="CC325" s="485"/>
      <c r="CD325" s="477"/>
      <c r="CE325" s="478"/>
      <c r="CF325" s="478"/>
      <c r="CG325" s="478"/>
      <c r="CH325" s="479"/>
      <c r="CI325" s="477"/>
      <c r="CJ325" s="478"/>
      <c r="CK325" s="478"/>
      <c r="CL325" s="478"/>
      <c r="CM325" s="479"/>
      <c r="CN325" s="477"/>
      <c r="CO325" s="478"/>
      <c r="CP325" s="478"/>
      <c r="CQ325" s="478"/>
      <c r="CR325" s="479"/>
      <c r="CS325" s="480"/>
      <c r="CT325" s="481"/>
      <c r="CU325" s="481"/>
      <c r="CV325" s="481"/>
      <c r="CW325" s="482"/>
    </row>
    <row r="326" spans="1:101" s="91" customFormat="1" ht="16.5" x14ac:dyDescent="0.15">
      <c r="A326" s="517"/>
      <c r="B326" s="102"/>
      <c r="C326" s="220" t="str">
        <f t="shared" ca="1" si="9"/>
        <v/>
      </c>
      <c r="D326" s="521"/>
      <c r="E326" s="522"/>
      <c r="F326" s="522"/>
      <c r="G326" s="522"/>
      <c r="H326" s="522"/>
      <c r="I326" s="522"/>
      <c r="J326" s="522"/>
      <c r="K326" s="527"/>
      <c r="L326" s="528"/>
      <c r="M326" s="528"/>
      <c r="N326" s="528"/>
      <c r="O326" s="528"/>
      <c r="P326" s="528"/>
      <c r="Q326" s="528"/>
      <c r="R326" s="533"/>
      <c r="S326" s="534"/>
      <c r="T326" s="533"/>
      <c r="U326" s="534"/>
      <c r="V326" s="527"/>
      <c r="W326" s="528"/>
      <c r="X326" s="528"/>
      <c r="Y326" s="528"/>
      <c r="Z326" s="528"/>
      <c r="AA326" s="528"/>
      <c r="AB326" s="528"/>
      <c r="AC326" s="527"/>
      <c r="AD326" s="528"/>
      <c r="AE326" s="528"/>
      <c r="AF326" s="528"/>
      <c r="AG326" s="528"/>
      <c r="AH326" s="528"/>
      <c r="AI326" s="528"/>
      <c r="AJ326" s="527"/>
      <c r="AK326" s="528"/>
      <c r="AL326" s="528"/>
      <c r="AM326" s="528"/>
      <c r="AN326" s="528"/>
      <c r="AO326" s="528"/>
      <c r="AP326" s="541"/>
      <c r="AQ326" s="546"/>
      <c r="AR326" s="547"/>
      <c r="AS326" s="547"/>
      <c r="AT326" s="547"/>
      <c r="AU326" s="547"/>
      <c r="AV326" s="547"/>
      <c r="AW326" s="548"/>
      <c r="AX326" s="493"/>
      <c r="AY326" s="494"/>
      <c r="AZ326" s="105">
        <v>4</v>
      </c>
      <c r="BA326" s="483"/>
      <c r="BB326" s="484"/>
      <c r="BC326" s="484"/>
      <c r="BD326" s="485"/>
      <c r="BE326" s="486"/>
      <c r="BF326" s="487"/>
      <c r="BG326" s="106"/>
      <c r="BH326" s="488"/>
      <c r="BI326" s="489"/>
      <c r="BJ326" s="489"/>
      <c r="BK326" s="489"/>
      <c r="BL326" s="489"/>
      <c r="BM326" s="490"/>
      <c r="BN326" s="488"/>
      <c r="BO326" s="489"/>
      <c r="BP326" s="489"/>
      <c r="BQ326" s="489"/>
      <c r="BR326" s="489"/>
      <c r="BS326" s="490"/>
      <c r="BT326" s="488"/>
      <c r="BU326" s="489"/>
      <c r="BV326" s="489"/>
      <c r="BW326" s="489"/>
      <c r="BX326" s="489"/>
      <c r="BY326" s="490"/>
      <c r="BZ326" s="483"/>
      <c r="CA326" s="484"/>
      <c r="CB326" s="484"/>
      <c r="CC326" s="485"/>
      <c r="CD326" s="477"/>
      <c r="CE326" s="478"/>
      <c r="CF326" s="478"/>
      <c r="CG326" s="478"/>
      <c r="CH326" s="479"/>
      <c r="CI326" s="477"/>
      <c r="CJ326" s="478"/>
      <c r="CK326" s="478"/>
      <c r="CL326" s="478"/>
      <c r="CM326" s="479"/>
      <c r="CN326" s="477"/>
      <c r="CO326" s="478"/>
      <c r="CP326" s="478"/>
      <c r="CQ326" s="478"/>
      <c r="CR326" s="479"/>
      <c r="CS326" s="480"/>
      <c r="CT326" s="481"/>
      <c r="CU326" s="481"/>
      <c r="CV326" s="481"/>
      <c r="CW326" s="482"/>
    </row>
    <row r="327" spans="1:101" s="91" customFormat="1" ht="16.5" x14ac:dyDescent="0.15">
      <c r="A327" s="517"/>
      <c r="B327" s="102"/>
      <c r="C327" s="220" t="str">
        <f t="shared" ca="1" si="9"/>
        <v/>
      </c>
      <c r="D327" s="521"/>
      <c r="E327" s="522"/>
      <c r="F327" s="522"/>
      <c r="G327" s="522"/>
      <c r="H327" s="522"/>
      <c r="I327" s="522"/>
      <c r="J327" s="522"/>
      <c r="K327" s="527"/>
      <c r="L327" s="528"/>
      <c r="M327" s="528"/>
      <c r="N327" s="528"/>
      <c r="O327" s="528"/>
      <c r="P327" s="528"/>
      <c r="Q327" s="528"/>
      <c r="R327" s="533"/>
      <c r="S327" s="534"/>
      <c r="T327" s="533"/>
      <c r="U327" s="534"/>
      <c r="V327" s="527"/>
      <c r="W327" s="528"/>
      <c r="X327" s="528"/>
      <c r="Y327" s="528"/>
      <c r="Z327" s="528"/>
      <c r="AA327" s="528"/>
      <c r="AB327" s="528"/>
      <c r="AC327" s="527"/>
      <c r="AD327" s="528"/>
      <c r="AE327" s="528"/>
      <c r="AF327" s="528"/>
      <c r="AG327" s="528"/>
      <c r="AH327" s="528"/>
      <c r="AI327" s="528"/>
      <c r="AJ327" s="527"/>
      <c r="AK327" s="528"/>
      <c r="AL327" s="528"/>
      <c r="AM327" s="528"/>
      <c r="AN327" s="528"/>
      <c r="AO327" s="528"/>
      <c r="AP327" s="541"/>
      <c r="AQ327" s="546"/>
      <c r="AR327" s="547"/>
      <c r="AS327" s="547"/>
      <c r="AT327" s="547"/>
      <c r="AU327" s="547"/>
      <c r="AV327" s="547"/>
      <c r="AW327" s="548"/>
      <c r="AX327" s="493"/>
      <c r="AY327" s="494"/>
      <c r="AZ327" s="105">
        <v>5</v>
      </c>
      <c r="BA327" s="483"/>
      <c r="BB327" s="484"/>
      <c r="BC327" s="484"/>
      <c r="BD327" s="485"/>
      <c r="BE327" s="486"/>
      <c r="BF327" s="487"/>
      <c r="BG327" s="106"/>
      <c r="BH327" s="488"/>
      <c r="BI327" s="489"/>
      <c r="BJ327" s="489"/>
      <c r="BK327" s="489"/>
      <c r="BL327" s="489"/>
      <c r="BM327" s="490"/>
      <c r="BN327" s="488"/>
      <c r="BO327" s="489"/>
      <c r="BP327" s="489"/>
      <c r="BQ327" s="489"/>
      <c r="BR327" s="489"/>
      <c r="BS327" s="490"/>
      <c r="BT327" s="488"/>
      <c r="BU327" s="489"/>
      <c r="BV327" s="489"/>
      <c r="BW327" s="489"/>
      <c r="BX327" s="489"/>
      <c r="BY327" s="490"/>
      <c r="BZ327" s="483"/>
      <c r="CA327" s="484"/>
      <c r="CB327" s="484"/>
      <c r="CC327" s="485"/>
      <c r="CD327" s="477"/>
      <c r="CE327" s="478"/>
      <c r="CF327" s="478"/>
      <c r="CG327" s="478"/>
      <c r="CH327" s="479"/>
      <c r="CI327" s="477"/>
      <c r="CJ327" s="478"/>
      <c r="CK327" s="478"/>
      <c r="CL327" s="478"/>
      <c r="CM327" s="479"/>
      <c r="CN327" s="477"/>
      <c r="CO327" s="478"/>
      <c r="CP327" s="478"/>
      <c r="CQ327" s="478"/>
      <c r="CR327" s="479"/>
      <c r="CS327" s="480"/>
      <c r="CT327" s="481"/>
      <c r="CU327" s="481"/>
      <c r="CV327" s="481"/>
      <c r="CW327" s="482"/>
    </row>
    <row r="328" spans="1:101" s="91" customFormat="1" ht="16.5" x14ac:dyDescent="0.15">
      <c r="A328" s="518"/>
      <c r="B328" s="107"/>
      <c r="C328" s="219" t="str">
        <f t="shared" ca="1" si="9"/>
        <v/>
      </c>
      <c r="D328" s="523"/>
      <c r="E328" s="650"/>
      <c r="F328" s="650"/>
      <c r="G328" s="650"/>
      <c r="H328" s="650"/>
      <c r="I328" s="650"/>
      <c r="J328" s="650"/>
      <c r="K328" s="529"/>
      <c r="L328" s="539"/>
      <c r="M328" s="539"/>
      <c r="N328" s="539"/>
      <c r="O328" s="539"/>
      <c r="P328" s="539"/>
      <c r="Q328" s="539"/>
      <c r="R328" s="535"/>
      <c r="S328" s="537"/>
      <c r="T328" s="535"/>
      <c r="U328" s="537"/>
      <c r="V328" s="529"/>
      <c r="W328" s="539"/>
      <c r="X328" s="539"/>
      <c r="Y328" s="539"/>
      <c r="Z328" s="539"/>
      <c r="AA328" s="539"/>
      <c r="AB328" s="539"/>
      <c r="AC328" s="529"/>
      <c r="AD328" s="539"/>
      <c r="AE328" s="539"/>
      <c r="AF328" s="539"/>
      <c r="AG328" s="539"/>
      <c r="AH328" s="539"/>
      <c r="AI328" s="539"/>
      <c r="AJ328" s="529"/>
      <c r="AK328" s="539"/>
      <c r="AL328" s="539"/>
      <c r="AM328" s="539"/>
      <c r="AN328" s="539"/>
      <c r="AO328" s="539"/>
      <c r="AP328" s="542"/>
      <c r="AQ328" s="549"/>
      <c r="AR328" s="550"/>
      <c r="AS328" s="550"/>
      <c r="AT328" s="550"/>
      <c r="AU328" s="550"/>
      <c r="AV328" s="550"/>
      <c r="AW328" s="551"/>
      <c r="AX328" s="495"/>
      <c r="AY328" s="496"/>
      <c r="AZ328" s="108">
        <v>6</v>
      </c>
      <c r="BA328" s="505"/>
      <c r="BB328" s="506"/>
      <c r="BC328" s="506"/>
      <c r="BD328" s="507"/>
      <c r="BE328" s="644"/>
      <c r="BF328" s="645"/>
      <c r="BG328" s="109"/>
      <c r="BH328" s="510"/>
      <c r="BI328" s="511"/>
      <c r="BJ328" s="511"/>
      <c r="BK328" s="511"/>
      <c r="BL328" s="511"/>
      <c r="BM328" s="512"/>
      <c r="BN328" s="510"/>
      <c r="BO328" s="511"/>
      <c r="BP328" s="511"/>
      <c r="BQ328" s="511"/>
      <c r="BR328" s="511"/>
      <c r="BS328" s="512"/>
      <c r="BT328" s="510"/>
      <c r="BU328" s="511"/>
      <c r="BV328" s="511"/>
      <c r="BW328" s="511"/>
      <c r="BX328" s="511"/>
      <c r="BY328" s="512"/>
      <c r="BZ328" s="505"/>
      <c r="CA328" s="506"/>
      <c r="CB328" s="506"/>
      <c r="CC328" s="507"/>
      <c r="CD328" s="477"/>
      <c r="CE328" s="478"/>
      <c r="CF328" s="478"/>
      <c r="CG328" s="478"/>
      <c r="CH328" s="479"/>
      <c r="CI328" s="477"/>
      <c r="CJ328" s="478"/>
      <c r="CK328" s="478"/>
      <c r="CL328" s="478"/>
      <c r="CM328" s="479"/>
      <c r="CN328" s="477"/>
      <c r="CO328" s="478"/>
      <c r="CP328" s="478"/>
      <c r="CQ328" s="478"/>
      <c r="CR328" s="479"/>
      <c r="CS328" s="480"/>
      <c r="CT328" s="481"/>
      <c r="CU328" s="481"/>
      <c r="CV328" s="481"/>
      <c r="CW328" s="482"/>
    </row>
    <row r="329" spans="1:101" s="91" customFormat="1" ht="16.5" x14ac:dyDescent="0.15">
      <c r="A329" s="516">
        <v>56</v>
      </c>
      <c r="B329" s="102"/>
      <c r="C329" s="222" t="str">
        <f t="shared" ca="1" si="9"/>
        <v/>
      </c>
      <c r="D329" s="519"/>
      <c r="E329" s="649"/>
      <c r="F329" s="649"/>
      <c r="G329" s="649"/>
      <c r="H329" s="649"/>
      <c r="I329" s="649"/>
      <c r="J329" s="649"/>
      <c r="K329" s="525"/>
      <c r="L329" s="538"/>
      <c r="M329" s="538"/>
      <c r="N329" s="538"/>
      <c r="O329" s="538"/>
      <c r="P329" s="538"/>
      <c r="Q329" s="538"/>
      <c r="R329" s="531"/>
      <c r="S329" s="532"/>
      <c r="T329" s="531"/>
      <c r="U329" s="532"/>
      <c r="V329" s="525"/>
      <c r="W329" s="538"/>
      <c r="X329" s="538"/>
      <c r="Y329" s="538"/>
      <c r="Z329" s="538"/>
      <c r="AA329" s="538"/>
      <c r="AB329" s="538"/>
      <c r="AC329" s="525"/>
      <c r="AD329" s="538"/>
      <c r="AE329" s="538"/>
      <c r="AF329" s="538"/>
      <c r="AG329" s="538"/>
      <c r="AH329" s="538"/>
      <c r="AI329" s="538"/>
      <c r="AJ329" s="525"/>
      <c r="AK329" s="538"/>
      <c r="AL329" s="538"/>
      <c r="AM329" s="538"/>
      <c r="AN329" s="538"/>
      <c r="AO329" s="538"/>
      <c r="AP329" s="540"/>
      <c r="AQ329" s="543"/>
      <c r="AR329" s="544"/>
      <c r="AS329" s="544"/>
      <c r="AT329" s="544"/>
      <c r="AU329" s="544"/>
      <c r="AV329" s="544"/>
      <c r="AW329" s="545"/>
      <c r="AX329" s="491"/>
      <c r="AY329" s="492"/>
      <c r="AZ329" s="103">
        <v>1</v>
      </c>
      <c r="BA329" s="497"/>
      <c r="BB329" s="498"/>
      <c r="BC329" s="498"/>
      <c r="BD329" s="499"/>
      <c r="BE329" s="500"/>
      <c r="BF329" s="501"/>
      <c r="BG329" s="110"/>
      <c r="BH329" s="502"/>
      <c r="BI329" s="503"/>
      <c r="BJ329" s="503"/>
      <c r="BK329" s="503"/>
      <c r="BL329" s="503"/>
      <c r="BM329" s="504"/>
      <c r="BN329" s="502"/>
      <c r="BO329" s="503"/>
      <c r="BP329" s="503"/>
      <c r="BQ329" s="503"/>
      <c r="BR329" s="503"/>
      <c r="BS329" s="504"/>
      <c r="BT329" s="502"/>
      <c r="BU329" s="503"/>
      <c r="BV329" s="503"/>
      <c r="BW329" s="503"/>
      <c r="BX329" s="503"/>
      <c r="BY329" s="504"/>
      <c r="BZ329" s="497"/>
      <c r="CA329" s="498"/>
      <c r="CB329" s="498"/>
      <c r="CC329" s="499"/>
      <c r="CD329" s="477"/>
      <c r="CE329" s="478"/>
      <c r="CF329" s="478"/>
      <c r="CG329" s="478"/>
      <c r="CH329" s="479"/>
      <c r="CI329" s="477"/>
      <c r="CJ329" s="478"/>
      <c r="CK329" s="478"/>
      <c r="CL329" s="478"/>
      <c r="CM329" s="479"/>
      <c r="CN329" s="477"/>
      <c r="CO329" s="478"/>
      <c r="CP329" s="478"/>
      <c r="CQ329" s="478"/>
      <c r="CR329" s="479"/>
      <c r="CS329" s="480"/>
      <c r="CT329" s="481"/>
      <c r="CU329" s="481"/>
      <c r="CV329" s="481"/>
      <c r="CW329" s="482"/>
    </row>
    <row r="330" spans="1:101" s="91" customFormat="1" ht="16.5" x14ac:dyDescent="0.15">
      <c r="A330" s="517"/>
      <c r="B330" s="102"/>
      <c r="C330" s="220" t="str">
        <f t="shared" ca="1" si="9"/>
        <v/>
      </c>
      <c r="D330" s="521"/>
      <c r="E330" s="522"/>
      <c r="F330" s="522"/>
      <c r="G330" s="522"/>
      <c r="H330" s="522"/>
      <c r="I330" s="522"/>
      <c r="J330" s="522"/>
      <c r="K330" s="527"/>
      <c r="L330" s="528"/>
      <c r="M330" s="528"/>
      <c r="N330" s="528"/>
      <c r="O330" s="528"/>
      <c r="P330" s="528"/>
      <c r="Q330" s="528"/>
      <c r="R330" s="533"/>
      <c r="S330" s="534"/>
      <c r="T330" s="533"/>
      <c r="U330" s="534"/>
      <c r="V330" s="527"/>
      <c r="W330" s="528"/>
      <c r="X330" s="528"/>
      <c r="Y330" s="528"/>
      <c r="Z330" s="528"/>
      <c r="AA330" s="528"/>
      <c r="AB330" s="528"/>
      <c r="AC330" s="527"/>
      <c r="AD330" s="528"/>
      <c r="AE330" s="528"/>
      <c r="AF330" s="528"/>
      <c r="AG330" s="528"/>
      <c r="AH330" s="528"/>
      <c r="AI330" s="528"/>
      <c r="AJ330" s="527"/>
      <c r="AK330" s="528"/>
      <c r="AL330" s="528"/>
      <c r="AM330" s="528"/>
      <c r="AN330" s="528"/>
      <c r="AO330" s="528"/>
      <c r="AP330" s="541"/>
      <c r="AQ330" s="546"/>
      <c r="AR330" s="547"/>
      <c r="AS330" s="547"/>
      <c r="AT330" s="547"/>
      <c r="AU330" s="547"/>
      <c r="AV330" s="547"/>
      <c r="AW330" s="548"/>
      <c r="AX330" s="493"/>
      <c r="AY330" s="494"/>
      <c r="AZ330" s="105">
        <v>2</v>
      </c>
      <c r="BA330" s="483"/>
      <c r="BB330" s="484"/>
      <c r="BC330" s="484"/>
      <c r="BD330" s="485"/>
      <c r="BE330" s="486"/>
      <c r="BF330" s="487"/>
      <c r="BG330" s="106"/>
      <c r="BH330" s="488"/>
      <c r="BI330" s="489"/>
      <c r="BJ330" s="489"/>
      <c r="BK330" s="489"/>
      <c r="BL330" s="489"/>
      <c r="BM330" s="490"/>
      <c r="BN330" s="488"/>
      <c r="BO330" s="489"/>
      <c r="BP330" s="489"/>
      <c r="BQ330" s="489"/>
      <c r="BR330" s="489"/>
      <c r="BS330" s="490"/>
      <c r="BT330" s="488"/>
      <c r="BU330" s="489"/>
      <c r="BV330" s="489"/>
      <c r="BW330" s="489"/>
      <c r="BX330" s="489"/>
      <c r="BY330" s="490"/>
      <c r="BZ330" s="483"/>
      <c r="CA330" s="484"/>
      <c r="CB330" s="484"/>
      <c r="CC330" s="485"/>
      <c r="CD330" s="477"/>
      <c r="CE330" s="478"/>
      <c r="CF330" s="478"/>
      <c r="CG330" s="478"/>
      <c r="CH330" s="479"/>
      <c r="CI330" s="477"/>
      <c r="CJ330" s="478"/>
      <c r="CK330" s="478"/>
      <c r="CL330" s="478"/>
      <c r="CM330" s="479"/>
      <c r="CN330" s="477"/>
      <c r="CO330" s="478"/>
      <c r="CP330" s="478"/>
      <c r="CQ330" s="478"/>
      <c r="CR330" s="479"/>
      <c r="CS330" s="480"/>
      <c r="CT330" s="481"/>
      <c r="CU330" s="481"/>
      <c r="CV330" s="481"/>
      <c r="CW330" s="482"/>
    </row>
    <row r="331" spans="1:101" s="91" customFormat="1" ht="16.5" x14ac:dyDescent="0.15">
      <c r="A331" s="517"/>
      <c r="B331" s="102"/>
      <c r="C331" s="220" t="str">
        <f t="shared" ca="1" si="9"/>
        <v/>
      </c>
      <c r="D331" s="521"/>
      <c r="E331" s="522"/>
      <c r="F331" s="522"/>
      <c r="G331" s="522"/>
      <c r="H331" s="522"/>
      <c r="I331" s="522"/>
      <c r="J331" s="522"/>
      <c r="K331" s="527"/>
      <c r="L331" s="528"/>
      <c r="M331" s="528"/>
      <c r="N331" s="528"/>
      <c r="O331" s="528"/>
      <c r="P331" s="528"/>
      <c r="Q331" s="528"/>
      <c r="R331" s="533"/>
      <c r="S331" s="534"/>
      <c r="T331" s="533"/>
      <c r="U331" s="534"/>
      <c r="V331" s="527"/>
      <c r="W331" s="528"/>
      <c r="X331" s="528"/>
      <c r="Y331" s="528"/>
      <c r="Z331" s="528"/>
      <c r="AA331" s="528"/>
      <c r="AB331" s="528"/>
      <c r="AC331" s="527"/>
      <c r="AD331" s="528"/>
      <c r="AE331" s="528"/>
      <c r="AF331" s="528"/>
      <c r="AG331" s="528"/>
      <c r="AH331" s="528"/>
      <c r="AI331" s="528"/>
      <c r="AJ331" s="527"/>
      <c r="AK331" s="528"/>
      <c r="AL331" s="528"/>
      <c r="AM331" s="528"/>
      <c r="AN331" s="528"/>
      <c r="AO331" s="528"/>
      <c r="AP331" s="541"/>
      <c r="AQ331" s="546"/>
      <c r="AR331" s="547"/>
      <c r="AS331" s="547"/>
      <c r="AT331" s="547"/>
      <c r="AU331" s="547"/>
      <c r="AV331" s="547"/>
      <c r="AW331" s="548"/>
      <c r="AX331" s="493"/>
      <c r="AY331" s="494"/>
      <c r="AZ331" s="105">
        <v>3</v>
      </c>
      <c r="BA331" s="483"/>
      <c r="BB331" s="484"/>
      <c r="BC331" s="484"/>
      <c r="BD331" s="485"/>
      <c r="BE331" s="486"/>
      <c r="BF331" s="487"/>
      <c r="BG331" s="106"/>
      <c r="BH331" s="488"/>
      <c r="BI331" s="489"/>
      <c r="BJ331" s="489"/>
      <c r="BK331" s="489"/>
      <c r="BL331" s="489"/>
      <c r="BM331" s="490"/>
      <c r="BN331" s="488"/>
      <c r="BO331" s="489"/>
      <c r="BP331" s="489"/>
      <c r="BQ331" s="489"/>
      <c r="BR331" s="489"/>
      <c r="BS331" s="490"/>
      <c r="BT331" s="488"/>
      <c r="BU331" s="489"/>
      <c r="BV331" s="489"/>
      <c r="BW331" s="489"/>
      <c r="BX331" s="489"/>
      <c r="BY331" s="490"/>
      <c r="BZ331" s="483"/>
      <c r="CA331" s="484"/>
      <c r="CB331" s="484"/>
      <c r="CC331" s="485"/>
      <c r="CD331" s="477"/>
      <c r="CE331" s="478"/>
      <c r="CF331" s="478"/>
      <c r="CG331" s="478"/>
      <c r="CH331" s="479"/>
      <c r="CI331" s="477"/>
      <c r="CJ331" s="478"/>
      <c r="CK331" s="478"/>
      <c r="CL331" s="478"/>
      <c r="CM331" s="479"/>
      <c r="CN331" s="477"/>
      <c r="CO331" s="478"/>
      <c r="CP331" s="478"/>
      <c r="CQ331" s="478"/>
      <c r="CR331" s="479"/>
      <c r="CS331" s="480"/>
      <c r="CT331" s="481"/>
      <c r="CU331" s="481"/>
      <c r="CV331" s="481"/>
      <c r="CW331" s="482"/>
    </row>
    <row r="332" spans="1:101" s="91" customFormat="1" ht="16.5" x14ac:dyDescent="0.15">
      <c r="A332" s="517"/>
      <c r="B332" s="102"/>
      <c r="C332" s="220" t="str">
        <f t="shared" ca="1" si="9"/>
        <v/>
      </c>
      <c r="D332" s="521"/>
      <c r="E332" s="522"/>
      <c r="F332" s="522"/>
      <c r="G332" s="522"/>
      <c r="H332" s="522"/>
      <c r="I332" s="522"/>
      <c r="J332" s="522"/>
      <c r="K332" s="527"/>
      <c r="L332" s="528"/>
      <c r="M332" s="528"/>
      <c r="N332" s="528"/>
      <c r="O332" s="528"/>
      <c r="P332" s="528"/>
      <c r="Q332" s="528"/>
      <c r="R332" s="533"/>
      <c r="S332" s="534"/>
      <c r="T332" s="533"/>
      <c r="U332" s="534"/>
      <c r="V332" s="527"/>
      <c r="W332" s="528"/>
      <c r="X332" s="528"/>
      <c r="Y332" s="528"/>
      <c r="Z332" s="528"/>
      <c r="AA332" s="528"/>
      <c r="AB332" s="528"/>
      <c r="AC332" s="527"/>
      <c r="AD332" s="528"/>
      <c r="AE332" s="528"/>
      <c r="AF332" s="528"/>
      <c r="AG332" s="528"/>
      <c r="AH332" s="528"/>
      <c r="AI332" s="528"/>
      <c r="AJ332" s="527"/>
      <c r="AK332" s="528"/>
      <c r="AL332" s="528"/>
      <c r="AM332" s="528"/>
      <c r="AN332" s="528"/>
      <c r="AO332" s="528"/>
      <c r="AP332" s="541"/>
      <c r="AQ332" s="546"/>
      <c r="AR332" s="547"/>
      <c r="AS332" s="547"/>
      <c r="AT332" s="547"/>
      <c r="AU332" s="547"/>
      <c r="AV332" s="547"/>
      <c r="AW332" s="548"/>
      <c r="AX332" s="493"/>
      <c r="AY332" s="494"/>
      <c r="AZ332" s="105">
        <v>4</v>
      </c>
      <c r="BA332" s="483"/>
      <c r="BB332" s="484"/>
      <c r="BC332" s="484"/>
      <c r="BD332" s="485"/>
      <c r="BE332" s="486"/>
      <c r="BF332" s="487"/>
      <c r="BG332" s="106"/>
      <c r="BH332" s="488"/>
      <c r="BI332" s="489"/>
      <c r="BJ332" s="489"/>
      <c r="BK332" s="489"/>
      <c r="BL332" s="489"/>
      <c r="BM332" s="490"/>
      <c r="BN332" s="488"/>
      <c r="BO332" s="489"/>
      <c r="BP332" s="489"/>
      <c r="BQ332" s="489"/>
      <c r="BR332" s="489"/>
      <c r="BS332" s="490"/>
      <c r="BT332" s="488"/>
      <c r="BU332" s="489"/>
      <c r="BV332" s="489"/>
      <c r="BW332" s="489"/>
      <c r="BX332" s="489"/>
      <c r="BY332" s="490"/>
      <c r="BZ332" s="483"/>
      <c r="CA332" s="484"/>
      <c r="CB332" s="484"/>
      <c r="CC332" s="485"/>
      <c r="CD332" s="477"/>
      <c r="CE332" s="478"/>
      <c r="CF332" s="478"/>
      <c r="CG332" s="478"/>
      <c r="CH332" s="479"/>
      <c r="CI332" s="477"/>
      <c r="CJ332" s="478"/>
      <c r="CK332" s="478"/>
      <c r="CL332" s="478"/>
      <c r="CM332" s="479"/>
      <c r="CN332" s="477"/>
      <c r="CO332" s="478"/>
      <c r="CP332" s="478"/>
      <c r="CQ332" s="478"/>
      <c r="CR332" s="479"/>
      <c r="CS332" s="480"/>
      <c r="CT332" s="481"/>
      <c r="CU332" s="481"/>
      <c r="CV332" s="481"/>
      <c r="CW332" s="482"/>
    </row>
    <row r="333" spans="1:101" s="91" customFormat="1" ht="16.5" x14ac:dyDescent="0.15">
      <c r="A333" s="517"/>
      <c r="B333" s="102"/>
      <c r="C333" s="220" t="str">
        <f t="shared" ca="1" si="9"/>
        <v/>
      </c>
      <c r="D333" s="521"/>
      <c r="E333" s="522"/>
      <c r="F333" s="522"/>
      <c r="G333" s="522"/>
      <c r="H333" s="522"/>
      <c r="I333" s="522"/>
      <c r="J333" s="522"/>
      <c r="K333" s="527"/>
      <c r="L333" s="528"/>
      <c r="M333" s="528"/>
      <c r="N333" s="528"/>
      <c r="O333" s="528"/>
      <c r="P333" s="528"/>
      <c r="Q333" s="528"/>
      <c r="R333" s="533"/>
      <c r="S333" s="534"/>
      <c r="T333" s="533"/>
      <c r="U333" s="534"/>
      <c r="V333" s="527"/>
      <c r="W333" s="528"/>
      <c r="X333" s="528"/>
      <c r="Y333" s="528"/>
      <c r="Z333" s="528"/>
      <c r="AA333" s="528"/>
      <c r="AB333" s="528"/>
      <c r="AC333" s="527"/>
      <c r="AD333" s="528"/>
      <c r="AE333" s="528"/>
      <c r="AF333" s="528"/>
      <c r="AG333" s="528"/>
      <c r="AH333" s="528"/>
      <c r="AI333" s="528"/>
      <c r="AJ333" s="527"/>
      <c r="AK333" s="528"/>
      <c r="AL333" s="528"/>
      <c r="AM333" s="528"/>
      <c r="AN333" s="528"/>
      <c r="AO333" s="528"/>
      <c r="AP333" s="541"/>
      <c r="AQ333" s="546"/>
      <c r="AR333" s="547"/>
      <c r="AS333" s="547"/>
      <c r="AT333" s="547"/>
      <c r="AU333" s="547"/>
      <c r="AV333" s="547"/>
      <c r="AW333" s="548"/>
      <c r="AX333" s="493"/>
      <c r="AY333" s="494"/>
      <c r="AZ333" s="105">
        <v>5</v>
      </c>
      <c r="BA333" s="483"/>
      <c r="BB333" s="484"/>
      <c r="BC333" s="484"/>
      <c r="BD333" s="485"/>
      <c r="BE333" s="486"/>
      <c r="BF333" s="487"/>
      <c r="BG333" s="106"/>
      <c r="BH333" s="488"/>
      <c r="BI333" s="489"/>
      <c r="BJ333" s="489"/>
      <c r="BK333" s="489"/>
      <c r="BL333" s="489"/>
      <c r="BM333" s="490"/>
      <c r="BN333" s="488"/>
      <c r="BO333" s="489"/>
      <c r="BP333" s="489"/>
      <c r="BQ333" s="489"/>
      <c r="BR333" s="489"/>
      <c r="BS333" s="490"/>
      <c r="BT333" s="488"/>
      <c r="BU333" s="489"/>
      <c r="BV333" s="489"/>
      <c r="BW333" s="489"/>
      <c r="BX333" s="489"/>
      <c r="BY333" s="490"/>
      <c r="BZ333" s="483"/>
      <c r="CA333" s="484"/>
      <c r="CB333" s="484"/>
      <c r="CC333" s="485"/>
      <c r="CD333" s="477"/>
      <c r="CE333" s="478"/>
      <c r="CF333" s="478"/>
      <c r="CG333" s="478"/>
      <c r="CH333" s="479"/>
      <c r="CI333" s="477"/>
      <c r="CJ333" s="478"/>
      <c r="CK333" s="478"/>
      <c r="CL333" s="478"/>
      <c r="CM333" s="479"/>
      <c r="CN333" s="477"/>
      <c r="CO333" s="478"/>
      <c r="CP333" s="478"/>
      <c r="CQ333" s="478"/>
      <c r="CR333" s="479"/>
      <c r="CS333" s="480"/>
      <c r="CT333" s="481"/>
      <c r="CU333" s="481"/>
      <c r="CV333" s="481"/>
      <c r="CW333" s="482"/>
    </row>
    <row r="334" spans="1:101" s="91" customFormat="1" ht="16.5" x14ac:dyDescent="0.15">
      <c r="A334" s="518"/>
      <c r="B334" s="107"/>
      <c r="C334" s="219" t="str">
        <f t="shared" ca="1" si="9"/>
        <v/>
      </c>
      <c r="D334" s="523"/>
      <c r="E334" s="650"/>
      <c r="F334" s="650"/>
      <c r="G334" s="650"/>
      <c r="H334" s="650"/>
      <c r="I334" s="650"/>
      <c r="J334" s="650"/>
      <c r="K334" s="529"/>
      <c r="L334" s="539"/>
      <c r="M334" s="539"/>
      <c r="N334" s="539"/>
      <c r="O334" s="539"/>
      <c r="P334" s="539"/>
      <c r="Q334" s="539"/>
      <c r="R334" s="535"/>
      <c r="S334" s="537"/>
      <c r="T334" s="535"/>
      <c r="U334" s="537"/>
      <c r="V334" s="529"/>
      <c r="W334" s="539"/>
      <c r="X334" s="539"/>
      <c r="Y334" s="539"/>
      <c r="Z334" s="539"/>
      <c r="AA334" s="539"/>
      <c r="AB334" s="539"/>
      <c r="AC334" s="529"/>
      <c r="AD334" s="539"/>
      <c r="AE334" s="539"/>
      <c r="AF334" s="539"/>
      <c r="AG334" s="539"/>
      <c r="AH334" s="539"/>
      <c r="AI334" s="539"/>
      <c r="AJ334" s="529"/>
      <c r="AK334" s="539"/>
      <c r="AL334" s="539"/>
      <c r="AM334" s="539"/>
      <c r="AN334" s="539"/>
      <c r="AO334" s="539"/>
      <c r="AP334" s="542"/>
      <c r="AQ334" s="549"/>
      <c r="AR334" s="550"/>
      <c r="AS334" s="550"/>
      <c r="AT334" s="550"/>
      <c r="AU334" s="550"/>
      <c r="AV334" s="550"/>
      <c r="AW334" s="551"/>
      <c r="AX334" s="495"/>
      <c r="AY334" s="496"/>
      <c r="AZ334" s="112">
        <v>6</v>
      </c>
      <c r="BA334" s="513"/>
      <c r="BB334" s="514"/>
      <c r="BC334" s="514"/>
      <c r="BD334" s="515"/>
      <c r="BE334" s="644"/>
      <c r="BF334" s="645"/>
      <c r="BG334" s="111"/>
      <c r="BH334" s="646"/>
      <c r="BI334" s="647"/>
      <c r="BJ334" s="647"/>
      <c r="BK334" s="647"/>
      <c r="BL334" s="647"/>
      <c r="BM334" s="648"/>
      <c r="BN334" s="646"/>
      <c r="BO334" s="647"/>
      <c r="BP334" s="647"/>
      <c r="BQ334" s="647"/>
      <c r="BR334" s="647"/>
      <c r="BS334" s="648"/>
      <c r="BT334" s="646"/>
      <c r="BU334" s="647"/>
      <c r="BV334" s="647"/>
      <c r="BW334" s="647"/>
      <c r="BX334" s="647"/>
      <c r="BY334" s="648"/>
      <c r="BZ334" s="513"/>
      <c r="CA334" s="514"/>
      <c r="CB334" s="514"/>
      <c r="CC334" s="515"/>
      <c r="CD334" s="477"/>
      <c r="CE334" s="478"/>
      <c r="CF334" s="478"/>
      <c r="CG334" s="478"/>
      <c r="CH334" s="479"/>
      <c r="CI334" s="477"/>
      <c r="CJ334" s="478"/>
      <c r="CK334" s="478"/>
      <c r="CL334" s="478"/>
      <c r="CM334" s="479"/>
      <c r="CN334" s="477"/>
      <c r="CO334" s="478"/>
      <c r="CP334" s="478"/>
      <c r="CQ334" s="478"/>
      <c r="CR334" s="479"/>
      <c r="CS334" s="480"/>
      <c r="CT334" s="481"/>
      <c r="CU334" s="481"/>
      <c r="CV334" s="481"/>
      <c r="CW334" s="482"/>
    </row>
    <row r="335" spans="1:101" s="91" customFormat="1" ht="16.5" x14ac:dyDescent="0.15">
      <c r="A335" s="516">
        <v>57</v>
      </c>
      <c r="B335" s="102"/>
      <c r="C335" s="222" t="str">
        <f t="shared" ca="1" si="9"/>
        <v/>
      </c>
      <c r="D335" s="519"/>
      <c r="E335" s="649"/>
      <c r="F335" s="649"/>
      <c r="G335" s="649"/>
      <c r="H335" s="649"/>
      <c r="I335" s="649"/>
      <c r="J335" s="649"/>
      <c r="K335" s="525"/>
      <c r="L335" s="538"/>
      <c r="M335" s="538"/>
      <c r="N335" s="538"/>
      <c r="O335" s="538"/>
      <c r="P335" s="538"/>
      <c r="Q335" s="538"/>
      <c r="R335" s="531"/>
      <c r="S335" s="532"/>
      <c r="T335" s="531"/>
      <c r="U335" s="532"/>
      <c r="V335" s="525"/>
      <c r="W335" s="538"/>
      <c r="X335" s="538"/>
      <c r="Y335" s="538"/>
      <c r="Z335" s="538"/>
      <c r="AA335" s="538"/>
      <c r="AB335" s="538"/>
      <c r="AC335" s="525"/>
      <c r="AD335" s="538"/>
      <c r="AE335" s="538"/>
      <c r="AF335" s="538"/>
      <c r="AG335" s="538"/>
      <c r="AH335" s="538"/>
      <c r="AI335" s="538"/>
      <c r="AJ335" s="525"/>
      <c r="AK335" s="538"/>
      <c r="AL335" s="538"/>
      <c r="AM335" s="538"/>
      <c r="AN335" s="538"/>
      <c r="AO335" s="538"/>
      <c r="AP335" s="540"/>
      <c r="AQ335" s="543"/>
      <c r="AR335" s="544"/>
      <c r="AS335" s="544"/>
      <c r="AT335" s="544"/>
      <c r="AU335" s="544"/>
      <c r="AV335" s="544"/>
      <c r="AW335" s="545"/>
      <c r="AX335" s="491"/>
      <c r="AY335" s="492"/>
      <c r="AZ335" s="103">
        <v>1</v>
      </c>
      <c r="BA335" s="497"/>
      <c r="BB335" s="498"/>
      <c r="BC335" s="498"/>
      <c r="BD335" s="499"/>
      <c r="BE335" s="500"/>
      <c r="BF335" s="501"/>
      <c r="BG335" s="110"/>
      <c r="BH335" s="502"/>
      <c r="BI335" s="503"/>
      <c r="BJ335" s="503"/>
      <c r="BK335" s="503"/>
      <c r="BL335" s="503"/>
      <c r="BM335" s="504"/>
      <c r="BN335" s="502"/>
      <c r="BO335" s="503"/>
      <c r="BP335" s="503"/>
      <c r="BQ335" s="503"/>
      <c r="BR335" s="503"/>
      <c r="BS335" s="504"/>
      <c r="BT335" s="502"/>
      <c r="BU335" s="503"/>
      <c r="BV335" s="503"/>
      <c r="BW335" s="503"/>
      <c r="BX335" s="503"/>
      <c r="BY335" s="504"/>
      <c r="BZ335" s="497"/>
      <c r="CA335" s="498"/>
      <c r="CB335" s="498"/>
      <c r="CC335" s="499"/>
      <c r="CD335" s="477"/>
      <c r="CE335" s="478"/>
      <c r="CF335" s="478"/>
      <c r="CG335" s="478"/>
      <c r="CH335" s="479"/>
      <c r="CI335" s="477"/>
      <c r="CJ335" s="478"/>
      <c r="CK335" s="478"/>
      <c r="CL335" s="478"/>
      <c r="CM335" s="479"/>
      <c r="CN335" s="477"/>
      <c r="CO335" s="478"/>
      <c r="CP335" s="478"/>
      <c r="CQ335" s="478"/>
      <c r="CR335" s="479"/>
      <c r="CS335" s="480"/>
      <c r="CT335" s="481"/>
      <c r="CU335" s="481"/>
      <c r="CV335" s="481"/>
      <c r="CW335" s="482"/>
    </row>
    <row r="336" spans="1:101" s="91" customFormat="1" ht="16.5" x14ac:dyDescent="0.15">
      <c r="A336" s="517"/>
      <c r="B336" s="102"/>
      <c r="C336" s="220" t="str">
        <f t="shared" ca="1" si="9"/>
        <v/>
      </c>
      <c r="D336" s="521"/>
      <c r="E336" s="522"/>
      <c r="F336" s="522"/>
      <c r="G336" s="522"/>
      <c r="H336" s="522"/>
      <c r="I336" s="522"/>
      <c r="J336" s="522"/>
      <c r="K336" s="527"/>
      <c r="L336" s="528"/>
      <c r="M336" s="528"/>
      <c r="N336" s="528"/>
      <c r="O336" s="528"/>
      <c r="P336" s="528"/>
      <c r="Q336" s="528"/>
      <c r="R336" s="533"/>
      <c r="S336" s="534"/>
      <c r="T336" s="533"/>
      <c r="U336" s="534"/>
      <c r="V336" s="527"/>
      <c r="W336" s="528"/>
      <c r="X336" s="528"/>
      <c r="Y336" s="528"/>
      <c r="Z336" s="528"/>
      <c r="AA336" s="528"/>
      <c r="AB336" s="528"/>
      <c r="AC336" s="527"/>
      <c r="AD336" s="528"/>
      <c r="AE336" s="528"/>
      <c r="AF336" s="528"/>
      <c r="AG336" s="528"/>
      <c r="AH336" s="528"/>
      <c r="AI336" s="528"/>
      <c r="AJ336" s="527"/>
      <c r="AK336" s="528"/>
      <c r="AL336" s="528"/>
      <c r="AM336" s="528"/>
      <c r="AN336" s="528"/>
      <c r="AO336" s="528"/>
      <c r="AP336" s="541"/>
      <c r="AQ336" s="546"/>
      <c r="AR336" s="547"/>
      <c r="AS336" s="547"/>
      <c r="AT336" s="547"/>
      <c r="AU336" s="547"/>
      <c r="AV336" s="547"/>
      <c r="AW336" s="548"/>
      <c r="AX336" s="493"/>
      <c r="AY336" s="494"/>
      <c r="AZ336" s="105">
        <v>2</v>
      </c>
      <c r="BA336" s="483"/>
      <c r="BB336" s="484"/>
      <c r="BC336" s="484"/>
      <c r="BD336" s="485"/>
      <c r="BE336" s="486"/>
      <c r="BF336" s="487"/>
      <c r="BG336" s="106"/>
      <c r="BH336" s="488"/>
      <c r="BI336" s="489"/>
      <c r="BJ336" s="489"/>
      <c r="BK336" s="489"/>
      <c r="BL336" s="489"/>
      <c r="BM336" s="490"/>
      <c r="BN336" s="488"/>
      <c r="BO336" s="489"/>
      <c r="BP336" s="489"/>
      <c r="BQ336" s="489"/>
      <c r="BR336" s="489"/>
      <c r="BS336" s="490"/>
      <c r="BT336" s="488"/>
      <c r="BU336" s="489"/>
      <c r="BV336" s="489"/>
      <c r="BW336" s="489"/>
      <c r="BX336" s="489"/>
      <c r="BY336" s="490"/>
      <c r="BZ336" s="483"/>
      <c r="CA336" s="484"/>
      <c r="CB336" s="484"/>
      <c r="CC336" s="485"/>
      <c r="CD336" s="477"/>
      <c r="CE336" s="478"/>
      <c r="CF336" s="478"/>
      <c r="CG336" s="478"/>
      <c r="CH336" s="479"/>
      <c r="CI336" s="477"/>
      <c r="CJ336" s="478"/>
      <c r="CK336" s="478"/>
      <c r="CL336" s="478"/>
      <c r="CM336" s="479"/>
      <c r="CN336" s="477"/>
      <c r="CO336" s="478"/>
      <c r="CP336" s="478"/>
      <c r="CQ336" s="478"/>
      <c r="CR336" s="479"/>
      <c r="CS336" s="480"/>
      <c r="CT336" s="481"/>
      <c r="CU336" s="481"/>
      <c r="CV336" s="481"/>
      <c r="CW336" s="482"/>
    </row>
    <row r="337" spans="1:101" s="91" customFormat="1" ht="16.5" x14ac:dyDescent="0.15">
      <c r="A337" s="517"/>
      <c r="B337" s="102"/>
      <c r="C337" s="220" t="str">
        <f t="shared" ca="1" si="9"/>
        <v/>
      </c>
      <c r="D337" s="521"/>
      <c r="E337" s="522"/>
      <c r="F337" s="522"/>
      <c r="G337" s="522"/>
      <c r="H337" s="522"/>
      <c r="I337" s="522"/>
      <c r="J337" s="522"/>
      <c r="K337" s="527"/>
      <c r="L337" s="528"/>
      <c r="M337" s="528"/>
      <c r="N337" s="528"/>
      <c r="O337" s="528"/>
      <c r="P337" s="528"/>
      <c r="Q337" s="528"/>
      <c r="R337" s="533"/>
      <c r="S337" s="534"/>
      <c r="T337" s="533"/>
      <c r="U337" s="534"/>
      <c r="V337" s="527"/>
      <c r="W337" s="528"/>
      <c r="X337" s="528"/>
      <c r="Y337" s="528"/>
      <c r="Z337" s="528"/>
      <c r="AA337" s="528"/>
      <c r="AB337" s="528"/>
      <c r="AC337" s="527"/>
      <c r="AD337" s="528"/>
      <c r="AE337" s="528"/>
      <c r="AF337" s="528"/>
      <c r="AG337" s="528"/>
      <c r="AH337" s="528"/>
      <c r="AI337" s="528"/>
      <c r="AJ337" s="527"/>
      <c r="AK337" s="528"/>
      <c r="AL337" s="528"/>
      <c r="AM337" s="528"/>
      <c r="AN337" s="528"/>
      <c r="AO337" s="528"/>
      <c r="AP337" s="541"/>
      <c r="AQ337" s="546"/>
      <c r="AR337" s="547"/>
      <c r="AS337" s="547"/>
      <c r="AT337" s="547"/>
      <c r="AU337" s="547"/>
      <c r="AV337" s="547"/>
      <c r="AW337" s="548"/>
      <c r="AX337" s="493"/>
      <c r="AY337" s="494"/>
      <c r="AZ337" s="105">
        <v>3</v>
      </c>
      <c r="BA337" s="483"/>
      <c r="BB337" s="484"/>
      <c r="BC337" s="484"/>
      <c r="BD337" s="485"/>
      <c r="BE337" s="486"/>
      <c r="BF337" s="487"/>
      <c r="BG337" s="106"/>
      <c r="BH337" s="488"/>
      <c r="BI337" s="489"/>
      <c r="BJ337" s="489"/>
      <c r="BK337" s="489"/>
      <c r="BL337" s="489"/>
      <c r="BM337" s="490"/>
      <c r="BN337" s="488"/>
      <c r="BO337" s="489"/>
      <c r="BP337" s="489"/>
      <c r="BQ337" s="489"/>
      <c r="BR337" s="489"/>
      <c r="BS337" s="490"/>
      <c r="BT337" s="488"/>
      <c r="BU337" s="489"/>
      <c r="BV337" s="489"/>
      <c r="BW337" s="489"/>
      <c r="BX337" s="489"/>
      <c r="BY337" s="490"/>
      <c r="BZ337" s="483"/>
      <c r="CA337" s="484"/>
      <c r="CB337" s="484"/>
      <c r="CC337" s="485"/>
      <c r="CD337" s="477"/>
      <c r="CE337" s="478"/>
      <c r="CF337" s="478"/>
      <c r="CG337" s="478"/>
      <c r="CH337" s="479"/>
      <c r="CI337" s="477"/>
      <c r="CJ337" s="478"/>
      <c r="CK337" s="478"/>
      <c r="CL337" s="478"/>
      <c r="CM337" s="479"/>
      <c r="CN337" s="477"/>
      <c r="CO337" s="478"/>
      <c r="CP337" s="478"/>
      <c r="CQ337" s="478"/>
      <c r="CR337" s="479"/>
      <c r="CS337" s="480"/>
      <c r="CT337" s="481"/>
      <c r="CU337" s="481"/>
      <c r="CV337" s="481"/>
      <c r="CW337" s="482"/>
    </row>
    <row r="338" spans="1:101" s="91" customFormat="1" ht="16.5" x14ac:dyDescent="0.15">
      <c r="A338" s="517"/>
      <c r="B338" s="102"/>
      <c r="C338" s="220" t="str">
        <f t="shared" ca="1" si="9"/>
        <v/>
      </c>
      <c r="D338" s="521"/>
      <c r="E338" s="522"/>
      <c r="F338" s="522"/>
      <c r="G338" s="522"/>
      <c r="H338" s="522"/>
      <c r="I338" s="522"/>
      <c r="J338" s="522"/>
      <c r="K338" s="527"/>
      <c r="L338" s="528"/>
      <c r="M338" s="528"/>
      <c r="N338" s="528"/>
      <c r="O338" s="528"/>
      <c r="P338" s="528"/>
      <c r="Q338" s="528"/>
      <c r="R338" s="533"/>
      <c r="S338" s="534"/>
      <c r="T338" s="533"/>
      <c r="U338" s="534"/>
      <c r="V338" s="527"/>
      <c r="W338" s="528"/>
      <c r="X338" s="528"/>
      <c r="Y338" s="528"/>
      <c r="Z338" s="528"/>
      <c r="AA338" s="528"/>
      <c r="AB338" s="528"/>
      <c r="AC338" s="527"/>
      <c r="AD338" s="528"/>
      <c r="AE338" s="528"/>
      <c r="AF338" s="528"/>
      <c r="AG338" s="528"/>
      <c r="AH338" s="528"/>
      <c r="AI338" s="528"/>
      <c r="AJ338" s="527"/>
      <c r="AK338" s="528"/>
      <c r="AL338" s="528"/>
      <c r="AM338" s="528"/>
      <c r="AN338" s="528"/>
      <c r="AO338" s="528"/>
      <c r="AP338" s="541"/>
      <c r="AQ338" s="546"/>
      <c r="AR338" s="547"/>
      <c r="AS338" s="547"/>
      <c r="AT338" s="547"/>
      <c r="AU338" s="547"/>
      <c r="AV338" s="547"/>
      <c r="AW338" s="548"/>
      <c r="AX338" s="493"/>
      <c r="AY338" s="494"/>
      <c r="AZ338" s="105">
        <v>4</v>
      </c>
      <c r="BA338" s="483"/>
      <c r="BB338" s="484"/>
      <c r="BC338" s="484"/>
      <c r="BD338" s="485"/>
      <c r="BE338" s="486"/>
      <c r="BF338" s="487"/>
      <c r="BG338" s="106"/>
      <c r="BH338" s="488"/>
      <c r="BI338" s="489"/>
      <c r="BJ338" s="489"/>
      <c r="BK338" s="489"/>
      <c r="BL338" s="489"/>
      <c r="BM338" s="490"/>
      <c r="BN338" s="488"/>
      <c r="BO338" s="489"/>
      <c r="BP338" s="489"/>
      <c r="BQ338" s="489"/>
      <c r="BR338" s="489"/>
      <c r="BS338" s="490"/>
      <c r="BT338" s="488"/>
      <c r="BU338" s="489"/>
      <c r="BV338" s="489"/>
      <c r="BW338" s="489"/>
      <c r="BX338" s="489"/>
      <c r="BY338" s="490"/>
      <c r="BZ338" s="483"/>
      <c r="CA338" s="484"/>
      <c r="CB338" s="484"/>
      <c r="CC338" s="485"/>
      <c r="CD338" s="477"/>
      <c r="CE338" s="478"/>
      <c r="CF338" s="478"/>
      <c r="CG338" s="478"/>
      <c r="CH338" s="479"/>
      <c r="CI338" s="477"/>
      <c r="CJ338" s="478"/>
      <c r="CK338" s="478"/>
      <c r="CL338" s="478"/>
      <c r="CM338" s="479"/>
      <c r="CN338" s="477"/>
      <c r="CO338" s="478"/>
      <c r="CP338" s="478"/>
      <c r="CQ338" s="478"/>
      <c r="CR338" s="479"/>
      <c r="CS338" s="480"/>
      <c r="CT338" s="481"/>
      <c r="CU338" s="481"/>
      <c r="CV338" s="481"/>
      <c r="CW338" s="482"/>
    </row>
    <row r="339" spans="1:101" s="91" customFormat="1" ht="16.5" x14ac:dyDescent="0.15">
      <c r="A339" s="517"/>
      <c r="B339" s="102"/>
      <c r="C339" s="220" t="str">
        <f t="shared" ca="1" si="9"/>
        <v/>
      </c>
      <c r="D339" s="521"/>
      <c r="E339" s="522"/>
      <c r="F339" s="522"/>
      <c r="G339" s="522"/>
      <c r="H339" s="522"/>
      <c r="I339" s="522"/>
      <c r="J339" s="522"/>
      <c r="K339" s="527"/>
      <c r="L339" s="528"/>
      <c r="M339" s="528"/>
      <c r="N339" s="528"/>
      <c r="O339" s="528"/>
      <c r="P339" s="528"/>
      <c r="Q339" s="528"/>
      <c r="R339" s="533"/>
      <c r="S339" s="534"/>
      <c r="T339" s="533"/>
      <c r="U339" s="534"/>
      <c r="V339" s="527"/>
      <c r="W339" s="528"/>
      <c r="X339" s="528"/>
      <c r="Y339" s="528"/>
      <c r="Z339" s="528"/>
      <c r="AA339" s="528"/>
      <c r="AB339" s="528"/>
      <c r="AC339" s="527"/>
      <c r="AD339" s="528"/>
      <c r="AE339" s="528"/>
      <c r="AF339" s="528"/>
      <c r="AG339" s="528"/>
      <c r="AH339" s="528"/>
      <c r="AI339" s="528"/>
      <c r="AJ339" s="527"/>
      <c r="AK339" s="528"/>
      <c r="AL339" s="528"/>
      <c r="AM339" s="528"/>
      <c r="AN339" s="528"/>
      <c r="AO339" s="528"/>
      <c r="AP339" s="541"/>
      <c r="AQ339" s="546"/>
      <c r="AR339" s="547"/>
      <c r="AS339" s="547"/>
      <c r="AT339" s="547"/>
      <c r="AU339" s="547"/>
      <c r="AV339" s="547"/>
      <c r="AW339" s="548"/>
      <c r="AX339" s="493"/>
      <c r="AY339" s="494"/>
      <c r="AZ339" s="105">
        <v>5</v>
      </c>
      <c r="BA339" s="483"/>
      <c r="BB339" s="484"/>
      <c r="BC339" s="484"/>
      <c r="BD339" s="485"/>
      <c r="BE339" s="486"/>
      <c r="BF339" s="487"/>
      <c r="BG339" s="106"/>
      <c r="BH339" s="488"/>
      <c r="BI339" s="489"/>
      <c r="BJ339" s="489"/>
      <c r="BK339" s="489"/>
      <c r="BL339" s="489"/>
      <c r="BM339" s="490"/>
      <c r="BN339" s="488"/>
      <c r="BO339" s="489"/>
      <c r="BP339" s="489"/>
      <c r="BQ339" s="489"/>
      <c r="BR339" s="489"/>
      <c r="BS339" s="490"/>
      <c r="BT339" s="488"/>
      <c r="BU339" s="489"/>
      <c r="BV339" s="489"/>
      <c r="BW339" s="489"/>
      <c r="BX339" s="489"/>
      <c r="BY339" s="490"/>
      <c r="BZ339" s="483"/>
      <c r="CA339" s="484"/>
      <c r="CB339" s="484"/>
      <c r="CC339" s="485"/>
      <c r="CD339" s="477"/>
      <c r="CE339" s="478"/>
      <c r="CF339" s="478"/>
      <c r="CG339" s="478"/>
      <c r="CH339" s="479"/>
      <c r="CI339" s="477"/>
      <c r="CJ339" s="478"/>
      <c r="CK339" s="478"/>
      <c r="CL339" s="478"/>
      <c r="CM339" s="479"/>
      <c r="CN339" s="477"/>
      <c r="CO339" s="478"/>
      <c r="CP339" s="478"/>
      <c r="CQ339" s="478"/>
      <c r="CR339" s="479"/>
      <c r="CS339" s="480"/>
      <c r="CT339" s="481"/>
      <c r="CU339" s="481"/>
      <c r="CV339" s="481"/>
      <c r="CW339" s="482"/>
    </row>
    <row r="340" spans="1:101" s="91" customFormat="1" ht="16.5" x14ac:dyDescent="0.15">
      <c r="A340" s="518"/>
      <c r="B340" s="107"/>
      <c r="C340" s="220" t="str">
        <f t="shared" ca="1" si="9"/>
        <v/>
      </c>
      <c r="D340" s="523"/>
      <c r="E340" s="650"/>
      <c r="F340" s="650"/>
      <c r="G340" s="650"/>
      <c r="H340" s="650"/>
      <c r="I340" s="650"/>
      <c r="J340" s="650"/>
      <c r="K340" s="529"/>
      <c r="L340" s="539"/>
      <c r="M340" s="539"/>
      <c r="N340" s="539"/>
      <c r="O340" s="539"/>
      <c r="P340" s="539"/>
      <c r="Q340" s="539"/>
      <c r="R340" s="535"/>
      <c r="S340" s="537"/>
      <c r="T340" s="535"/>
      <c r="U340" s="537"/>
      <c r="V340" s="529"/>
      <c r="W340" s="539"/>
      <c r="X340" s="539"/>
      <c r="Y340" s="539"/>
      <c r="Z340" s="539"/>
      <c r="AA340" s="539"/>
      <c r="AB340" s="539"/>
      <c r="AC340" s="529"/>
      <c r="AD340" s="539"/>
      <c r="AE340" s="539"/>
      <c r="AF340" s="539"/>
      <c r="AG340" s="539"/>
      <c r="AH340" s="539"/>
      <c r="AI340" s="539"/>
      <c r="AJ340" s="529"/>
      <c r="AK340" s="539"/>
      <c r="AL340" s="539"/>
      <c r="AM340" s="539"/>
      <c r="AN340" s="539"/>
      <c r="AO340" s="539"/>
      <c r="AP340" s="542"/>
      <c r="AQ340" s="549"/>
      <c r="AR340" s="550"/>
      <c r="AS340" s="550"/>
      <c r="AT340" s="550"/>
      <c r="AU340" s="550"/>
      <c r="AV340" s="550"/>
      <c r="AW340" s="551"/>
      <c r="AX340" s="495"/>
      <c r="AY340" s="496"/>
      <c r="AZ340" s="108">
        <v>6</v>
      </c>
      <c r="BA340" s="513"/>
      <c r="BB340" s="514"/>
      <c r="BC340" s="514"/>
      <c r="BD340" s="515"/>
      <c r="BE340" s="644"/>
      <c r="BF340" s="645"/>
      <c r="BG340" s="111"/>
      <c r="BH340" s="510"/>
      <c r="BI340" s="511"/>
      <c r="BJ340" s="511"/>
      <c r="BK340" s="511"/>
      <c r="BL340" s="511"/>
      <c r="BM340" s="512"/>
      <c r="BN340" s="510"/>
      <c r="BO340" s="511"/>
      <c r="BP340" s="511"/>
      <c r="BQ340" s="511"/>
      <c r="BR340" s="511"/>
      <c r="BS340" s="512"/>
      <c r="BT340" s="510"/>
      <c r="BU340" s="511"/>
      <c r="BV340" s="511"/>
      <c r="BW340" s="511"/>
      <c r="BX340" s="511"/>
      <c r="BY340" s="512"/>
      <c r="BZ340" s="513"/>
      <c r="CA340" s="514"/>
      <c r="CB340" s="514"/>
      <c r="CC340" s="515"/>
      <c r="CD340" s="477"/>
      <c r="CE340" s="478"/>
      <c r="CF340" s="478"/>
      <c r="CG340" s="478"/>
      <c r="CH340" s="479"/>
      <c r="CI340" s="477"/>
      <c r="CJ340" s="478"/>
      <c r="CK340" s="478"/>
      <c r="CL340" s="478"/>
      <c r="CM340" s="479"/>
      <c r="CN340" s="477"/>
      <c r="CO340" s="478"/>
      <c r="CP340" s="478"/>
      <c r="CQ340" s="478"/>
      <c r="CR340" s="479"/>
      <c r="CS340" s="480"/>
      <c r="CT340" s="481"/>
      <c r="CU340" s="481"/>
      <c r="CV340" s="481"/>
      <c r="CW340" s="482"/>
    </row>
    <row r="341" spans="1:101" s="91" customFormat="1" ht="16.5" x14ac:dyDescent="0.15">
      <c r="A341" s="516">
        <v>58</v>
      </c>
      <c r="B341" s="102"/>
      <c r="C341" s="216" t="str">
        <f t="shared" ca="1" si="9"/>
        <v/>
      </c>
      <c r="D341" s="519"/>
      <c r="E341" s="649"/>
      <c r="F341" s="649"/>
      <c r="G341" s="649"/>
      <c r="H341" s="649"/>
      <c r="I341" s="649"/>
      <c r="J341" s="649"/>
      <c r="K341" s="525"/>
      <c r="L341" s="538"/>
      <c r="M341" s="538"/>
      <c r="N341" s="538"/>
      <c r="O341" s="538"/>
      <c r="P341" s="538"/>
      <c r="Q341" s="538"/>
      <c r="R341" s="531"/>
      <c r="S341" s="532"/>
      <c r="T341" s="531"/>
      <c r="U341" s="532"/>
      <c r="V341" s="525"/>
      <c r="W341" s="538"/>
      <c r="X341" s="538"/>
      <c r="Y341" s="538"/>
      <c r="Z341" s="538"/>
      <c r="AA341" s="538"/>
      <c r="AB341" s="538"/>
      <c r="AC341" s="525"/>
      <c r="AD341" s="538"/>
      <c r="AE341" s="538"/>
      <c r="AF341" s="538"/>
      <c r="AG341" s="538"/>
      <c r="AH341" s="538"/>
      <c r="AI341" s="538"/>
      <c r="AJ341" s="525"/>
      <c r="AK341" s="538"/>
      <c r="AL341" s="538"/>
      <c r="AM341" s="538"/>
      <c r="AN341" s="538"/>
      <c r="AO341" s="538"/>
      <c r="AP341" s="540"/>
      <c r="AQ341" s="543"/>
      <c r="AR341" s="544"/>
      <c r="AS341" s="544"/>
      <c r="AT341" s="544"/>
      <c r="AU341" s="544"/>
      <c r="AV341" s="544"/>
      <c r="AW341" s="545"/>
      <c r="AX341" s="491"/>
      <c r="AY341" s="492"/>
      <c r="AZ341" s="103">
        <v>1</v>
      </c>
      <c r="BA341" s="552"/>
      <c r="BB341" s="553"/>
      <c r="BC341" s="553"/>
      <c r="BD341" s="554"/>
      <c r="BE341" s="500"/>
      <c r="BF341" s="501"/>
      <c r="BG341" s="104"/>
      <c r="BH341" s="502"/>
      <c r="BI341" s="503"/>
      <c r="BJ341" s="503"/>
      <c r="BK341" s="503"/>
      <c r="BL341" s="503"/>
      <c r="BM341" s="504"/>
      <c r="BN341" s="502"/>
      <c r="BO341" s="503"/>
      <c r="BP341" s="503"/>
      <c r="BQ341" s="503"/>
      <c r="BR341" s="503"/>
      <c r="BS341" s="504"/>
      <c r="BT341" s="502"/>
      <c r="BU341" s="503"/>
      <c r="BV341" s="503"/>
      <c r="BW341" s="503"/>
      <c r="BX341" s="503"/>
      <c r="BY341" s="504"/>
      <c r="BZ341" s="552"/>
      <c r="CA341" s="553"/>
      <c r="CB341" s="553"/>
      <c r="CC341" s="554"/>
      <c r="CD341" s="477"/>
      <c r="CE341" s="478"/>
      <c r="CF341" s="478"/>
      <c r="CG341" s="478"/>
      <c r="CH341" s="479"/>
      <c r="CI341" s="477"/>
      <c r="CJ341" s="478"/>
      <c r="CK341" s="478"/>
      <c r="CL341" s="478"/>
      <c r="CM341" s="479"/>
      <c r="CN341" s="477"/>
      <c r="CO341" s="478"/>
      <c r="CP341" s="478"/>
      <c r="CQ341" s="478"/>
      <c r="CR341" s="479"/>
      <c r="CS341" s="480"/>
      <c r="CT341" s="481"/>
      <c r="CU341" s="481"/>
      <c r="CV341" s="481"/>
      <c r="CW341" s="482"/>
    </row>
    <row r="342" spans="1:101" s="91" customFormat="1" ht="16.5" x14ac:dyDescent="0.15">
      <c r="A342" s="517"/>
      <c r="B342" s="102"/>
      <c r="C342" s="220" t="str">
        <f t="shared" ca="1" si="9"/>
        <v/>
      </c>
      <c r="D342" s="521"/>
      <c r="E342" s="522"/>
      <c r="F342" s="522"/>
      <c r="G342" s="522"/>
      <c r="H342" s="522"/>
      <c r="I342" s="522"/>
      <c r="J342" s="522"/>
      <c r="K342" s="527"/>
      <c r="L342" s="528"/>
      <c r="M342" s="528"/>
      <c r="N342" s="528"/>
      <c r="O342" s="528"/>
      <c r="P342" s="528"/>
      <c r="Q342" s="528"/>
      <c r="R342" s="533"/>
      <c r="S342" s="534"/>
      <c r="T342" s="533"/>
      <c r="U342" s="534"/>
      <c r="V342" s="527"/>
      <c r="W342" s="528"/>
      <c r="X342" s="528"/>
      <c r="Y342" s="528"/>
      <c r="Z342" s="528"/>
      <c r="AA342" s="528"/>
      <c r="AB342" s="528"/>
      <c r="AC342" s="527"/>
      <c r="AD342" s="528"/>
      <c r="AE342" s="528"/>
      <c r="AF342" s="528"/>
      <c r="AG342" s="528"/>
      <c r="AH342" s="528"/>
      <c r="AI342" s="528"/>
      <c r="AJ342" s="527"/>
      <c r="AK342" s="528"/>
      <c r="AL342" s="528"/>
      <c r="AM342" s="528"/>
      <c r="AN342" s="528"/>
      <c r="AO342" s="528"/>
      <c r="AP342" s="541"/>
      <c r="AQ342" s="546"/>
      <c r="AR342" s="547"/>
      <c r="AS342" s="547"/>
      <c r="AT342" s="547"/>
      <c r="AU342" s="547"/>
      <c r="AV342" s="547"/>
      <c r="AW342" s="548"/>
      <c r="AX342" s="493"/>
      <c r="AY342" s="494"/>
      <c r="AZ342" s="105">
        <v>2</v>
      </c>
      <c r="BA342" s="483"/>
      <c r="BB342" s="484"/>
      <c r="BC342" s="484"/>
      <c r="BD342" s="485"/>
      <c r="BE342" s="486"/>
      <c r="BF342" s="487"/>
      <c r="BG342" s="106"/>
      <c r="BH342" s="488"/>
      <c r="BI342" s="489"/>
      <c r="BJ342" s="489"/>
      <c r="BK342" s="489"/>
      <c r="BL342" s="489"/>
      <c r="BM342" s="490"/>
      <c r="BN342" s="488"/>
      <c r="BO342" s="489"/>
      <c r="BP342" s="489"/>
      <c r="BQ342" s="489"/>
      <c r="BR342" s="489"/>
      <c r="BS342" s="490"/>
      <c r="BT342" s="488"/>
      <c r="BU342" s="489"/>
      <c r="BV342" s="489"/>
      <c r="BW342" s="489"/>
      <c r="BX342" s="489"/>
      <c r="BY342" s="490"/>
      <c r="BZ342" s="483"/>
      <c r="CA342" s="484"/>
      <c r="CB342" s="484"/>
      <c r="CC342" s="485"/>
      <c r="CD342" s="477"/>
      <c r="CE342" s="478"/>
      <c r="CF342" s="478"/>
      <c r="CG342" s="478"/>
      <c r="CH342" s="479"/>
      <c r="CI342" s="477"/>
      <c r="CJ342" s="478"/>
      <c r="CK342" s="478"/>
      <c r="CL342" s="478"/>
      <c r="CM342" s="479"/>
      <c r="CN342" s="477"/>
      <c r="CO342" s="478"/>
      <c r="CP342" s="478"/>
      <c r="CQ342" s="478"/>
      <c r="CR342" s="479"/>
      <c r="CS342" s="480"/>
      <c r="CT342" s="481"/>
      <c r="CU342" s="481"/>
      <c r="CV342" s="481"/>
      <c r="CW342" s="482"/>
    </row>
    <row r="343" spans="1:101" s="91" customFormat="1" ht="16.5" x14ac:dyDescent="0.15">
      <c r="A343" s="517"/>
      <c r="B343" s="102"/>
      <c r="C343" s="220" t="str">
        <f t="shared" ca="1" si="9"/>
        <v/>
      </c>
      <c r="D343" s="521"/>
      <c r="E343" s="522"/>
      <c r="F343" s="522"/>
      <c r="G343" s="522"/>
      <c r="H343" s="522"/>
      <c r="I343" s="522"/>
      <c r="J343" s="522"/>
      <c r="K343" s="527"/>
      <c r="L343" s="528"/>
      <c r="M343" s="528"/>
      <c r="N343" s="528"/>
      <c r="O343" s="528"/>
      <c r="P343" s="528"/>
      <c r="Q343" s="528"/>
      <c r="R343" s="533"/>
      <c r="S343" s="534"/>
      <c r="T343" s="533"/>
      <c r="U343" s="534"/>
      <c r="V343" s="527"/>
      <c r="W343" s="528"/>
      <c r="X343" s="528"/>
      <c r="Y343" s="528"/>
      <c r="Z343" s="528"/>
      <c r="AA343" s="528"/>
      <c r="AB343" s="528"/>
      <c r="AC343" s="527"/>
      <c r="AD343" s="528"/>
      <c r="AE343" s="528"/>
      <c r="AF343" s="528"/>
      <c r="AG343" s="528"/>
      <c r="AH343" s="528"/>
      <c r="AI343" s="528"/>
      <c r="AJ343" s="527"/>
      <c r="AK343" s="528"/>
      <c r="AL343" s="528"/>
      <c r="AM343" s="528"/>
      <c r="AN343" s="528"/>
      <c r="AO343" s="528"/>
      <c r="AP343" s="541"/>
      <c r="AQ343" s="546"/>
      <c r="AR343" s="547"/>
      <c r="AS343" s="547"/>
      <c r="AT343" s="547"/>
      <c r="AU343" s="547"/>
      <c r="AV343" s="547"/>
      <c r="AW343" s="548"/>
      <c r="AX343" s="493"/>
      <c r="AY343" s="494"/>
      <c r="AZ343" s="105">
        <v>3</v>
      </c>
      <c r="BA343" s="483"/>
      <c r="BB343" s="484"/>
      <c r="BC343" s="484"/>
      <c r="BD343" s="485"/>
      <c r="BE343" s="486"/>
      <c r="BF343" s="487"/>
      <c r="BG343" s="106"/>
      <c r="BH343" s="488"/>
      <c r="BI343" s="489"/>
      <c r="BJ343" s="489"/>
      <c r="BK343" s="489"/>
      <c r="BL343" s="489"/>
      <c r="BM343" s="490"/>
      <c r="BN343" s="488"/>
      <c r="BO343" s="489"/>
      <c r="BP343" s="489"/>
      <c r="BQ343" s="489"/>
      <c r="BR343" s="489"/>
      <c r="BS343" s="490"/>
      <c r="BT343" s="488"/>
      <c r="BU343" s="489"/>
      <c r="BV343" s="489"/>
      <c r="BW343" s="489"/>
      <c r="BX343" s="489"/>
      <c r="BY343" s="490"/>
      <c r="BZ343" s="483"/>
      <c r="CA343" s="484"/>
      <c r="CB343" s="484"/>
      <c r="CC343" s="485"/>
      <c r="CD343" s="477"/>
      <c r="CE343" s="478"/>
      <c r="CF343" s="478"/>
      <c r="CG343" s="478"/>
      <c r="CH343" s="479"/>
      <c r="CI343" s="477"/>
      <c r="CJ343" s="478"/>
      <c r="CK343" s="478"/>
      <c r="CL343" s="478"/>
      <c r="CM343" s="479"/>
      <c r="CN343" s="477"/>
      <c r="CO343" s="478"/>
      <c r="CP343" s="478"/>
      <c r="CQ343" s="478"/>
      <c r="CR343" s="479"/>
      <c r="CS343" s="480"/>
      <c r="CT343" s="481"/>
      <c r="CU343" s="481"/>
      <c r="CV343" s="481"/>
      <c r="CW343" s="482"/>
    </row>
    <row r="344" spans="1:101" s="91" customFormat="1" ht="16.5" x14ac:dyDescent="0.15">
      <c r="A344" s="517"/>
      <c r="B344" s="102"/>
      <c r="C344" s="220" t="str">
        <f t="shared" ca="1" si="9"/>
        <v/>
      </c>
      <c r="D344" s="521"/>
      <c r="E344" s="522"/>
      <c r="F344" s="522"/>
      <c r="G344" s="522"/>
      <c r="H344" s="522"/>
      <c r="I344" s="522"/>
      <c r="J344" s="522"/>
      <c r="K344" s="527"/>
      <c r="L344" s="528"/>
      <c r="M344" s="528"/>
      <c r="N344" s="528"/>
      <c r="O344" s="528"/>
      <c r="P344" s="528"/>
      <c r="Q344" s="528"/>
      <c r="R344" s="533"/>
      <c r="S344" s="534"/>
      <c r="T344" s="533"/>
      <c r="U344" s="534"/>
      <c r="V344" s="527"/>
      <c r="W344" s="528"/>
      <c r="X344" s="528"/>
      <c r="Y344" s="528"/>
      <c r="Z344" s="528"/>
      <c r="AA344" s="528"/>
      <c r="AB344" s="528"/>
      <c r="AC344" s="527"/>
      <c r="AD344" s="528"/>
      <c r="AE344" s="528"/>
      <c r="AF344" s="528"/>
      <c r="AG344" s="528"/>
      <c r="AH344" s="528"/>
      <c r="AI344" s="528"/>
      <c r="AJ344" s="527"/>
      <c r="AK344" s="528"/>
      <c r="AL344" s="528"/>
      <c r="AM344" s="528"/>
      <c r="AN344" s="528"/>
      <c r="AO344" s="528"/>
      <c r="AP344" s="541"/>
      <c r="AQ344" s="546"/>
      <c r="AR344" s="547"/>
      <c r="AS344" s="547"/>
      <c r="AT344" s="547"/>
      <c r="AU344" s="547"/>
      <c r="AV344" s="547"/>
      <c r="AW344" s="548"/>
      <c r="AX344" s="493"/>
      <c r="AY344" s="494"/>
      <c r="AZ344" s="105">
        <v>4</v>
      </c>
      <c r="BA344" s="483"/>
      <c r="BB344" s="484"/>
      <c r="BC344" s="484"/>
      <c r="BD344" s="485"/>
      <c r="BE344" s="486"/>
      <c r="BF344" s="487"/>
      <c r="BG344" s="106"/>
      <c r="BH344" s="488"/>
      <c r="BI344" s="489"/>
      <c r="BJ344" s="489"/>
      <c r="BK344" s="489"/>
      <c r="BL344" s="489"/>
      <c r="BM344" s="490"/>
      <c r="BN344" s="488"/>
      <c r="BO344" s="489"/>
      <c r="BP344" s="489"/>
      <c r="BQ344" s="489"/>
      <c r="BR344" s="489"/>
      <c r="BS344" s="490"/>
      <c r="BT344" s="488"/>
      <c r="BU344" s="489"/>
      <c r="BV344" s="489"/>
      <c r="BW344" s="489"/>
      <c r="BX344" s="489"/>
      <c r="BY344" s="490"/>
      <c r="BZ344" s="483"/>
      <c r="CA344" s="484"/>
      <c r="CB344" s="484"/>
      <c r="CC344" s="485"/>
      <c r="CD344" s="477"/>
      <c r="CE344" s="478"/>
      <c r="CF344" s="478"/>
      <c r="CG344" s="478"/>
      <c r="CH344" s="479"/>
      <c r="CI344" s="477"/>
      <c r="CJ344" s="478"/>
      <c r="CK344" s="478"/>
      <c r="CL344" s="478"/>
      <c r="CM344" s="479"/>
      <c r="CN344" s="477"/>
      <c r="CO344" s="478"/>
      <c r="CP344" s="478"/>
      <c r="CQ344" s="478"/>
      <c r="CR344" s="479"/>
      <c r="CS344" s="480"/>
      <c r="CT344" s="481"/>
      <c r="CU344" s="481"/>
      <c r="CV344" s="481"/>
      <c r="CW344" s="482"/>
    </row>
    <row r="345" spans="1:101" s="91" customFormat="1" ht="16.5" x14ac:dyDescent="0.15">
      <c r="A345" s="517"/>
      <c r="B345" s="102"/>
      <c r="C345" s="220" t="str">
        <f t="shared" ref="C345:C352" ca="1" si="10">IF(AND(OFFSET($K345,-($AZ345-1),0)&lt;&gt;"",OFFSET($R345,-($AZ345-1),0)&lt;&gt;"x"),"@","")</f>
        <v/>
      </c>
      <c r="D345" s="521"/>
      <c r="E345" s="522"/>
      <c r="F345" s="522"/>
      <c r="G345" s="522"/>
      <c r="H345" s="522"/>
      <c r="I345" s="522"/>
      <c r="J345" s="522"/>
      <c r="K345" s="527"/>
      <c r="L345" s="528"/>
      <c r="M345" s="528"/>
      <c r="N345" s="528"/>
      <c r="O345" s="528"/>
      <c r="P345" s="528"/>
      <c r="Q345" s="528"/>
      <c r="R345" s="533"/>
      <c r="S345" s="534"/>
      <c r="T345" s="533"/>
      <c r="U345" s="534"/>
      <c r="V345" s="527"/>
      <c r="W345" s="528"/>
      <c r="X345" s="528"/>
      <c r="Y345" s="528"/>
      <c r="Z345" s="528"/>
      <c r="AA345" s="528"/>
      <c r="AB345" s="528"/>
      <c r="AC345" s="527"/>
      <c r="AD345" s="528"/>
      <c r="AE345" s="528"/>
      <c r="AF345" s="528"/>
      <c r="AG345" s="528"/>
      <c r="AH345" s="528"/>
      <c r="AI345" s="528"/>
      <c r="AJ345" s="527"/>
      <c r="AK345" s="528"/>
      <c r="AL345" s="528"/>
      <c r="AM345" s="528"/>
      <c r="AN345" s="528"/>
      <c r="AO345" s="528"/>
      <c r="AP345" s="541"/>
      <c r="AQ345" s="546"/>
      <c r="AR345" s="547"/>
      <c r="AS345" s="547"/>
      <c r="AT345" s="547"/>
      <c r="AU345" s="547"/>
      <c r="AV345" s="547"/>
      <c r="AW345" s="548"/>
      <c r="AX345" s="493"/>
      <c r="AY345" s="494"/>
      <c r="AZ345" s="105">
        <v>5</v>
      </c>
      <c r="BA345" s="483"/>
      <c r="BB345" s="484"/>
      <c r="BC345" s="484"/>
      <c r="BD345" s="485"/>
      <c r="BE345" s="486"/>
      <c r="BF345" s="487"/>
      <c r="BG345" s="106"/>
      <c r="BH345" s="488"/>
      <c r="BI345" s="489"/>
      <c r="BJ345" s="489"/>
      <c r="BK345" s="489"/>
      <c r="BL345" s="489"/>
      <c r="BM345" s="490"/>
      <c r="BN345" s="488"/>
      <c r="BO345" s="489"/>
      <c r="BP345" s="489"/>
      <c r="BQ345" s="489"/>
      <c r="BR345" s="489"/>
      <c r="BS345" s="490"/>
      <c r="BT345" s="488"/>
      <c r="BU345" s="489"/>
      <c r="BV345" s="489"/>
      <c r="BW345" s="489"/>
      <c r="BX345" s="489"/>
      <c r="BY345" s="490"/>
      <c r="BZ345" s="483"/>
      <c r="CA345" s="484"/>
      <c r="CB345" s="484"/>
      <c r="CC345" s="485"/>
      <c r="CD345" s="477"/>
      <c r="CE345" s="478"/>
      <c r="CF345" s="478"/>
      <c r="CG345" s="478"/>
      <c r="CH345" s="479"/>
      <c r="CI345" s="477"/>
      <c r="CJ345" s="478"/>
      <c r="CK345" s="478"/>
      <c r="CL345" s="478"/>
      <c r="CM345" s="479"/>
      <c r="CN345" s="477"/>
      <c r="CO345" s="478"/>
      <c r="CP345" s="478"/>
      <c r="CQ345" s="478"/>
      <c r="CR345" s="479"/>
      <c r="CS345" s="480"/>
      <c r="CT345" s="481"/>
      <c r="CU345" s="481"/>
      <c r="CV345" s="481"/>
      <c r="CW345" s="482"/>
    </row>
    <row r="346" spans="1:101" s="91" customFormat="1" ht="16.5" x14ac:dyDescent="0.15">
      <c r="A346" s="518"/>
      <c r="B346" s="107"/>
      <c r="C346" s="219" t="str">
        <f t="shared" ca="1" si="10"/>
        <v/>
      </c>
      <c r="D346" s="523"/>
      <c r="E346" s="650"/>
      <c r="F346" s="650"/>
      <c r="G346" s="650"/>
      <c r="H346" s="650"/>
      <c r="I346" s="650"/>
      <c r="J346" s="650"/>
      <c r="K346" s="529"/>
      <c r="L346" s="539"/>
      <c r="M346" s="539"/>
      <c r="N346" s="539"/>
      <c r="O346" s="539"/>
      <c r="P346" s="539"/>
      <c r="Q346" s="539"/>
      <c r="R346" s="535"/>
      <c r="S346" s="537"/>
      <c r="T346" s="535"/>
      <c r="U346" s="537"/>
      <c r="V346" s="529"/>
      <c r="W346" s="539"/>
      <c r="X346" s="539"/>
      <c r="Y346" s="539"/>
      <c r="Z346" s="539"/>
      <c r="AA346" s="539"/>
      <c r="AB346" s="539"/>
      <c r="AC346" s="529"/>
      <c r="AD346" s="539"/>
      <c r="AE346" s="539"/>
      <c r="AF346" s="539"/>
      <c r="AG346" s="539"/>
      <c r="AH346" s="539"/>
      <c r="AI346" s="539"/>
      <c r="AJ346" s="529"/>
      <c r="AK346" s="539"/>
      <c r="AL346" s="539"/>
      <c r="AM346" s="539"/>
      <c r="AN346" s="539"/>
      <c r="AO346" s="539"/>
      <c r="AP346" s="542"/>
      <c r="AQ346" s="549"/>
      <c r="AR346" s="550"/>
      <c r="AS346" s="550"/>
      <c r="AT346" s="550"/>
      <c r="AU346" s="550"/>
      <c r="AV346" s="550"/>
      <c r="AW346" s="551"/>
      <c r="AX346" s="495"/>
      <c r="AY346" s="496"/>
      <c r="AZ346" s="108">
        <v>6</v>
      </c>
      <c r="BA346" s="505"/>
      <c r="BB346" s="506"/>
      <c r="BC346" s="506"/>
      <c r="BD346" s="507"/>
      <c r="BE346" s="644"/>
      <c r="BF346" s="645"/>
      <c r="BG346" s="109"/>
      <c r="BH346" s="510"/>
      <c r="BI346" s="511"/>
      <c r="BJ346" s="511"/>
      <c r="BK346" s="511"/>
      <c r="BL346" s="511"/>
      <c r="BM346" s="512"/>
      <c r="BN346" s="510"/>
      <c r="BO346" s="511"/>
      <c r="BP346" s="511"/>
      <c r="BQ346" s="511"/>
      <c r="BR346" s="511"/>
      <c r="BS346" s="512"/>
      <c r="BT346" s="510"/>
      <c r="BU346" s="511"/>
      <c r="BV346" s="511"/>
      <c r="BW346" s="511"/>
      <c r="BX346" s="511"/>
      <c r="BY346" s="512"/>
      <c r="BZ346" s="505"/>
      <c r="CA346" s="506"/>
      <c r="CB346" s="506"/>
      <c r="CC346" s="507"/>
      <c r="CD346" s="477"/>
      <c r="CE346" s="478"/>
      <c r="CF346" s="478"/>
      <c r="CG346" s="478"/>
      <c r="CH346" s="479"/>
      <c r="CI346" s="477"/>
      <c r="CJ346" s="478"/>
      <c r="CK346" s="478"/>
      <c r="CL346" s="478"/>
      <c r="CM346" s="479"/>
      <c r="CN346" s="477"/>
      <c r="CO346" s="478"/>
      <c r="CP346" s="478"/>
      <c r="CQ346" s="478"/>
      <c r="CR346" s="479"/>
      <c r="CS346" s="480"/>
      <c r="CT346" s="481"/>
      <c r="CU346" s="481"/>
      <c r="CV346" s="481"/>
      <c r="CW346" s="482"/>
    </row>
    <row r="347" spans="1:101" s="91" customFormat="1" ht="16.5" x14ac:dyDescent="0.15">
      <c r="A347" s="516">
        <v>59</v>
      </c>
      <c r="B347" s="102"/>
      <c r="C347" s="222" t="str">
        <f t="shared" ca="1" si="10"/>
        <v/>
      </c>
      <c r="D347" s="519"/>
      <c r="E347" s="649"/>
      <c r="F347" s="649"/>
      <c r="G347" s="649"/>
      <c r="H347" s="649"/>
      <c r="I347" s="649"/>
      <c r="J347" s="649"/>
      <c r="K347" s="525"/>
      <c r="L347" s="538"/>
      <c r="M347" s="538"/>
      <c r="N347" s="538"/>
      <c r="O347" s="538"/>
      <c r="P347" s="538"/>
      <c r="Q347" s="538"/>
      <c r="R347" s="531"/>
      <c r="S347" s="532"/>
      <c r="T347" s="531"/>
      <c r="U347" s="532"/>
      <c r="V347" s="525"/>
      <c r="W347" s="538"/>
      <c r="X347" s="538"/>
      <c r="Y347" s="538"/>
      <c r="Z347" s="538"/>
      <c r="AA347" s="538"/>
      <c r="AB347" s="538"/>
      <c r="AC347" s="525"/>
      <c r="AD347" s="538"/>
      <c r="AE347" s="538"/>
      <c r="AF347" s="538"/>
      <c r="AG347" s="538"/>
      <c r="AH347" s="538"/>
      <c r="AI347" s="538"/>
      <c r="AJ347" s="525"/>
      <c r="AK347" s="538"/>
      <c r="AL347" s="538"/>
      <c r="AM347" s="538"/>
      <c r="AN347" s="538"/>
      <c r="AO347" s="538"/>
      <c r="AP347" s="540"/>
      <c r="AQ347" s="543"/>
      <c r="AR347" s="544"/>
      <c r="AS347" s="544"/>
      <c r="AT347" s="544"/>
      <c r="AU347" s="544"/>
      <c r="AV347" s="544"/>
      <c r="AW347" s="545"/>
      <c r="AX347" s="491"/>
      <c r="AY347" s="492"/>
      <c r="AZ347" s="103">
        <v>1</v>
      </c>
      <c r="BA347" s="497"/>
      <c r="BB347" s="498"/>
      <c r="BC347" s="498"/>
      <c r="BD347" s="499"/>
      <c r="BE347" s="500"/>
      <c r="BF347" s="501"/>
      <c r="BG347" s="110"/>
      <c r="BH347" s="502"/>
      <c r="BI347" s="503"/>
      <c r="BJ347" s="503"/>
      <c r="BK347" s="503"/>
      <c r="BL347" s="503"/>
      <c r="BM347" s="504"/>
      <c r="BN347" s="502"/>
      <c r="BO347" s="503"/>
      <c r="BP347" s="503"/>
      <c r="BQ347" s="503"/>
      <c r="BR347" s="503"/>
      <c r="BS347" s="504"/>
      <c r="BT347" s="502"/>
      <c r="BU347" s="503"/>
      <c r="BV347" s="503"/>
      <c r="BW347" s="503"/>
      <c r="BX347" s="503"/>
      <c r="BY347" s="504"/>
      <c r="BZ347" s="497"/>
      <c r="CA347" s="498"/>
      <c r="CB347" s="498"/>
      <c r="CC347" s="499"/>
      <c r="CD347" s="477"/>
      <c r="CE347" s="478"/>
      <c r="CF347" s="478"/>
      <c r="CG347" s="478"/>
      <c r="CH347" s="479"/>
      <c r="CI347" s="477"/>
      <c r="CJ347" s="478"/>
      <c r="CK347" s="478"/>
      <c r="CL347" s="478"/>
      <c r="CM347" s="479"/>
      <c r="CN347" s="477"/>
      <c r="CO347" s="478"/>
      <c r="CP347" s="478"/>
      <c r="CQ347" s="478"/>
      <c r="CR347" s="479"/>
      <c r="CS347" s="480"/>
      <c r="CT347" s="481"/>
      <c r="CU347" s="481"/>
      <c r="CV347" s="481"/>
      <c r="CW347" s="482"/>
    </row>
    <row r="348" spans="1:101" s="91" customFormat="1" ht="16.5" x14ac:dyDescent="0.15">
      <c r="A348" s="517"/>
      <c r="B348" s="102"/>
      <c r="C348" s="220" t="str">
        <f t="shared" ca="1" si="10"/>
        <v/>
      </c>
      <c r="D348" s="521"/>
      <c r="E348" s="522"/>
      <c r="F348" s="522"/>
      <c r="G348" s="522"/>
      <c r="H348" s="522"/>
      <c r="I348" s="522"/>
      <c r="J348" s="522"/>
      <c r="K348" s="527"/>
      <c r="L348" s="528"/>
      <c r="M348" s="528"/>
      <c r="N348" s="528"/>
      <c r="O348" s="528"/>
      <c r="P348" s="528"/>
      <c r="Q348" s="528"/>
      <c r="R348" s="533"/>
      <c r="S348" s="534"/>
      <c r="T348" s="533"/>
      <c r="U348" s="534"/>
      <c r="V348" s="527"/>
      <c r="W348" s="528"/>
      <c r="X348" s="528"/>
      <c r="Y348" s="528"/>
      <c r="Z348" s="528"/>
      <c r="AA348" s="528"/>
      <c r="AB348" s="528"/>
      <c r="AC348" s="527"/>
      <c r="AD348" s="528"/>
      <c r="AE348" s="528"/>
      <c r="AF348" s="528"/>
      <c r="AG348" s="528"/>
      <c r="AH348" s="528"/>
      <c r="AI348" s="528"/>
      <c r="AJ348" s="527"/>
      <c r="AK348" s="528"/>
      <c r="AL348" s="528"/>
      <c r="AM348" s="528"/>
      <c r="AN348" s="528"/>
      <c r="AO348" s="528"/>
      <c r="AP348" s="541"/>
      <c r="AQ348" s="546"/>
      <c r="AR348" s="547"/>
      <c r="AS348" s="547"/>
      <c r="AT348" s="547"/>
      <c r="AU348" s="547"/>
      <c r="AV348" s="547"/>
      <c r="AW348" s="548"/>
      <c r="AX348" s="493"/>
      <c r="AY348" s="494"/>
      <c r="AZ348" s="105">
        <v>2</v>
      </c>
      <c r="BA348" s="483"/>
      <c r="BB348" s="484"/>
      <c r="BC348" s="484"/>
      <c r="BD348" s="485"/>
      <c r="BE348" s="486"/>
      <c r="BF348" s="487"/>
      <c r="BG348" s="106"/>
      <c r="BH348" s="488"/>
      <c r="BI348" s="489"/>
      <c r="BJ348" s="489"/>
      <c r="BK348" s="489"/>
      <c r="BL348" s="489"/>
      <c r="BM348" s="490"/>
      <c r="BN348" s="488"/>
      <c r="BO348" s="489"/>
      <c r="BP348" s="489"/>
      <c r="BQ348" s="489"/>
      <c r="BR348" s="489"/>
      <c r="BS348" s="490"/>
      <c r="BT348" s="488"/>
      <c r="BU348" s="489"/>
      <c r="BV348" s="489"/>
      <c r="BW348" s="489"/>
      <c r="BX348" s="489"/>
      <c r="BY348" s="490"/>
      <c r="BZ348" s="483"/>
      <c r="CA348" s="484"/>
      <c r="CB348" s="484"/>
      <c r="CC348" s="485"/>
      <c r="CD348" s="477"/>
      <c r="CE348" s="478"/>
      <c r="CF348" s="478"/>
      <c r="CG348" s="478"/>
      <c r="CH348" s="479"/>
      <c r="CI348" s="477"/>
      <c r="CJ348" s="478"/>
      <c r="CK348" s="478"/>
      <c r="CL348" s="478"/>
      <c r="CM348" s="479"/>
      <c r="CN348" s="477"/>
      <c r="CO348" s="478"/>
      <c r="CP348" s="478"/>
      <c r="CQ348" s="478"/>
      <c r="CR348" s="479"/>
      <c r="CS348" s="480"/>
      <c r="CT348" s="481"/>
      <c r="CU348" s="481"/>
      <c r="CV348" s="481"/>
      <c r="CW348" s="482"/>
    </row>
    <row r="349" spans="1:101" s="91" customFormat="1" ht="16.5" x14ac:dyDescent="0.15">
      <c r="A349" s="517"/>
      <c r="B349" s="102"/>
      <c r="C349" s="220" t="str">
        <f t="shared" ca="1" si="10"/>
        <v/>
      </c>
      <c r="D349" s="521"/>
      <c r="E349" s="522"/>
      <c r="F349" s="522"/>
      <c r="G349" s="522"/>
      <c r="H349" s="522"/>
      <c r="I349" s="522"/>
      <c r="J349" s="522"/>
      <c r="K349" s="527"/>
      <c r="L349" s="528"/>
      <c r="M349" s="528"/>
      <c r="N349" s="528"/>
      <c r="O349" s="528"/>
      <c r="P349" s="528"/>
      <c r="Q349" s="528"/>
      <c r="R349" s="533"/>
      <c r="S349" s="534"/>
      <c r="T349" s="533"/>
      <c r="U349" s="534"/>
      <c r="V349" s="527"/>
      <c r="W349" s="528"/>
      <c r="X349" s="528"/>
      <c r="Y349" s="528"/>
      <c r="Z349" s="528"/>
      <c r="AA349" s="528"/>
      <c r="AB349" s="528"/>
      <c r="AC349" s="527"/>
      <c r="AD349" s="528"/>
      <c r="AE349" s="528"/>
      <c r="AF349" s="528"/>
      <c r="AG349" s="528"/>
      <c r="AH349" s="528"/>
      <c r="AI349" s="528"/>
      <c r="AJ349" s="527"/>
      <c r="AK349" s="528"/>
      <c r="AL349" s="528"/>
      <c r="AM349" s="528"/>
      <c r="AN349" s="528"/>
      <c r="AO349" s="528"/>
      <c r="AP349" s="541"/>
      <c r="AQ349" s="546"/>
      <c r="AR349" s="547"/>
      <c r="AS349" s="547"/>
      <c r="AT349" s="547"/>
      <c r="AU349" s="547"/>
      <c r="AV349" s="547"/>
      <c r="AW349" s="548"/>
      <c r="AX349" s="493"/>
      <c r="AY349" s="494"/>
      <c r="AZ349" s="105">
        <v>3</v>
      </c>
      <c r="BA349" s="483"/>
      <c r="BB349" s="484"/>
      <c r="BC349" s="484"/>
      <c r="BD349" s="485"/>
      <c r="BE349" s="486"/>
      <c r="BF349" s="487"/>
      <c r="BG349" s="106"/>
      <c r="BH349" s="488"/>
      <c r="BI349" s="489"/>
      <c r="BJ349" s="489"/>
      <c r="BK349" s="489"/>
      <c r="BL349" s="489"/>
      <c r="BM349" s="490"/>
      <c r="BN349" s="488"/>
      <c r="BO349" s="489"/>
      <c r="BP349" s="489"/>
      <c r="BQ349" s="489"/>
      <c r="BR349" s="489"/>
      <c r="BS349" s="490"/>
      <c r="BT349" s="488"/>
      <c r="BU349" s="489"/>
      <c r="BV349" s="489"/>
      <c r="BW349" s="489"/>
      <c r="BX349" s="489"/>
      <c r="BY349" s="490"/>
      <c r="BZ349" s="483"/>
      <c r="CA349" s="484"/>
      <c r="CB349" s="484"/>
      <c r="CC349" s="485"/>
      <c r="CD349" s="477"/>
      <c r="CE349" s="478"/>
      <c r="CF349" s="478"/>
      <c r="CG349" s="478"/>
      <c r="CH349" s="479"/>
      <c r="CI349" s="477"/>
      <c r="CJ349" s="478"/>
      <c r="CK349" s="478"/>
      <c r="CL349" s="478"/>
      <c r="CM349" s="479"/>
      <c r="CN349" s="477"/>
      <c r="CO349" s="478"/>
      <c r="CP349" s="478"/>
      <c r="CQ349" s="478"/>
      <c r="CR349" s="479"/>
      <c r="CS349" s="480"/>
      <c r="CT349" s="481"/>
      <c r="CU349" s="481"/>
      <c r="CV349" s="481"/>
      <c r="CW349" s="482"/>
    </row>
    <row r="350" spans="1:101" s="91" customFormat="1" ht="16.5" x14ac:dyDescent="0.15">
      <c r="A350" s="517"/>
      <c r="B350" s="102"/>
      <c r="C350" s="220" t="str">
        <f t="shared" ca="1" si="10"/>
        <v/>
      </c>
      <c r="D350" s="521"/>
      <c r="E350" s="522"/>
      <c r="F350" s="522"/>
      <c r="G350" s="522"/>
      <c r="H350" s="522"/>
      <c r="I350" s="522"/>
      <c r="J350" s="522"/>
      <c r="K350" s="527"/>
      <c r="L350" s="528"/>
      <c r="M350" s="528"/>
      <c r="N350" s="528"/>
      <c r="O350" s="528"/>
      <c r="P350" s="528"/>
      <c r="Q350" s="528"/>
      <c r="R350" s="533"/>
      <c r="S350" s="534"/>
      <c r="T350" s="533"/>
      <c r="U350" s="534"/>
      <c r="V350" s="527"/>
      <c r="W350" s="528"/>
      <c r="X350" s="528"/>
      <c r="Y350" s="528"/>
      <c r="Z350" s="528"/>
      <c r="AA350" s="528"/>
      <c r="AB350" s="528"/>
      <c r="AC350" s="527"/>
      <c r="AD350" s="528"/>
      <c r="AE350" s="528"/>
      <c r="AF350" s="528"/>
      <c r="AG350" s="528"/>
      <c r="AH350" s="528"/>
      <c r="AI350" s="528"/>
      <c r="AJ350" s="527"/>
      <c r="AK350" s="528"/>
      <c r="AL350" s="528"/>
      <c r="AM350" s="528"/>
      <c r="AN350" s="528"/>
      <c r="AO350" s="528"/>
      <c r="AP350" s="541"/>
      <c r="AQ350" s="546"/>
      <c r="AR350" s="547"/>
      <c r="AS350" s="547"/>
      <c r="AT350" s="547"/>
      <c r="AU350" s="547"/>
      <c r="AV350" s="547"/>
      <c r="AW350" s="548"/>
      <c r="AX350" s="493"/>
      <c r="AY350" s="494"/>
      <c r="AZ350" s="105">
        <v>4</v>
      </c>
      <c r="BA350" s="483"/>
      <c r="BB350" s="484"/>
      <c r="BC350" s="484"/>
      <c r="BD350" s="485"/>
      <c r="BE350" s="486"/>
      <c r="BF350" s="487"/>
      <c r="BG350" s="106"/>
      <c r="BH350" s="488"/>
      <c r="BI350" s="489"/>
      <c r="BJ350" s="489"/>
      <c r="BK350" s="489"/>
      <c r="BL350" s="489"/>
      <c r="BM350" s="490"/>
      <c r="BN350" s="488"/>
      <c r="BO350" s="489"/>
      <c r="BP350" s="489"/>
      <c r="BQ350" s="489"/>
      <c r="BR350" s="489"/>
      <c r="BS350" s="490"/>
      <c r="BT350" s="488"/>
      <c r="BU350" s="489"/>
      <c r="BV350" s="489"/>
      <c r="BW350" s="489"/>
      <c r="BX350" s="489"/>
      <c r="BY350" s="490"/>
      <c r="BZ350" s="483"/>
      <c r="CA350" s="484"/>
      <c r="CB350" s="484"/>
      <c r="CC350" s="485"/>
      <c r="CD350" s="477"/>
      <c r="CE350" s="478"/>
      <c r="CF350" s="478"/>
      <c r="CG350" s="478"/>
      <c r="CH350" s="479"/>
      <c r="CI350" s="477"/>
      <c r="CJ350" s="478"/>
      <c r="CK350" s="478"/>
      <c r="CL350" s="478"/>
      <c r="CM350" s="479"/>
      <c r="CN350" s="477"/>
      <c r="CO350" s="478"/>
      <c r="CP350" s="478"/>
      <c r="CQ350" s="478"/>
      <c r="CR350" s="479"/>
      <c r="CS350" s="480"/>
      <c r="CT350" s="481"/>
      <c r="CU350" s="481"/>
      <c r="CV350" s="481"/>
      <c r="CW350" s="482"/>
    </row>
    <row r="351" spans="1:101" s="91" customFormat="1" ht="16.5" x14ac:dyDescent="0.15">
      <c r="A351" s="517"/>
      <c r="B351" s="102"/>
      <c r="C351" s="220" t="str">
        <f t="shared" ca="1" si="10"/>
        <v/>
      </c>
      <c r="D351" s="521"/>
      <c r="E351" s="522"/>
      <c r="F351" s="522"/>
      <c r="G351" s="522"/>
      <c r="H351" s="522"/>
      <c r="I351" s="522"/>
      <c r="J351" s="522"/>
      <c r="K351" s="527"/>
      <c r="L351" s="528"/>
      <c r="M351" s="528"/>
      <c r="N351" s="528"/>
      <c r="O351" s="528"/>
      <c r="P351" s="528"/>
      <c r="Q351" s="528"/>
      <c r="R351" s="533"/>
      <c r="S351" s="534"/>
      <c r="T351" s="533"/>
      <c r="U351" s="534"/>
      <c r="V351" s="527"/>
      <c r="W351" s="528"/>
      <c r="X351" s="528"/>
      <c r="Y351" s="528"/>
      <c r="Z351" s="528"/>
      <c r="AA351" s="528"/>
      <c r="AB351" s="528"/>
      <c r="AC351" s="527"/>
      <c r="AD351" s="528"/>
      <c r="AE351" s="528"/>
      <c r="AF351" s="528"/>
      <c r="AG351" s="528"/>
      <c r="AH351" s="528"/>
      <c r="AI351" s="528"/>
      <c r="AJ351" s="527"/>
      <c r="AK351" s="528"/>
      <c r="AL351" s="528"/>
      <c r="AM351" s="528"/>
      <c r="AN351" s="528"/>
      <c r="AO351" s="528"/>
      <c r="AP351" s="541"/>
      <c r="AQ351" s="546"/>
      <c r="AR351" s="547"/>
      <c r="AS351" s="547"/>
      <c r="AT351" s="547"/>
      <c r="AU351" s="547"/>
      <c r="AV351" s="547"/>
      <c r="AW351" s="548"/>
      <c r="AX351" s="493"/>
      <c r="AY351" s="494"/>
      <c r="AZ351" s="105">
        <v>5</v>
      </c>
      <c r="BA351" s="483"/>
      <c r="BB351" s="484"/>
      <c r="BC351" s="484"/>
      <c r="BD351" s="485"/>
      <c r="BE351" s="486"/>
      <c r="BF351" s="487"/>
      <c r="BG351" s="106"/>
      <c r="BH351" s="488"/>
      <c r="BI351" s="489"/>
      <c r="BJ351" s="489"/>
      <c r="BK351" s="489"/>
      <c r="BL351" s="489"/>
      <c r="BM351" s="490"/>
      <c r="BN351" s="488"/>
      <c r="BO351" s="489"/>
      <c r="BP351" s="489"/>
      <c r="BQ351" s="489"/>
      <c r="BR351" s="489"/>
      <c r="BS351" s="490"/>
      <c r="BT351" s="488"/>
      <c r="BU351" s="489"/>
      <c r="BV351" s="489"/>
      <c r="BW351" s="489"/>
      <c r="BX351" s="489"/>
      <c r="BY351" s="490"/>
      <c r="BZ351" s="483"/>
      <c r="CA351" s="484"/>
      <c r="CB351" s="484"/>
      <c r="CC351" s="485"/>
      <c r="CD351" s="477"/>
      <c r="CE351" s="478"/>
      <c r="CF351" s="478"/>
      <c r="CG351" s="478"/>
      <c r="CH351" s="479"/>
      <c r="CI351" s="477"/>
      <c r="CJ351" s="478"/>
      <c r="CK351" s="478"/>
      <c r="CL351" s="478"/>
      <c r="CM351" s="479"/>
      <c r="CN351" s="477"/>
      <c r="CO351" s="478"/>
      <c r="CP351" s="478"/>
      <c r="CQ351" s="478"/>
      <c r="CR351" s="479"/>
      <c r="CS351" s="480"/>
      <c r="CT351" s="481"/>
      <c r="CU351" s="481"/>
      <c r="CV351" s="481"/>
      <c r="CW351" s="482"/>
    </row>
    <row r="352" spans="1:101" s="91" customFormat="1" ht="16.5" x14ac:dyDescent="0.15">
      <c r="A352" s="518"/>
      <c r="B352" s="107"/>
      <c r="C352" s="219" t="str">
        <f t="shared" ca="1" si="10"/>
        <v/>
      </c>
      <c r="D352" s="523"/>
      <c r="E352" s="650"/>
      <c r="F352" s="650"/>
      <c r="G352" s="650"/>
      <c r="H352" s="650"/>
      <c r="I352" s="650"/>
      <c r="J352" s="650"/>
      <c r="K352" s="529"/>
      <c r="L352" s="539"/>
      <c r="M352" s="539"/>
      <c r="N352" s="539"/>
      <c r="O352" s="539"/>
      <c r="P352" s="539"/>
      <c r="Q352" s="539"/>
      <c r="R352" s="535"/>
      <c r="S352" s="537"/>
      <c r="T352" s="535"/>
      <c r="U352" s="537"/>
      <c r="V352" s="529"/>
      <c r="W352" s="539"/>
      <c r="X352" s="539"/>
      <c r="Y352" s="539"/>
      <c r="Z352" s="539"/>
      <c r="AA352" s="539"/>
      <c r="AB352" s="539"/>
      <c r="AC352" s="529"/>
      <c r="AD352" s="539"/>
      <c r="AE352" s="539"/>
      <c r="AF352" s="539"/>
      <c r="AG352" s="539"/>
      <c r="AH352" s="539"/>
      <c r="AI352" s="539"/>
      <c r="AJ352" s="529"/>
      <c r="AK352" s="539"/>
      <c r="AL352" s="539"/>
      <c r="AM352" s="539"/>
      <c r="AN352" s="539"/>
      <c r="AO352" s="539"/>
      <c r="AP352" s="542"/>
      <c r="AQ352" s="549"/>
      <c r="AR352" s="550"/>
      <c r="AS352" s="550"/>
      <c r="AT352" s="550"/>
      <c r="AU352" s="550"/>
      <c r="AV352" s="550"/>
      <c r="AW352" s="551"/>
      <c r="AX352" s="495"/>
      <c r="AY352" s="496"/>
      <c r="AZ352" s="112">
        <v>6</v>
      </c>
      <c r="BA352" s="513"/>
      <c r="BB352" s="514"/>
      <c r="BC352" s="514"/>
      <c r="BD352" s="515"/>
      <c r="BE352" s="644"/>
      <c r="BF352" s="645"/>
      <c r="BG352" s="111"/>
      <c r="BH352" s="646"/>
      <c r="BI352" s="647"/>
      <c r="BJ352" s="647"/>
      <c r="BK352" s="647"/>
      <c r="BL352" s="647"/>
      <c r="BM352" s="648"/>
      <c r="BN352" s="646"/>
      <c r="BO352" s="647"/>
      <c r="BP352" s="647"/>
      <c r="BQ352" s="647"/>
      <c r="BR352" s="647"/>
      <c r="BS352" s="648"/>
      <c r="BT352" s="646"/>
      <c r="BU352" s="647"/>
      <c r="BV352" s="647"/>
      <c r="BW352" s="647"/>
      <c r="BX352" s="647"/>
      <c r="BY352" s="648"/>
      <c r="BZ352" s="513"/>
      <c r="CA352" s="514"/>
      <c r="CB352" s="514"/>
      <c r="CC352" s="515"/>
      <c r="CD352" s="477"/>
      <c r="CE352" s="478"/>
      <c r="CF352" s="478"/>
      <c r="CG352" s="478"/>
      <c r="CH352" s="479"/>
      <c r="CI352" s="477"/>
      <c r="CJ352" s="478"/>
      <c r="CK352" s="478"/>
      <c r="CL352" s="478"/>
      <c r="CM352" s="479"/>
      <c r="CN352" s="477"/>
      <c r="CO352" s="478"/>
      <c r="CP352" s="478"/>
      <c r="CQ352" s="478"/>
      <c r="CR352" s="479"/>
      <c r="CS352" s="480"/>
      <c r="CT352" s="481"/>
      <c r="CU352" s="481"/>
      <c r="CV352" s="481"/>
      <c r="CW352" s="482"/>
    </row>
    <row r="353" spans="1:101" ht="15" x14ac:dyDescent="0.15">
      <c r="A353" s="244" t="s">
        <v>190</v>
      </c>
      <c r="B353" s="245"/>
      <c r="C353" s="245"/>
      <c r="D353" s="246"/>
      <c r="E353" s="246"/>
      <c r="F353" s="246"/>
      <c r="G353" s="246"/>
      <c r="H353" s="246"/>
      <c r="I353" s="246"/>
      <c r="J353" s="246"/>
      <c r="K353" s="246"/>
      <c r="L353" s="246"/>
      <c r="M353" s="246"/>
      <c r="N353" s="246"/>
      <c r="O353" s="246"/>
      <c r="P353" s="246"/>
      <c r="Q353" s="246"/>
      <c r="R353" s="246"/>
      <c r="S353" s="246"/>
      <c r="T353" s="246"/>
      <c r="U353" s="246"/>
      <c r="V353" s="246"/>
      <c r="W353" s="246"/>
      <c r="X353" s="246"/>
      <c r="Y353" s="246"/>
      <c r="Z353" s="246"/>
      <c r="AA353" s="246"/>
      <c r="AB353" s="246"/>
      <c r="AC353" s="246"/>
      <c r="AD353" s="246"/>
      <c r="AE353" s="246"/>
      <c r="AF353" s="246"/>
      <c r="AG353" s="246"/>
      <c r="AH353" s="246"/>
      <c r="AI353" s="246"/>
      <c r="AJ353" s="246"/>
      <c r="AK353" s="246"/>
      <c r="AL353" s="246"/>
      <c r="AM353" s="246"/>
      <c r="AN353" s="246"/>
      <c r="AO353" s="246"/>
      <c r="AP353" s="246"/>
      <c r="AQ353" s="246"/>
      <c r="AR353" s="246"/>
      <c r="AS353" s="246"/>
      <c r="AT353" s="246"/>
      <c r="AU353" s="246"/>
      <c r="AV353" s="246"/>
      <c r="AW353" s="246"/>
      <c r="AX353" s="246"/>
      <c r="AY353" s="246"/>
      <c r="AZ353" s="246"/>
      <c r="BA353" s="246"/>
      <c r="BB353" s="246"/>
      <c r="BC353" s="246"/>
      <c r="BD353" s="246"/>
      <c r="BE353" s="246"/>
      <c r="BF353" s="246"/>
      <c r="BG353" s="246"/>
      <c r="BH353" s="246"/>
      <c r="BI353" s="246"/>
      <c r="BJ353" s="246"/>
      <c r="BK353" s="246"/>
      <c r="BL353" s="246"/>
      <c r="BM353" s="246"/>
      <c r="BN353" s="246"/>
      <c r="BO353" s="246"/>
      <c r="BP353" s="246"/>
      <c r="BQ353" s="246"/>
      <c r="BR353" s="246"/>
      <c r="BS353" s="246"/>
      <c r="BT353" s="246"/>
      <c r="BU353" s="246"/>
      <c r="BV353" s="246"/>
      <c r="BW353" s="246"/>
      <c r="BX353" s="246"/>
      <c r="BY353" s="246"/>
      <c r="BZ353" s="246"/>
      <c r="CA353" s="246"/>
      <c r="CB353" s="246"/>
      <c r="CC353" s="246"/>
      <c r="CD353" s="246"/>
      <c r="CE353" s="246"/>
      <c r="CF353" s="246"/>
      <c r="CG353" s="246"/>
      <c r="CH353" s="246"/>
      <c r="CI353" s="246"/>
      <c r="CJ353" s="246"/>
      <c r="CK353" s="246"/>
      <c r="CL353" s="246"/>
      <c r="CM353" s="246"/>
      <c r="CN353" s="246"/>
      <c r="CO353" s="246"/>
      <c r="CP353" s="246"/>
      <c r="CQ353" s="246"/>
      <c r="CR353" s="246"/>
      <c r="CS353" s="246"/>
      <c r="CT353" s="246"/>
      <c r="CU353" s="246"/>
      <c r="CV353" s="246"/>
      <c r="CW353" s="246"/>
    </row>
    <row r="354" spans="1:101" x14ac:dyDescent="0.15">
      <c r="A354" s="113"/>
    </row>
  </sheetData>
  <mergeCells count="2863">
    <mergeCell ref="BE52:BF52"/>
    <mergeCell ref="BH52:BM52"/>
    <mergeCell ref="BN52:BS52"/>
    <mergeCell ref="BT52:BY52"/>
    <mergeCell ref="A47:A52"/>
    <mergeCell ref="D47:J52"/>
    <mergeCell ref="K47:Q52"/>
    <mergeCell ref="R47:S52"/>
    <mergeCell ref="T47:U52"/>
    <mergeCell ref="V47:AB52"/>
    <mergeCell ref="AC47:AI52"/>
    <mergeCell ref="AJ47:AP52"/>
    <mergeCell ref="AQ47:AW52"/>
    <mergeCell ref="AX47:AY52"/>
    <mergeCell ref="BA47:BD47"/>
    <mergeCell ref="BE47:BF47"/>
    <mergeCell ref="BH47:BM47"/>
    <mergeCell ref="BN47:BS47"/>
    <mergeCell ref="BT47:BY47"/>
    <mergeCell ref="CL2:CO2"/>
    <mergeCell ref="CP2:CQ2"/>
    <mergeCell ref="CR2:CU2"/>
    <mergeCell ref="CV2:CW2"/>
    <mergeCell ref="CR6:CU6"/>
    <mergeCell ref="CV6:CW6"/>
    <mergeCell ref="CS125:CW130"/>
    <mergeCell ref="BE5:BN5"/>
    <mergeCell ref="BZ18:CC18"/>
    <mergeCell ref="BA19:BD19"/>
    <mergeCell ref="BA18:BD18"/>
    <mergeCell ref="BN22:BS22"/>
    <mergeCell ref="BT18:BY18"/>
    <mergeCell ref="BH19:BM19"/>
    <mergeCell ref="BE26:BF26"/>
    <mergeCell ref="BZ26:CC26"/>
    <mergeCell ref="BA24:BD24"/>
    <mergeCell ref="BH96:BM96"/>
    <mergeCell ref="BN96:BS96"/>
    <mergeCell ref="BT96:BY96"/>
    <mergeCell ref="BH97:BM97"/>
    <mergeCell ref="CI8:CM10"/>
    <mergeCell ref="CI11:CM16"/>
    <mergeCell ref="CI17:CM22"/>
    <mergeCell ref="CS101:CW106"/>
    <mergeCell ref="CN83:CR88"/>
    <mergeCell ref="BE116:BF116"/>
    <mergeCell ref="BA118:BD118"/>
    <mergeCell ref="BE118:BF118"/>
    <mergeCell ref="BA77:BD77"/>
    <mergeCell ref="CI47:CM52"/>
    <mergeCell ref="CN47:CR52"/>
    <mergeCell ref="CD149:CH154"/>
    <mergeCell ref="CD95:CH100"/>
    <mergeCell ref="CD101:CH106"/>
    <mergeCell ref="CD77:CH82"/>
    <mergeCell ref="CD83:CH88"/>
    <mergeCell ref="CD89:CH94"/>
    <mergeCell ref="CD107:CH112"/>
    <mergeCell ref="CD8:CH10"/>
    <mergeCell ref="CD11:CH16"/>
    <mergeCell ref="CD17:CH22"/>
    <mergeCell ref="CD23:CH28"/>
    <mergeCell ref="CD65:CH70"/>
    <mergeCell ref="CD113:CH118"/>
    <mergeCell ref="CD131:CH136"/>
    <mergeCell ref="CD119:CH124"/>
    <mergeCell ref="CI119:CM124"/>
    <mergeCell ref="CN119:CR124"/>
    <mergeCell ref="CN8:CR10"/>
    <mergeCell ref="CN11:CR16"/>
    <mergeCell ref="CN17:CR22"/>
    <mergeCell ref="CD125:CH130"/>
    <mergeCell ref="CI125:CM130"/>
    <mergeCell ref="CN125:CR130"/>
    <mergeCell ref="CN23:CR28"/>
    <mergeCell ref="CN65:CR70"/>
    <mergeCell ref="CN113:CR118"/>
    <mergeCell ref="CN131:CR136"/>
    <mergeCell ref="CN137:CR142"/>
    <mergeCell ref="CN143:CR148"/>
    <mergeCell ref="CD137:CH142"/>
    <mergeCell ref="CD143:CH148"/>
    <mergeCell ref="CI149:CM154"/>
    <mergeCell ref="CI143:CM148"/>
    <mergeCell ref="CN101:CR106"/>
    <mergeCell ref="CN77:CR82"/>
    <mergeCell ref="BN127:BS127"/>
    <mergeCell ref="CN89:CR94"/>
    <mergeCell ref="CN107:CR112"/>
    <mergeCell ref="R137:S142"/>
    <mergeCell ref="R125:S130"/>
    <mergeCell ref="T125:U130"/>
    <mergeCell ref="BZ16:CC16"/>
    <mergeCell ref="BZ11:CC11"/>
    <mergeCell ref="CI95:CM100"/>
    <mergeCell ref="CI101:CM106"/>
    <mergeCell ref="CI77:CM82"/>
    <mergeCell ref="CI83:CM88"/>
    <mergeCell ref="CI89:CM94"/>
    <mergeCell ref="BT20:BY20"/>
    <mergeCell ref="BE19:BF19"/>
    <mergeCell ref="BA22:BD22"/>
    <mergeCell ref="BN125:BS125"/>
    <mergeCell ref="BT125:BY125"/>
    <mergeCell ref="BZ125:CC125"/>
    <mergeCell ref="BA126:BD126"/>
    <mergeCell ref="BE126:BF126"/>
    <mergeCell ref="BA20:BD20"/>
    <mergeCell ref="BE20:BF20"/>
    <mergeCell ref="BZ105:CC105"/>
    <mergeCell ref="BH126:BM126"/>
    <mergeCell ref="BN126:BS126"/>
    <mergeCell ref="BT126:BY126"/>
    <mergeCell ref="BZ126:CC126"/>
    <mergeCell ref="BA127:BD127"/>
    <mergeCell ref="AC137:AI142"/>
    <mergeCell ref="CN149:CR154"/>
    <mergeCell ref="CN95:CR100"/>
    <mergeCell ref="BE12:BF12"/>
    <mergeCell ref="BE16:BF16"/>
    <mergeCell ref="AJ17:AP22"/>
    <mergeCell ref="BZ23:CC23"/>
    <mergeCell ref="BZ25:CC25"/>
    <mergeCell ref="AQ23:AW28"/>
    <mergeCell ref="AX23:AY28"/>
    <mergeCell ref="BA23:BD23"/>
    <mergeCell ref="BE23:BF23"/>
    <mergeCell ref="BE24:BF24"/>
    <mergeCell ref="BZ24:CC24"/>
    <mergeCell ref="BZ22:CC22"/>
    <mergeCell ref="BT127:BY127"/>
    <mergeCell ref="AC83:AI88"/>
    <mergeCell ref="BE22:BF22"/>
    <mergeCell ref="BA17:BD17"/>
    <mergeCell ref="BE17:BF17"/>
    <mergeCell ref="BZ19:CC19"/>
    <mergeCell ref="BA25:BD25"/>
    <mergeCell ref="BE25:BF25"/>
    <mergeCell ref="BN19:BS19"/>
    <mergeCell ref="BT19:BY19"/>
    <mergeCell ref="BH20:BM20"/>
    <mergeCell ref="BN20:BS20"/>
    <mergeCell ref="CI23:CM28"/>
    <mergeCell ref="CI65:CM70"/>
    <mergeCell ref="AC71:AI76"/>
    <mergeCell ref="AJ71:AP76"/>
    <mergeCell ref="AQ71:AW76"/>
    <mergeCell ref="A143:A148"/>
    <mergeCell ref="D143:J148"/>
    <mergeCell ref="A77:A82"/>
    <mergeCell ref="A101:A106"/>
    <mergeCell ref="D95:J100"/>
    <mergeCell ref="A149:A154"/>
    <mergeCell ref="A95:A100"/>
    <mergeCell ref="D149:J154"/>
    <mergeCell ref="CI107:CM112"/>
    <mergeCell ref="BA119:BD119"/>
    <mergeCell ref="BA120:BD120"/>
    <mergeCell ref="BA121:BD121"/>
    <mergeCell ref="R143:S148"/>
    <mergeCell ref="R149:S154"/>
    <mergeCell ref="R95:S100"/>
    <mergeCell ref="R101:S106"/>
    <mergeCell ref="K113:Q118"/>
    <mergeCell ref="T113:U118"/>
    <mergeCell ref="R113:S118"/>
    <mergeCell ref="R131:S136"/>
    <mergeCell ref="AQ107:AW112"/>
    <mergeCell ref="BZ116:CC116"/>
    <mergeCell ref="BA113:BD113"/>
    <mergeCell ref="V131:AB136"/>
    <mergeCell ref="AC131:AI136"/>
    <mergeCell ref="AJ131:AP136"/>
    <mergeCell ref="AX131:AY136"/>
    <mergeCell ref="BA117:BD117"/>
    <mergeCell ref="BA116:BD116"/>
    <mergeCell ref="BZ127:CC127"/>
    <mergeCell ref="AC149:AI154"/>
    <mergeCell ref="V137:AB142"/>
    <mergeCell ref="V125:AB130"/>
    <mergeCell ref="AC125:AI130"/>
    <mergeCell ref="AJ125:AP130"/>
    <mergeCell ref="AQ125:AW130"/>
    <mergeCell ref="AX125:AY130"/>
    <mergeCell ref="AX17:AY22"/>
    <mergeCell ref="R17:S22"/>
    <mergeCell ref="R77:S82"/>
    <mergeCell ref="R83:S88"/>
    <mergeCell ref="D77:J82"/>
    <mergeCell ref="AX113:AY118"/>
    <mergeCell ref="V77:AB82"/>
    <mergeCell ref="AC77:AI82"/>
    <mergeCell ref="AC113:AI118"/>
    <mergeCell ref="V113:AB118"/>
    <mergeCell ref="AC89:AI94"/>
    <mergeCell ref="AJ89:AP94"/>
    <mergeCell ref="AQ89:AW94"/>
    <mergeCell ref="K71:Q76"/>
    <mergeCell ref="R71:S76"/>
    <mergeCell ref="T71:U76"/>
    <mergeCell ref="V71:AB76"/>
    <mergeCell ref="D71:J76"/>
    <mergeCell ref="AC17:AI22"/>
    <mergeCell ref="AX35:AY40"/>
    <mergeCell ref="R41:S46"/>
    <mergeCell ref="T41:U46"/>
    <mergeCell ref="V41:AB46"/>
    <mergeCell ref="AC41:AI46"/>
    <mergeCell ref="AJ41:AP46"/>
    <mergeCell ref="AQ41:AW46"/>
    <mergeCell ref="AX41:AY46"/>
    <mergeCell ref="K131:Q136"/>
    <mergeCell ref="T131:U136"/>
    <mergeCell ref="K137:Q142"/>
    <mergeCell ref="T137:U142"/>
    <mergeCell ref="K95:Q100"/>
    <mergeCell ref="T95:U100"/>
    <mergeCell ref="A131:A136"/>
    <mergeCell ref="T77:U82"/>
    <mergeCell ref="V107:AB112"/>
    <mergeCell ref="AC107:AI112"/>
    <mergeCell ref="AJ137:AP142"/>
    <mergeCell ref="AJ107:AP112"/>
    <mergeCell ref="AX89:AY94"/>
    <mergeCell ref="A35:A40"/>
    <mergeCell ref="D35:J40"/>
    <mergeCell ref="K35:Q40"/>
    <mergeCell ref="R35:S40"/>
    <mergeCell ref="T35:U40"/>
    <mergeCell ref="V35:AB40"/>
    <mergeCell ref="AC35:AI40"/>
    <mergeCell ref="AJ35:AP40"/>
    <mergeCell ref="AQ35:AW40"/>
    <mergeCell ref="A41:A46"/>
    <mergeCell ref="D41:J46"/>
    <mergeCell ref="K41:Q46"/>
    <mergeCell ref="D119:J124"/>
    <mergeCell ref="K119:Q124"/>
    <mergeCell ref="R119:S124"/>
    <mergeCell ref="T119:U124"/>
    <mergeCell ref="V119:AB124"/>
    <mergeCell ref="AC119:AI124"/>
    <mergeCell ref="V83:AB88"/>
    <mergeCell ref="A83:A88"/>
    <mergeCell ref="AQ6:BD6"/>
    <mergeCell ref="BA14:BD14"/>
    <mergeCell ref="BA16:BD16"/>
    <mergeCell ref="BA11:BD11"/>
    <mergeCell ref="A11:A16"/>
    <mergeCell ref="A65:A70"/>
    <mergeCell ref="A137:A142"/>
    <mergeCell ref="T89:U94"/>
    <mergeCell ref="K89:Q94"/>
    <mergeCell ref="A107:A112"/>
    <mergeCell ref="D89:J94"/>
    <mergeCell ref="A89:A94"/>
    <mergeCell ref="K107:Q112"/>
    <mergeCell ref="T107:U112"/>
    <mergeCell ref="D107:J112"/>
    <mergeCell ref="A119:A124"/>
    <mergeCell ref="A125:A130"/>
    <mergeCell ref="D125:J130"/>
    <mergeCell ref="K125:Q130"/>
    <mergeCell ref="D23:J28"/>
    <mergeCell ref="D131:J136"/>
    <mergeCell ref="A113:A118"/>
    <mergeCell ref="D113:J118"/>
    <mergeCell ref="D137:J142"/>
    <mergeCell ref="AX71:AY76"/>
    <mergeCell ref="AX29:AY34"/>
    <mergeCell ref="AX53:AY58"/>
    <mergeCell ref="K77:Q82"/>
    <mergeCell ref="T83:U88"/>
    <mergeCell ref="A71:A76"/>
    <mergeCell ref="A17:A22"/>
    <mergeCell ref="A23:A28"/>
    <mergeCell ref="D65:J70"/>
    <mergeCell ref="R89:S94"/>
    <mergeCell ref="R107:S112"/>
    <mergeCell ref="K83:Q88"/>
    <mergeCell ref="BZ14:CC14"/>
    <mergeCell ref="BA13:BD13"/>
    <mergeCell ref="BE13:BF13"/>
    <mergeCell ref="BZ13:CC13"/>
    <mergeCell ref="BZ17:CC17"/>
    <mergeCell ref="BE125:BF125"/>
    <mergeCell ref="B8:B10"/>
    <mergeCell ref="V11:AB16"/>
    <mergeCell ref="AC11:AI16"/>
    <mergeCell ref="AJ8:AP10"/>
    <mergeCell ref="AJ11:AP16"/>
    <mergeCell ref="D11:J16"/>
    <mergeCell ref="K11:Q16"/>
    <mergeCell ref="BZ15:CC15"/>
    <mergeCell ref="BA12:BD12"/>
    <mergeCell ref="BE115:BF115"/>
    <mergeCell ref="BZ99:CC99"/>
    <mergeCell ref="BZ104:CC104"/>
    <mergeCell ref="BE119:BF119"/>
    <mergeCell ref="BT95:BY95"/>
    <mergeCell ref="A8:A10"/>
    <mergeCell ref="AX65:AY70"/>
    <mergeCell ref="BE113:BF113"/>
    <mergeCell ref="BZ69:CC69"/>
    <mergeCell ref="BZ113:CC113"/>
    <mergeCell ref="BA26:BD26"/>
    <mergeCell ref="V17:AB22"/>
    <mergeCell ref="T17:U22"/>
    <mergeCell ref="K23:Q28"/>
    <mergeCell ref="R23:S28"/>
    <mergeCell ref="T23:U28"/>
    <mergeCell ref="BZ103:CC103"/>
    <mergeCell ref="BZ100:CC100"/>
    <mergeCell ref="B5:C5"/>
    <mergeCell ref="AX5:BA5"/>
    <mergeCell ref="D8:J10"/>
    <mergeCell ref="V8:AB10"/>
    <mergeCell ref="AC8:AI10"/>
    <mergeCell ref="AZ8:AZ10"/>
    <mergeCell ref="K8:Q10"/>
    <mergeCell ref="T8:U10"/>
    <mergeCell ref="BZ12:CC12"/>
    <mergeCell ref="BA15:BD15"/>
    <mergeCell ref="AX8:AY10"/>
    <mergeCell ref="BA8:BD10"/>
    <mergeCell ref="BE6:BK6"/>
    <mergeCell ref="BL6:BV6"/>
    <mergeCell ref="T6:Y6"/>
    <mergeCell ref="Z6:AI6"/>
    <mergeCell ref="AJ6:AP6"/>
    <mergeCell ref="C8:C10"/>
    <mergeCell ref="I6:S6"/>
    <mergeCell ref="R8:S10"/>
    <mergeCell ref="R11:S16"/>
    <mergeCell ref="T11:U16"/>
    <mergeCell ref="BH49:BM49"/>
    <mergeCell ref="BN49:BS49"/>
    <mergeCell ref="BT49:BY49"/>
    <mergeCell ref="BZ49:CC49"/>
    <mergeCell ref="D17:J22"/>
    <mergeCell ref="AJ113:AP118"/>
    <mergeCell ref="AQ113:AW118"/>
    <mergeCell ref="CS113:CW118"/>
    <mergeCell ref="BZ20:CC20"/>
    <mergeCell ref="BE8:BF10"/>
    <mergeCell ref="AX11:AY16"/>
    <mergeCell ref="BE14:BF14"/>
    <mergeCell ref="BA122:BD122"/>
    <mergeCell ref="BE122:BF122"/>
    <mergeCell ref="BH123:BM123"/>
    <mergeCell ref="BN123:BS123"/>
    <mergeCell ref="BT123:BY123"/>
    <mergeCell ref="BE123:BF123"/>
    <mergeCell ref="AJ119:AP124"/>
    <mergeCell ref="AQ119:AW124"/>
    <mergeCell ref="AX119:AY124"/>
    <mergeCell ref="D83:J88"/>
    <mergeCell ref="BZ47:CC47"/>
    <mergeCell ref="CD47:CH52"/>
    <mergeCell ref="BZ52:CC52"/>
    <mergeCell ref="BA48:BD48"/>
    <mergeCell ref="BE48:BF48"/>
    <mergeCell ref="BH48:BM48"/>
    <mergeCell ref="BN48:BS48"/>
    <mergeCell ref="BT48:BY48"/>
    <mergeCell ref="BZ48:CC48"/>
    <mergeCell ref="BA49:BD49"/>
    <mergeCell ref="BE49:BF49"/>
    <mergeCell ref="AJ65:AP70"/>
    <mergeCell ref="AQ65:AW70"/>
    <mergeCell ref="K17:Q22"/>
    <mergeCell ref="CS131:CW136"/>
    <mergeCell ref="BA131:BD131"/>
    <mergeCell ref="AQ8:AW10"/>
    <mergeCell ref="AQ11:AW16"/>
    <mergeCell ref="BZ8:CC10"/>
    <mergeCell ref="BE127:BF127"/>
    <mergeCell ref="BH127:BM127"/>
    <mergeCell ref="CS47:CW52"/>
    <mergeCell ref="BH50:BM50"/>
    <mergeCell ref="BN50:BS50"/>
    <mergeCell ref="BT50:BY50"/>
    <mergeCell ref="BZ50:CC50"/>
    <mergeCell ref="BA51:BD51"/>
    <mergeCell ref="BE51:BF51"/>
    <mergeCell ref="BH51:BM51"/>
    <mergeCell ref="BN51:BS51"/>
    <mergeCell ref="BT51:BY51"/>
    <mergeCell ref="BZ51:CC51"/>
    <mergeCell ref="BN129:BS129"/>
    <mergeCell ref="BT129:BY129"/>
    <mergeCell ref="AQ131:AW136"/>
    <mergeCell ref="CS8:CW10"/>
    <mergeCell ref="CS11:CW16"/>
    <mergeCell ref="AQ17:AW22"/>
    <mergeCell ref="BE11:BF11"/>
    <mergeCell ref="BE15:BF15"/>
    <mergeCell ref="CS17:CW22"/>
    <mergeCell ref="BE18:BF18"/>
    <mergeCell ref="BH125:BM125"/>
    <mergeCell ref="BA50:BD50"/>
    <mergeCell ref="BE50:BF50"/>
    <mergeCell ref="BA52:BD52"/>
    <mergeCell ref="AJ23:AP28"/>
    <mergeCell ref="CS65:CW70"/>
    <mergeCell ref="BA65:BD65"/>
    <mergeCell ref="BE65:BF65"/>
    <mergeCell ref="BA115:BD115"/>
    <mergeCell ref="BZ68:CC68"/>
    <mergeCell ref="BZ66:CC66"/>
    <mergeCell ref="BH65:BM65"/>
    <mergeCell ref="BN65:BS65"/>
    <mergeCell ref="BT65:BY65"/>
    <mergeCell ref="BE70:BF70"/>
    <mergeCell ref="BH66:BM66"/>
    <mergeCell ref="BN66:BS66"/>
    <mergeCell ref="CS95:CW100"/>
    <mergeCell ref="AJ83:AP88"/>
    <mergeCell ref="AJ77:AP82"/>
    <mergeCell ref="BZ84:CC84"/>
    <mergeCell ref="BZ77:CC77"/>
    <mergeCell ref="BZ79:CC79"/>
    <mergeCell ref="BA80:BD80"/>
    <mergeCell ref="BZ106:CC106"/>
    <mergeCell ref="BZ98:CC98"/>
    <mergeCell ref="BZ97:CC97"/>
    <mergeCell ref="BZ95:CC95"/>
    <mergeCell ref="AX95:AY100"/>
    <mergeCell ref="BA96:BD96"/>
    <mergeCell ref="BA98:BD98"/>
    <mergeCell ref="BZ96:CC96"/>
    <mergeCell ref="CS77:CW82"/>
    <mergeCell ref="AQ83:AW88"/>
    <mergeCell ref="AX83:AY88"/>
    <mergeCell ref="CS83:CW88"/>
    <mergeCell ref="K149:Q154"/>
    <mergeCell ref="T149:U154"/>
    <mergeCell ref="V149:AB154"/>
    <mergeCell ref="AJ149:AP154"/>
    <mergeCell ref="BZ146:CC146"/>
    <mergeCell ref="BA147:BD147"/>
    <mergeCell ref="AQ149:AW154"/>
    <mergeCell ref="AX149:AY154"/>
    <mergeCell ref="BE147:BF147"/>
    <mergeCell ref="K143:Q148"/>
    <mergeCell ref="T143:U148"/>
    <mergeCell ref="V143:AB148"/>
    <mergeCell ref="AC143:AI148"/>
    <mergeCell ref="AJ143:AP148"/>
    <mergeCell ref="BE145:BF145"/>
    <mergeCell ref="BE144:BF144"/>
    <mergeCell ref="BA145:BD145"/>
    <mergeCell ref="BZ147:CC147"/>
    <mergeCell ref="BZ148:CC148"/>
    <mergeCell ref="BH153:BM153"/>
    <mergeCell ref="BN153:BS153"/>
    <mergeCell ref="BT153:BY153"/>
    <mergeCell ref="BZ144:CC144"/>
    <mergeCell ref="BT152:BY152"/>
    <mergeCell ref="BH144:BM144"/>
    <mergeCell ref="BZ153:CC153"/>
    <mergeCell ref="BN144:BS144"/>
    <mergeCell ref="BT144:BY144"/>
    <mergeCell ref="BH145:BM145"/>
    <mergeCell ref="BN145:BS145"/>
    <mergeCell ref="BT145:BY145"/>
    <mergeCell ref="BH154:BM154"/>
    <mergeCell ref="AQ143:AW148"/>
    <mergeCell ref="AX143:AY148"/>
    <mergeCell ref="BN81:BS81"/>
    <mergeCell ref="BT81:BY81"/>
    <mergeCell ref="BH82:BM82"/>
    <mergeCell ref="BN82:BS82"/>
    <mergeCell ref="BT82:BY82"/>
    <mergeCell ref="BH83:BM83"/>
    <mergeCell ref="BN83:BS83"/>
    <mergeCell ref="D101:J106"/>
    <mergeCell ref="K101:Q106"/>
    <mergeCell ref="T101:U106"/>
    <mergeCell ref="V101:AB106"/>
    <mergeCell ref="AC101:AI106"/>
    <mergeCell ref="AJ101:AP106"/>
    <mergeCell ref="AQ101:AW106"/>
    <mergeCell ref="AX101:AY106"/>
    <mergeCell ref="V89:AB94"/>
    <mergeCell ref="BA95:BD95"/>
    <mergeCell ref="BE95:BF95"/>
    <mergeCell ref="BE96:BF96"/>
    <mergeCell ref="BH95:BM95"/>
    <mergeCell ref="BN95:BS95"/>
    <mergeCell ref="V95:AB100"/>
    <mergeCell ref="AC95:AI100"/>
    <mergeCell ref="AJ95:AP100"/>
    <mergeCell ref="AQ95:AW100"/>
    <mergeCell ref="BE132:BF132"/>
    <mergeCell ref="BE133:BF133"/>
    <mergeCell ref="BN113:BS113"/>
    <mergeCell ref="BT113:BY113"/>
    <mergeCell ref="BH114:BM114"/>
    <mergeCell ref="BE131:BF131"/>
    <mergeCell ref="BE124:BF124"/>
    <mergeCell ref="BA123:BD123"/>
    <mergeCell ref="BN114:BS114"/>
    <mergeCell ref="BT114:BY114"/>
    <mergeCell ref="BH115:BM115"/>
    <mergeCell ref="BN115:BS115"/>
    <mergeCell ref="BA128:BD128"/>
    <mergeCell ref="BE128:BF128"/>
    <mergeCell ref="BH128:BM128"/>
    <mergeCell ref="BN128:BS128"/>
    <mergeCell ref="BT128:BY128"/>
    <mergeCell ref="BZ128:CC128"/>
    <mergeCell ref="BA129:BD129"/>
    <mergeCell ref="BE129:BF129"/>
    <mergeCell ref="BH129:BM129"/>
    <mergeCell ref="BZ88:CC88"/>
    <mergeCell ref="BH119:BM119"/>
    <mergeCell ref="BN119:BS119"/>
    <mergeCell ref="BT119:BY119"/>
    <mergeCell ref="BE120:BF120"/>
    <mergeCell ref="BH120:BM120"/>
    <mergeCell ref="BN120:BS120"/>
    <mergeCell ref="BT120:BY120"/>
    <mergeCell ref="BE121:BF121"/>
    <mergeCell ref="BH121:BM121"/>
    <mergeCell ref="BN121:BS121"/>
    <mergeCell ref="BT121:BY121"/>
    <mergeCell ref="BE117:BF117"/>
    <mergeCell ref="BA79:BD79"/>
    <mergeCell ref="BZ81:CC81"/>
    <mergeCell ref="BA82:BD82"/>
    <mergeCell ref="BE82:BF82"/>
    <mergeCell ref="BE79:BF79"/>
    <mergeCell ref="BE80:BF80"/>
    <mergeCell ref="BA81:BD81"/>
    <mergeCell ref="BE81:BF81"/>
    <mergeCell ref="BZ83:CC83"/>
    <mergeCell ref="BZ80:CC80"/>
    <mergeCell ref="BZ82:CC82"/>
    <mergeCell ref="BZ85:CC85"/>
    <mergeCell ref="BZ87:CC87"/>
    <mergeCell ref="AQ77:AW82"/>
    <mergeCell ref="AX77:AY82"/>
    <mergeCell ref="BE77:BF77"/>
    <mergeCell ref="BH77:BM77"/>
    <mergeCell ref="BN77:BS77"/>
    <mergeCell ref="BT77:BY77"/>
    <mergeCell ref="BT87:BY87"/>
    <mergeCell ref="BA83:BD83"/>
    <mergeCell ref="BZ94:CC94"/>
    <mergeCell ref="CS89:CW94"/>
    <mergeCell ref="BZ93:CC93"/>
    <mergeCell ref="BE91:BF91"/>
    <mergeCell ref="BZ91:CC91"/>
    <mergeCell ref="BZ90:CC90"/>
    <mergeCell ref="BZ92:CC92"/>
    <mergeCell ref="BZ89:CC89"/>
    <mergeCell ref="BH89:BM89"/>
    <mergeCell ref="BE90:BF90"/>
    <mergeCell ref="BA92:BD92"/>
    <mergeCell ref="BE92:BF92"/>
    <mergeCell ref="BA91:BD91"/>
    <mergeCell ref="BA86:BD86"/>
    <mergeCell ref="BE93:BF93"/>
    <mergeCell ref="BA85:BD85"/>
    <mergeCell ref="BA93:BD93"/>
    <mergeCell ref="BN87:BS87"/>
    <mergeCell ref="AQ155:AW160"/>
    <mergeCell ref="BZ107:CC107"/>
    <mergeCell ref="BA108:BD108"/>
    <mergeCell ref="BE108:BF108"/>
    <mergeCell ref="BZ108:CC108"/>
    <mergeCell ref="BE112:BF112"/>
    <mergeCell ref="BZ112:CC112"/>
    <mergeCell ref="BZ119:CC119"/>
    <mergeCell ref="BZ120:CC120"/>
    <mergeCell ref="BZ121:CC121"/>
    <mergeCell ref="BH122:BM122"/>
    <mergeCell ref="BN122:BS122"/>
    <mergeCell ref="BT122:BY122"/>
    <mergeCell ref="BZ122:CC122"/>
    <mergeCell ref="BH124:BM124"/>
    <mergeCell ref="BN124:BS124"/>
    <mergeCell ref="BT124:BY124"/>
    <mergeCell ref="BE141:BF141"/>
    <mergeCell ref="BA139:BD139"/>
    <mergeCell ref="BZ143:CC143"/>
    <mergeCell ref="AX107:AY112"/>
    <mergeCell ref="AQ137:AW142"/>
    <mergeCell ref="BN138:BS138"/>
    <mergeCell ref="BT138:BY138"/>
    <mergeCell ref="BH139:BM139"/>
    <mergeCell ref="BN139:BS139"/>
    <mergeCell ref="BT139:BY139"/>
    <mergeCell ref="BA135:BD135"/>
    <mergeCell ref="BE135:BF135"/>
    <mergeCell ref="BA137:BD137"/>
    <mergeCell ref="BA138:BD138"/>
    <mergeCell ref="BE138:BF138"/>
    <mergeCell ref="CS149:CW154"/>
    <mergeCell ref="AX137:AY142"/>
    <mergeCell ref="BN97:BS97"/>
    <mergeCell ref="BT97:BY97"/>
    <mergeCell ref="CS143:CW148"/>
    <mergeCell ref="BZ115:CC115"/>
    <mergeCell ref="BZ132:CC132"/>
    <mergeCell ref="BZ117:CC117"/>
    <mergeCell ref="BZ131:CC131"/>
    <mergeCell ref="BZ118:CC118"/>
    <mergeCell ref="BH117:BM117"/>
    <mergeCell ref="BN117:BS117"/>
    <mergeCell ref="BT117:BY117"/>
    <mergeCell ref="BH118:BM118"/>
    <mergeCell ref="BN118:BS118"/>
    <mergeCell ref="BT118:BY118"/>
    <mergeCell ref="BH131:BM131"/>
    <mergeCell ref="BN131:BS131"/>
    <mergeCell ref="BT131:BY131"/>
    <mergeCell ref="BH132:BM132"/>
    <mergeCell ref="BH140:BM140"/>
    <mergeCell ref="BN140:BS140"/>
    <mergeCell ref="BZ141:CC141"/>
    <mergeCell ref="BH141:BM141"/>
    <mergeCell ref="BN141:BS141"/>
    <mergeCell ref="BT141:BY141"/>
    <mergeCell ref="BZ137:CC137"/>
    <mergeCell ref="BZ138:CC138"/>
    <mergeCell ref="BZ135:CC135"/>
    <mergeCell ref="BZ139:CC139"/>
    <mergeCell ref="BZ142:CC142"/>
    <mergeCell ref="BZ145:CC145"/>
    <mergeCell ref="CI113:CM118"/>
    <mergeCell ref="CI131:CM136"/>
    <mergeCell ref="CI137:CM142"/>
    <mergeCell ref="CS119:CW124"/>
    <mergeCell ref="BZ129:CC129"/>
    <mergeCell ref="BA130:BD130"/>
    <mergeCell ref="BE130:BF130"/>
    <mergeCell ref="BH130:BM130"/>
    <mergeCell ref="BN130:BS130"/>
    <mergeCell ref="BT130:BY130"/>
    <mergeCell ref="BZ130:CC130"/>
    <mergeCell ref="BA125:BD125"/>
    <mergeCell ref="BH137:BM137"/>
    <mergeCell ref="BN137:BS137"/>
    <mergeCell ref="BA97:BD97"/>
    <mergeCell ref="BE97:BF97"/>
    <mergeCell ref="BE98:BF98"/>
    <mergeCell ref="BZ109:CC109"/>
    <mergeCell ref="BA110:BD110"/>
    <mergeCell ref="BA111:BD111"/>
    <mergeCell ref="BA107:BD107"/>
    <mergeCell ref="BA109:BD109"/>
    <mergeCell ref="BH109:BM109"/>
    <mergeCell ref="BA141:BD141"/>
    <mergeCell ref="BZ101:CC101"/>
    <mergeCell ref="BE102:BF102"/>
    <mergeCell ref="CS137:CW142"/>
    <mergeCell ref="CS107:CW112"/>
    <mergeCell ref="BE107:BF107"/>
    <mergeCell ref="BE100:BF100"/>
    <mergeCell ref="BZ102:CC102"/>
    <mergeCell ref="BE103:BF103"/>
    <mergeCell ref="BZ123:CC123"/>
    <mergeCell ref="BA124:BD124"/>
    <mergeCell ref="BZ133:CC133"/>
    <mergeCell ref="BA134:BD134"/>
    <mergeCell ref="BE134:BF134"/>
    <mergeCell ref="BE137:BF137"/>
    <mergeCell ref="BZ134:CC134"/>
    <mergeCell ref="BZ124:CC124"/>
    <mergeCell ref="BE101:BF101"/>
    <mergeCell ref="BN27:BS27"/>
    <mergeCell ref="BT27:BY27"/>
    <mergeCell ref="BH113:BM113"/>
    <mergeCell ref="BN89:BS89"/>
    <mergeCell ref="BT89:BY89"/>
    <mergeCell ref="BH90:BM90"/>
    <mergeCell ref="BN90:BS90"/>
    <mergeCell ref="BT90:BY90"/>
    <mergeCell ref="BH93:BM93"/>
    <mergeCell ref="BN93:BS93"/>
    <mergeCell ref="BT93:BY93"/>
    <mergeCell ref="BH98:BM98"/>
    <mergeCell ref="BZ78:CC78"/>
    <mergeCell ref="BA84:BD84"/>
    <mergeCell ref="BE84:BF84"/>
    <mergeCell ref="BE85:BF85"/>
    <mergeCell ref="BE87:BF87"/>
    <mergeCell ref="BE86:BF86"/>
    <mergeCell ref="BE94:BF94"/>
    <mergeCell ref="BA89:BD89"/>
    <mergeCell ref="BE89:BF89"/>
    <mergeCell ref="BA90:BD90"/>
    <mergeCell ref="BA88:BD88"/>
    <mergeCell ref="BA94:BD94"/>
    <mergeCell ref="BE104:BF104"/>
    <mergeCell ref="BT115:BY115"/>
    <mergeCell ref="BH116:BM116"/>
    <mergeCell ref="BN116:BS116"/>
    <mergeCell ref="BT116:BY116"/>
    <mergeCell ref="BH112:BM112"/>
    <mergeCell ref="BA27:BD27"/>
    <mergeCell ref="BE27:BF27"/>
    <mergeCell ref="BZ27:CC27"/>
    <mergeCell ref="BZ67:CC67"/>
    <mergeCell ref="BA66:BD66"/>
    <mergeCell ref="BE66:BF66"/>
    <mergeCell ref="BA114:BD114"/>
    <mergeCell ref="BE114:BF114"/>
    <mergeCell ref="BZ114:CC114"/>
    <mergeCell ref="BZ65:CC65"/>
    <mergeCell ref="BA67:BD67"/>
    <mergeCell ref="BE67:BF67"/>
    <mergeCell ref="BA69:BD69"/>
    <mergeCell ref="BE69:BF69"/>
    <mergeCell ref="BA68:BD68"/>
    <mergeCell ref="BE68:BF68"/>
    <mergeCell ref="BH27:BM27"/>
    <mergeCell ref="BA70:BD70"/>
    <mergeCell ref="BA100:BD100"/>
    <mergeCell ref="BA102:BD102"/>
    <mergeCell ref="BA103:BD103"/>
    <mergeCell ref="BA101:BD101"/>
    <mergeCell ref="BA78:BD78"/>
    <mergeCell ref="BE83:BF83"/>
    <mergeCell ref="BZ86:CC86"/>
    <mergeCell ref="BE78:BF78"/>
    <mergeCell ref="BT79:BY79"/>
    <mergeCell ref="BH80:BM80"/>
    <mergeCell ref="BN80:BS80"/>
    <mergeCell ref="BA87:BD87"/>
    <mergeCell ref="BA140:BD140"/>
    <mergeCell ref="BZ140:CC140"/>
    <mergeCell ref="BZ136:CC136"/>
    <mergeCell ref="BE140:BF140"/>
    <mergeCell ref="BE139:BF139"/>
    <mergeCell ref="BH135:BM135"/>
    <mergeCell ref="BN135:BS135"/>
    <mergeCell ref="BT135:BY135"/>
    <mergeCell ref="BT140:BY140"/>
    <mergeCell ref="BH134:BM134"/>
    <mergeCell ref="BN134:BS134"/>
    <mergeCell ref="BT134:BY134"/>
    <mergeCell ref="BN132:BS132"/>
    <mergeCell ref="BT132:BY132"/>
    <mergeCell ref="BH133:BM133"/>
    <mergeCell ref="BN133:BS133"/>
    <mergeCell ref="BT133:BY133"/>
    <mergeCell ref="BH136:BM136"/>
    <mergeCell ref="BN136:BS136"/>
    <mergeCell ref="BT136:BY136"/>
    <mergeCell ref="BT137:BY137"/>
    <mergeCell ref="BH138:BM138"/>
    <mergeCell ref="BE105:BF105"/>
    <mergeCell ref="BH87:BM87"/>
    <mergeCell ref="BA132:BD132"/>
    <mergeCell ref="BA136:BD136"/>
    <mergeCell ref="BE136:BF136"/>
    <mergeCell ref="BZ152:CC152"/>
    <mergeCell ref="BZ150:CC150"/>
    <mergeCell ref="BE149:BF149"/>
    <mergeCell ref="BZ149:CC149"/>
    <mergeCell ref="BA150:BD150"/>
    <mergeCell ref="BE150:BF150"/>
    <mergeCell ref="BH150:BM150"/>
    <mergeCell ref="BN150:BS150"/>
    <mergeCell ref="BT150:BY150"/>
    <mergeCell ref="BH151:BM151"/>
    <mergeCell ref="BN151:BS151"/>
    <mergeCell ref="BT151:BY151"/>
    <mergeCell ref="BH152:BM152"/>
    <mergeCell ref="BN152:BS152"/>
    <mergeCell ref="BH146:BM146"/>
    <mergeCell ref="BN146:BS146"/>
    <mergeCell ref="BT146:BY146"/>
    <mergeCell ref="BZ151:CC151"/>
    <mergeCell ref="BA149:BD149"/>
    <mergeCell ref="BA146:BD146"/>
    <mergeCell ref="BA151:BD151"/>
    <mergeCell ref="BE151:BF151"/>
    <mergeCell ref="BE146:BF146"/>
    <mergeCell ref="BA148:BD148"/>
    <mergeCell ref="BE148:BF148"/>
    <mergeCell ref="BA152:BD152"/>
    <mergeCell ref="BE88:BF88"/>
    <mergeCell ref="BH88:BM88"/>
    <mergeCell ref="BN88:BS88"/>
    <mergeCell ref="BT88:BY88"/>
    <mergeCell ref="BN154:BS154"/>
    <mergeCell ref="BT154:BY154"/>
    <mergeCell ref="BH147:BM147"/>
    <mergeCell ref="BN147:BS147"/>
    <mergeCell ref="BT147:BY147"/>
    <mergeCell ref="BH148:BM148"/>
    <mergeCell ref="BN148:BS148"/>
    <mergeCell ref="BT148:BY148"/>
    <mergeCell ref="BH149:BM149"/>
    <mergeCell ref="BN149:BS149"/>
    <mergeCell ref="BT149:BY149"/>
    <mergeCell ref="BA143:BD143"/>
    <mergeCell ref="BH143:BM143"/>
    <mergeCell ref="BN143:BS143"/>
    <mergeCell ref="BT143:BY143"/>
    <mergeCell ref="BE152:BF152"/>
    <mergeCell ref="BH142:BM142"/>
    <mergeCell ref="BE142:BF142"/>
    <mergeCell ref="BN142:BS142"/>
    <mergeCell ref="BT142:BY142"/>
    <mergeCell ref="BE143:BF143"/>
    <mergeCell ref="BA142:BD142"/>
    <mergeCell ref="BA144:BD144"/>
    <mergeCell ref="BA153:BD153"/>
    <mergeCell ref="BE153:BF153"/>
    <mergeCell ref="BA99:BD99"/>
    <mergeCell ref="BA105:BD105"/>
    <mergeCell ref="BA104:BD104"/>
    <mergeCell ref="A1:M4"/>
    <mergeCell ref="N1:AM4"/>
    <mergeCell ref="AN1:AW1"/>
    <mergeCell ref="AN2:AW4"/>
    <mergeCell ref="A6:H6"/>
    <mergeCell ref="BA133:BD133"/>
    <mergeCell ref="AX1:BF1"/>
    <mergeCell ref="AX2:BF4"/>
    <mergeCell ref="BG8:BG10"/>
    <mergeCell ref="BH16:BM16"/>
    <mergeCell ref="BN16:BS16"/>
    <mergeCell ref="BT16:BY16"/>
    <mergeCell ref="BH17:BM17"/>
    <mergeCell ref="BN17:BS17"/>
    <mergeCell ref="BT17:BY17"/>
    <mergeCell ref="BH18:BM18"/>
    <mergeCell ref="BN18:BS18"/>
    <mergeCell ref="BA112:BD112"/>
    <mergeCell ref="BE111:BF111"/>
    <mergeCell ref="BN23:BS23"/>
    <mergeCell ref="BT23:BY23"/>
    <mergeCell ref="BH24:BM24"/>
    <mergeCell ref="BN24:BS24"/>
    <mergeCell ref="BT24:BY24"/>
    <mergeCell ref="BH22:BM22"/>
    <mergeCell ref="BH91:BM91"/>
    <mergeCell ref="BN91:BS91"/>
    <mergeCell ref="BT91:BY91"/>
    <mergeCell ref="BN84:BS84"/>
    <mergeCell ref="BT84:BY84"/>
    <mergeCell ref="BH85:BM85"/>
    <mergeCell ref="BN85:BS85"/>
    <mergeCell ref="BE109:BF109"/>
    <mergeCell ref="BE110:BF110"/>
    <mergeCell ref="BZ110:CC110"/>
    <mergeCell ref="BA106:BD106"/>
    <mergeCell ref="BE106:BF106"/>
    <mergeCell ref="BA154:BD154"/>
    <mergeCell ref="BE154:BF154"/>
    <mergeCell ref="BZ154:CC154"/>
    <mergeCell ref="BT8:BY10"/>
    <mergeCell ref="BH11:BM11"/>
    <mergeCell ref="BN11:BS11"/>
    <mergeCell ref="BT11:BY11"/>
    <mergeCell ref="BH12:BM12"/>
    <mergeCell ref="BN12:BS12"/>
    <mergeCell ref="BT12:BY12"/>
    <mergeCell ref="BH13:BM13"/>
    <mergeCell ref="BN13:BS13"/>
    <mergeCell ref="BT13:BY13"/>
    <mergeCell ref="BH8:BM10"/>
    <mergeCell ref="BN8:BS10"/>
    <mergeCell ref="BH14:BM14"/>
    <mergeCell ref="BN14:BS14"/>
    <mergeCell ref="BT14:BY14"/>
    <mergeCell ref="BH15:BM15"/>
    <mergeCell ref="BN15:BS15"/>
    <mergeCell ref="BT15:BY15"/>
    <mergeCell ref="BT22:BY22"/>
    <mergeCell ref="BH23:BM23"/>
    <mergeCell ref="BN112:BS112"/>
    <mergeCell ref="BT112:BY112"/>
    <mergeCell ref="BH108:BM108"/>
    <mergeCell ref="BE99:BF99"/>
    <mergeCell ref="BH111:BM111"/>
    <mergeCell ref="BN111:BS111"/>
    <mergeCell ref="BT111:BY111"/>
    <mergeCell ref="BH107:BM107"/>
    <mergeCell ref="BN107:BS107"/>
    <mergeCell ref="BT107:BY107"/>
    <mergeCell ref="BH92:BM92"/>
    <mergeCell ref="BN92:BS92"/>
    <mergeCell ref="BT92:BY92"/>
    <mergeCell ref="BH103:BM103"/>
    <mergeCell ref="BN103:BS103"/>
    <mergeCell ref="BT103:BY103"/>
    <mergeCell ref="BH104:BM104"/>
    <mergeCell ref="BT98:BY98"/>
    <mergeCell ref="BH106:BM106"/>
    <mergeCell ref="BN106:BS106"/>
    <mergeCell ref="BZ111:CC111"/>
    <mergeCell ref="BH101:BM101"/>
    <mergeCell ref="BH105:BM105"/>
    <mergeCell ref="BN105:BS105"/>
    <mergeCell ref="BT105:BY105"/>
    <mergeCell ref="BH99:BM99"/>
    <mergeCell ref="BN99:BS99"/>
    <mergeCell ref="BT99:BY99"/>
    <mergeCell ref="BH100:BM100"/>
    <mergeCell ref="BN100:BS100"/>
    <mergeCell ref="BT100:BY100"/>
    <mergeCell ref="BN101:BS101"/>
    <mergeCell ref="BT101:BY101"/>
    <mergeCell ref="BH102:BM102"/>
    <mergeCell ref="BN102:BS102"/>
    <mergeCell ref="BT102:BY102"/>
    <mergeCell ref="CS29:CW34"/>
    <mergeCell ref="BN108:BS108"/>
    <mergeCell ref="BT108:BY108"/>
    <mergeCell ref="BN109:BS109"/>
    <mergeCell ref="BT85:BY85"/>
    <mergeCell ref="BT83:BY83"/>
    <mergeCell ref="BH84:BM84"/>
    <mergeCell ref="BH86:BM86"/>
    <mergeCell ref="BN86:BS86"/>
    <mergeCell ref="BT86:BY86"/>
    <mergeCell ref="BT109:BY109"/>
    <mergeCell ref="BH110:BM110"/>
    <mergeCell ref="BN110:BS110"/>
    <mergeCell ref="BT110:BY110"/>
    <mergeCell ref="BH94:BM94"/>
    <mergeCell ref="BN94:BS94"/>
    <mergeCell ref="BT94:BY94"/>
    <mergeCell ref="BH78:BM78"/>
    <mergeCell ref="BN78:BS78"/>
    <mergeCell ref="BT78:BY78"/>
    <mergeCell ref="BH79:BM79"/>
    <mergeCell ref="BN79:BS79"/>
    <mergeCell ref="BT80:BY80"/>
    <mergeCell ref="BH81:BM81"/>
    <mergeCell ref="BN104:BS104"/>
    <mergeCell ref="BT104:BY104"/>
    <mergeCell ref="BN98:BS98"/>
    <mergeCell ref="V161:AB166"/>
    <mergeCell ref="BT106:BY106"/>
    <mergeCell ref="ER8:FA8"/>
    <mergeCell ref="BH69:BM69"/>
    <mergeCell ref="BN69:BS69"/>
    <mergeCell ref="BT69:BY69"/>
    <mergeCell ref="BH70:BM70"/>
    <mergeCell ref="BN70:BS70"/>
    <mergeCell ref="BT70:BY70"/>
    <mergeCell ref="BH25:BM25"/>
    <mergeCell ref="BN25:BS25"/>
    <mergeCell ref="BT25:BY25"/>
    <mergeCell ref="BH26:BM26"/>
    <mergeCell ref="BN26:BS26"/>
    <mergeCell ref="BT26:BY26"/>
    <mergeCell ref="BN75:BS75"/>
    <mergeCell ref="BN45:BS45"/>
    <mergeCell ref="BN57:BS57"/>
    <mergeCell ref="BN63:BS63"/>
    <mergeCell ref="BT66:BY66"/>
    <mergeCell ref="BH67:BM67"/>
    <mergeCell ref="BN67:BS67"/>
    <mergeCell ref="BT67:BY67"/>
    <mergeCell ref="BH68:BM68"/>
    <mergeCell ref="BN68:BS68"/>
    <mergeCell ref="BT68:BY68"/>
    <mergeCell ref="BZ70:CC70"/>
    <mergeCell ref="CS23:CW28"/>
    <mergeCell ref="BZ75:CC75"/>
    <mergeCell ref="CN71:CR76"/>
    <mergeCell ref="CS71:CW76"/>
    <mergeCell ref="CN29:CR34"/>
    <mergeCell ref="AQ161:AW166"/>
    <mergeCell ref="AQ167:AW172"/>
    <mergeCell ref="V23:AB28"/>
    <mergeCell ref="AC23:AI28"/>
    <mergeCell ref="K65:Q70"/>
    <mergeCell ref="R65:S70"/>
    <mergeCell ref="T65:U70"/>
    <mergeCell ref="V65:AB70"/>
    <mergeCell ref="AC65:AI70"/>
    <mergeCell ref="DB8:EO8"/>
    <mergeCell ref="A155:A160"/>
    <mergeCell ref="D155:J160"/>
    <mergeCell ref="K155:Q160"/>
    <mergeCell ref="R155:S160"/>
    <mergeCell ref="T155:U160"/>
    <mergeCell ref="V155:AB160"/>
    <mergeCell ref="AC155:AI160"/>
    <mergeCell ref="AJ155:AP160"/>
    <mergeCell ref="BN159:BS159"/>
    <mergeCell ref="AX155:AY160"/>
    <mergeCell ref="BA155:BD155"/>
    <mergeCell ref="BE155:BF155"/>
    <mergeCell ref="BH155:BM155"/>
    <mergeCell ref="BN155:BS155"/>
    <mergeCell ref="BT155:BY155"/>
    <mergeCell ref="BZ155:CC155"/>
    <mergeCell ref="BZ160:CC160"/>
    <mergeCell ref="A161:A166"/>
    <mergeCell ref="D161:J166"/>
    <mergeCell ref="K161:Q166"/>
    <mergeCell ref="R161:S166"/>
    <mergeCell ref="T161:U166"/>
    <mergeCell ref="BN165:BS165"/>
    <mergeCell ref="AX161:AY166"/>
    <mergeCell ref="BA161:BD161"/>
    <mergeCell ref="BE161:BF161"/>
    <mergeCell ref="BH161:BM161"/>
    <mergeCell ref="BN161:BS161"/>
    <mergeCell ref="BT161:BY161"/>
    <mergeCell ref="BZ161:CC161"/>
    <mergeCell ref="BT165:BY165"/>
    <mergeCell ref="BZ165:CC165"/>
    <mergeCell ref="BA166:BD166"/>
    <mergeCell ref="BE166:BF166"/>
    <mergeCell ref="BH165:BM165"/>
    <mergeCell ref="BH166:BM166"/>
    <mergeCell ref="BN166:BS166"/>
    <mergeCell ref="BT166:BY166"/>
    <mergeCell ref="BZ166:CC166"/>
    <mergeCell ref="CN155:CR160"/>
    <mergeCell ref="CS155:CW160"/>
    <mergeCell ref="BA156:BD156"/>
    <mergeCell ref="BE156:BF156"/>
    <mergeCell ref="BH156:BM156"/>
    <mergeCell ref="BN156:BS156"/>
    <mergeCell ref="BT156:BY156"/>
    <mergeCell ref="BZ156:CC156"/>
    <mergeCell ref="BA157:BD157"/>
    <mergeCell ref="BE157:BF157"/>
    <mergeCell ref="BH157:BM157"/>
    <mergeCell ref="BN157:BS157"/>
    <mergeCell ref="BT157:BY157"/>
    <mergeCell ref="BZ157:CC157"/>
    <mergeCell ref="BA158:BD158"/>
    <mergeCell ref="BE158:BF158"/>
    <mergeCell ref="BH158:BM158"/>
    <mergeCell ref="BN158:BS158"/>
    <mergeCell ref="BT158:BY158"/>
    <mergeCell ref="BZ158:CC158"/>
    <mergeCell ref="BA159:BD159"/>
    <mergeCell ref="BE159:BF159"/>
    <mergeCell ref="BH159:BM159"/>
    <mergeCell ref="CD155:CH160"/>
    <mergeCell ref="CI155:CM160"/>
    <mergeCell ref="BT159:BY159"/>
    <mergeCell ref="BZ159:CC159"/>
    <mergeCell ref="BA160:BD160"/>
    <mergeCell ref="BE160:BF160"/>
    <mergeCell ref="BH160:BM160"/>
    <mergeCell ref="BN160:BS160"/>
    <mergeCell ref="BT160:BY160"/>
    <mergeCell ref="K167:Q172"/>
    <mergeCell ref="R167:S172"/>
    <mergeCell ref="T167:U172"/>
    <mergeCell ref="V167:AB172"/>
    <mergeCell ref="AC167:AI172"/>
    <mergeCell ref="AJ167:AP172"/>
    <mergeCell ref="CN161:CR166"/>
    <mergeCell ref="CS161:CW166"/>
    <mergeCell ref="BA162:BD162"/>
    <mergeCell ref="BE162:BF162"/>
    <mergeCell ref="BH162:BM162"/>
    <mergeCell ref="BN162:BS162"/>
    <mergeCell ref="BT162:BY162"/>
    <mergeCell ref="BZ162:CC162"/>
    <mergeCell ref="BA163:BD163"/>
    <mergeCell ref="BE163:BF163"/>
    <mergeCell ref="BH163:BM163"/>
    <mergeCell ref="BN163:BS163"/>
    <mergeCell ref="BT163:BY163"/>
    <mergeCell ref="BZ163:CC163"/>
    <mergeCell ref="BA164:BD164"/>
    <mergeCell ref="BE164:BF164"/>
    <mergeCell ref="BH164:BM164"/>
    <mergeCell ref="BN164:BS164"/>
    <mergeCell ref="BT164:BY164"/>
    <mergeCell ref="BZ164:CC164"/>
    <mergeCell ref="CD161:CH166"/>
    <mergeCell ref="CI161:CM166"/>
    <mergeCell ref="BA165:BD165"/>
    <mergeCell ref="BE165:BF165"/>
    <mergeCell ref="AC161:AI166"/>
    <mergeCell ref="AJ161:AP166"/>
    <mergeCell ref="AX167:AY172"/>
    <mergeCell ref="BA167:BD167"/>
    <mergeCell ref="BE167:BF167"/>
    <mergeCell ref="BH167:BM167"/>
    <mergeCell ref="BN167:BS167"/>
    <mergeCell ref="BT167:BY167"/>
    <mergeCell ref="BZ167:CC167"/>
    <mergeCell ref="CD167:CH172"/>
    <mergeCell ref="CI167:CM172"/>
    <mergeCell ref="BT171:BY171"/>
    <mergeCell ref="BZ171:CC171"/>
    <mergeCell ref="BA172:BD172"/>
    <mergeCell ref="BE172:BF172"/>
    <mergeCell ref="BH172:BM172"/>
    <mergeCell ref="BN172:BS172"/>
    <mergeCell ref="BT172:BY172"/>
    <mergeCell ref="BZ172:CC172"/>
    <mergeCell ref="CN167:CR172"/>
    <mergeCell ref="CS167:CW172"/>
    <mergeCell ref="BA168:BD168"/>
    <mergeCell ref="BE168:BF168"/>
    <mergeCell ref="BH168:BM168"/>
    <mergeCell ref="BN168:BS168"/>
    <mergeCell ref="BT168:BY168"/>
    <mergeCell ref="BZ168:CC168"/>
    <mergeCell ref="BA169:BD169"/>
    <mergeCell ref="BE169:BF169"/>
    <mergeCell ref="BH169:BM169"/>
    <mergeCell ref="BN169:BS169"/>
    <mergeCell ref="BT169:BY169"/>
    <mergeCell ref="BZ169:CC169"/>
    <mergeCell ref="BA170:BD170"/>
    <mergeCell ref="BE170:BF170"/>
    <mergeCell ref="BH170:BM170"/>
    <mergeCell ref="BN170:BS170"/>
    <mergeCell ref="BT170:BY170"/>
    <mergeCell ref="BZ170:CC170"/>
    <mergeCell ref="BA171:BD171"/>
    <mergeCell ref="BE171:BF171"/>
    <mergeCell ref="BH171:BM171"/>
    <mergeCell ref="BN171:BS171"/>
    <mergeCell ref="CN173:CR178"/>
    <mergeCell ref="CS173:CW178"/>
    <mergeCell ref="BA174:BD174"/>
    <mergeCell ref="BE174:BF174"/>
    <mergeCell ref="BH174:BM174"/>
    <mergeCell ref="BN174:BS174"/>
    <mergeCell ref="BT174:BY174"/>
    <mergeCell ref="BZ174:CC174"/>
    <mergeCell ref="BA175:BD175"/>
    <mergeCell ref="BE175:BF175"/>
    <mergeCell ref="BH175:BM175"/>
    <mergeCell ref="BN175:BS175"/>
    <mergeCell ref="BT175:BY175"/>
    <mergeCell ref="BZ175:CC175"/>
    <mergeCell ref="BA176:BD176"/>
    <mergeCell ref="BE176:BF176"/>
    <mergeCell ref="BH176:BM176"/>
    <mergeCell ref="BN176:BS176"/>
    <mergeCell ref="BT176:BY176"/>
    <mergeCell ref="BZ176:CC176"/>
    <mergeCell ref="BA177:BD177"/>
    <mergeCell ref="BE177:BF177"/>
    <mergeCell ref="BH177:BM177"/>
    <mergeCell ref="BN177:BS177"/>
    <mergeCell ref="BA173:BD173"/>
    <mergeCell ref="BE173:BF173"/>
    <mergeCell ref="BH173:BM173"/>
    <mergeCell ref="BN173:BS173"/>
    <mergeCell ref="BT173:BY173"/>
    <mergeCell ref="BZ173:CC173"/>
    <mergeCell ref="CD173:CH178"/>
    <mergeCell ref="CI173:CM178"/>
    <mergeCell ref="BA76:BD76"/>
    <mergeCell ref="BE76:BF76"/>
    <mergeCell ref="BH76:BM76"/>
    <mergeCell ref="BN76:BS76"/>
    <mergeCell ref="BT76:BY76"/>
    <mergeCell ref="BZ76:CC76"/>
    <mergeCell ref="A179:A184"/>
    <mergeCell ref="D179:J184"/>
    <mergeCell ref="K179:Q184"/>
    <mergeCell ref="R179:S184"/>
    <mergeCell ref="T179:U184"/>
    <mergeCell ref="V179:AB184"/>
    <mergeCell ref="AC179:AI184"/>
    <mergeCell ref="AJ179:AP184"/>
    <mergeCell ref="AQ179:AW184"/>
    <mergeCell ref="BN183:BS183"/>
    <mergeCell ref="AX179:AY184"/>
    <mergeCell ref="BA179:BD179"/>
    <mergeCell ref="BE179:BF179"/>
    <mergeCell ref="BH179:BM179"/>
    <mergeCell ref="BN179:BS179"/>
    <mergeCell ref="BT179:BY179"/>
    <mergeCell ref="AX173:AY178"/>
    <mergeCell ref="BT177:BY177"/>
    <mergeCell ref="BZ177:CC177"/>
    <mergeCell ref="BA178:BD178"/>
    <mergeCell ref="BE178:BF178"/>
    <mergeCell ref="BH178:BM178"/>
    <mergeCell ref="BN178:BS178"/>
    <mergeCell ref="BT178:BY178"/>
    <mergeCell ref="BZ178:CC178"/>
    <mergeCell ref="BZ179:CC179"/>
    <mergeCell ref="BA72:BD72"/>
    <mergeCell ref="BE72:BF72"/>
    <mergeCell ref="BH72:BM72"/>
    <mergeCell ref="BN72:BS72"/>
    <mergeCell ref="BT72:BY72"/>
    <mergeCell ref="BZ72:CC72"/>
    <mergeCell ref="BA73:BD73"/>
    <mergeCell ref="BE73:BF73"/>
    <mergeCell ref="BH73:BM73"/>
    <mergeCell ref="BN73:BS73"/>
    <mergeCell ref="BT73:BY73"/>
    <mergeCell ref="BZ73:CC73"/>
    <mergeCell ref="BA74:BD74"/>
    <mergeCell ref="BE74:BF74"/>
    <mergeCell ref="BH74:BM74"/>
    <mergeCell ref="BN74:BS74"/>
    <mergeCell ref="BT74:BY74"/>
    <mergeCell ref="BZ74:CC74"/>
    <mergeCell ref="BA75:BD75"/>
    <mergeCell ref="BE75:BF75"/>
    <mergeCell ref="BH75:BM75"/>
    <mergeCell ref="BA71:BD71"/>
    <mergeCell ref="BE71:BF71"/>
    <mergeCell ref="BH71:BM71"/>
    <mergeCell ref="BN71:BS71"/>
    <mergeCell ref="BT71:BY71"/>
    <mergeCell ref="BZ71:CC71"/>
    <mergeCell ref="CD71:CH76"/>
    <mergeCell ref="CI71:CM76"/>
    <mergeCell ref="BT75:BY75"/>
    <mergeCell ref="BT184:BY184"/>
    <mergeCell ref="BZ184:CC184"/>
    <mergeCell ref="A185:A190"/>
    <mergeCell ref="D185:J190"/>
    <mergeCell ref="K185:Q190"/>
    <mergeCell ref="R185:S190"/>
    <mergeCell ref="T185:U190"/>
    <mergeCell ref="V185:AB190"/>
    <mergeCell ref="AC185:AI190"/>
    <mergeCell ref="AJ185:AP190"/>
    <mergeCell ref="AQ185:AW190"/>
    <mergeCell ref="BN189:BS189"/>
    <mergeCell ref="AX185:AY190"/>
    <mergeCell ref="BA185:BD185"/>
    <mergeCell ref="BE185:BF185"/>
    <mergeCell ref="BH185:BM185"/>
    <mergeCell ref="BN185:BS185"/>
    <mergeCell ref="BT185:BY185"/>
    <mergeCell ref="BZ185:CC185"/>
    <mergeCell ref="BT189:BY189"/>
    <mergeCell ref="CS179:CW184"/>
    <mergeCell ref="BA180:BD180"/>
    <mergeCell ref="BE180:BF180"/>
    <mergeCell ref="BH180:BM180"/>
    <mergeCell ref="BN180:BS180"/>
    <mergeCell ref="BT180:BY180"/>
    <mergeCell ref="BZ180:CC180"/>
    <mergeCell ref="BA181:BD181"/>
    <mergeCell ref="BE181:BF181"/>
    <mergeCell ref="BH181:BM181"/>
    <mergeCell ref="BN181:BS181"/>
    <mergeCell ref="BT181:BY181"/>
    <mergeCell ref="BZ181:CC181"/>
    <mergeCell ref="BA182:BD182"/>
    <mergeCell ref="BE182:BF182"/>
    <mergeCell ref="BH182:BM182"/>
    <mergeCell ref="BN182:BS182"/>
    <mergeCell ref="BT182:BY182"/>
    <mergeCell ref="BZ182:CC182"/>
    <mergeCell ref="BA183:BD183"/>
    <mergeCell ref="BE183:BF183"/>
    <mergeCell ref="BH183:BM183"/>
    <mergeCell ref="CD179:CH184"/>
    <mergeCell ref="CI179:CM184"/>
    <mergeCell ref="BT183:BY183"/>
    <mergeCell ref="BZ183:CC183"/>
    <mergeCell ref="BA184:BD184"/>
    <mergeCell ref="BE184:BF184"/>
    <mergeCell ref="BH184:BM184"/>
    <mergeCell ref="BN184:BS184"/>
    <mergeCell ref="BN195:BS195"/>
    <mergeCell ref="AX191:AY196"/>
    <mergeCell ref="BA191:BD191"/>
    <mergeCell ref="BE191:BF191"/>
    <mergeCell ref="BH191:BM191"/>
    <mergeCell ref="BN191:BS191"/>
    <mergeCell ref="BT191:BY191"/>
    <mergeCell ref="BZ191:CC191"/>
    <mergeCell ref="BZ195:CC195"/>
    <mergeCell ref="BA196:BD196"/>
    <mergeCell ref="BE196:BF196"/>
    <mergeCell ref="BH196:BM196"/>
    <mergeCell ref="BA195:BD195"/>
    <mergeCell ref="BE195:BF195"/>
    <mergeCell ref="BH192:BM192"/>
    <mergeCell ref="BN192:BS192"/>
    <mergeCell ref="BT192:BY192"/>
    <mergeCell ref="BZ192:CC192"/>
    <mergeCell ref="BA193:BD193"/>
    <mergeCell ref="BE193:BF193"/>
    <mergeCell ref="BH193:BM193"/>
    <mergeCell ref="BN193:BS193"/>
    <mergeCell ref="BT193:BY193"/>
    <mergeCell ref="CD191:CH196"/>
    <mergeCell ref="CI191:CM196"/>
    <mergeCell ref="BT195:BY195"/>
    <mergeCell ref="CN185:CR190"/>
    <mergeCell ref="CS185:CW190"/>
    <mergeCell ref="BA186:BD186"/>
    <mergeCell ref="BE186:BF186"/>
    <mergeCell ref="BH186:BM186"/>
    <mergeCell ref="BN186:BS186"/>
    <mergeCell ref="BT186:BY186"/>
    <mergeCell ref="BZ186:CC186"/>
    <mergeCell ref="BA187:BD187"/>
    <mergeCell ref="BE187:BF187"/>
    <mergeCell ref="BH187:BM187"/>
    <mergeCell ref="BN187:BS187"/>
    <mergeCell ref="BT187:BY187"/>
    <mergeCell ref="BZ187:CC187"/>
    <mergeCell ref="BA188:BD188"/>
    <mergeCell ref="BE188:BF188"/>
    <mergeCell ref="BH188:BM188"/>
    <mergeCell ref="CD185:CH190"/>
    <mergeCell ref="CI185:CM190"/>
    <mergeCell ref="BN188:BS188"/>
    <mergeCell ref="BT188:BY188"/>
    <mergeCell ref="BZ188:CC188"/>
    <mergeCell ref="BA189:BD189"/>
    <mergeCell ref="BZ189:CC189"/>
    <mergeCell ref="BE189:BF189"/>
    <mergeCell ref="BH189:BM189"/>
    <mergeCell ref="BA190:BD190"/>
    <mergeCell ref="BA192:BD192"/>
    <mergeCell ref="BE192:BF192"/>
    <mergeCell ref="BT194:BY194"/>
    <mergeCell ref="BZ194:CC194"/>
    <mergeCell ref="K197:Q202"/>
    <mergeCell ref="R197:S202"/>
    <mergeCell ref="T197:U202"/>
    <mergeCell ref="V197:AB202"/>
    <mergeCell ref="AC197:AI202"/>
    <mergeCell ref="AJ197:AP202"/>
    <mergeCell ref="AQ197:AW202"/>
    <mergeCell ref="BA198:BD198"/>
    <mergeCell ref="AX197:AY202"/>
    <mergeCell ref="BT201:BY201"/>
    <mergeCell ref="BZ201:CC201"/>
    <mergeCell ref="BA202:BD202"/>
    <mergeCell ref="BE202:BF202"/>
    <mergeCell ref="BH202:BM202"/>
    <mergeCell ref="BN202:BS202"/>
    <mergeCell ref="BT202:BY202"/>
    <mergeCell ref="BZ202:CC202"/>
    <mergeCell ref="BA199:BD199"/>
    <mergeCell ref="BE199:BF199"/>
    <mergeCell ref="BH199:BM199"/>
    <mergeCell ref="BN199:BS199"/>
    <mergeCell ref="BT199:BY199"/>
    <mergeCell ref="BZ199:CC199"/>
    <mergeCell ref="BA200:BD200"/>
    <mergeCell ref="BE200:BF200"/>
    <mergeCell ref="K191:Q196"/>
    <mergeCell ref="R191:S196"/>
    <mergeCell ref="T191:U196"/>
    <mergeCell ref="V191:AB196"/>
    <mergeCell ref="AC191:AI196"/>
    <mergeCell ref="BA201:BD201"/>
    <mergeCell ref="BE201:BF201"/>
    <mergeCell ref="BH201:BM201"/>
    <mergeCell ref="BN201:BS201"/>
    <mergeCell ref="BA197:BD197"/>
    <mergeCell ref="BE197:BF197"/>
    <mergeCell ref="BH197:BM197"/>
    <mergeCell ref="BN197:BS197"/>
    <mergeCell ref="BT197:BY197"/>
    <mergeCell ref="BZ197:CC197"/>
    <mergeCell ref="BH32:BM32"/>
    <mergeCell ref="BN32:BS32"/>
    <mergeCell ref="BT32:BY32"/>
    <mergeCell ref="BZ32:CC32"/>
    <mergeCell ref="BA35:BD35"/>
    <mergeCell ref="BH35:BM35"/>
    <mergeCell ref="BN35:BS35"/>
    <mergeCell ref="BT35:BY35"/>
    <mergeCell ref="BZ35:CC35"/>
    <mergeCell ref="BA46:BD46"/>
    <mergeCell ref="BE46:BF46"/>
    <mergeCell ref="BH46:BM46"/>
    <mergeCell ref="BN46:BS46"/>
    <mergeCell ref="BT46:BY46"/>
    <mergeCell ref="BZ46:CC46"/>
    <mergeCell ref="BZ42:CC42"/>
    <mergeCell ref="BA43:BD43"/>
    <mergeCell ref="BE43:BF43"/>
    <mergeCell ref="BZ193:CC193"/>
    <mergeCell ref="BA194:BD194"/>
    <mergeCell ref="BE194:BF194"/>
    <mergeCell ref="BH194:BM194"/>
    <mergeCell ref="CD35:CH40"/>
    <mergeCell ref="CI35:CM40"/>
    <mergeCell ref="BH195:BM195"/>
    <mergeCell ref="CN197:CR202"/>
    <mergeCell ref="CS197:CW202"/>
    <mergeCell ref="BE198:BF198"/>
    <mergeCell ref="BH198:BM198"/>
    <mergeCell ref="BN198:BS198"/>
    <mergeCell ref="BT198:BY198"/>
    <mergeCell ref="BZ198:CC198"/>
    <mergeCell ref="CD197:CH202"/>
    <mergeCell ref="CI197:CM202"/>
    <mergeCell ref="BN196:BS196"/>
    <mergeCell ref="BT196:BY196"/>
    <mergeCell ref="BZ196:CC196"/>
    <mergeCell ref="CN191:CR196"/>
    <mergeCell ref="CS191:CW196"/>
    <mergeCell ref="BE190:BF190"/>
    <mergeCell ref="BH190:BM190"/>
    <mergeCell ref="BN190:BS190"/>
    <mergeCell ref="BT190:BY190"/>
    <mergeCell ref="BZ190:CC190"/>
    <mergeCell ref="CN179:CR184"/>
    <mergeCell ref="BN38:BS38"/>
    <mergeCell ref="BT38:BY38"/>
    <mergeCell ref="BZ38:CC38"/>
    <mergeCell ref="BE35:BF35"/>
    <mergeCell ref="BH200:BM200"/>
    <mergeCell ref="BN200:BS200"/>
    <mergeCell ref="BT200:BY200"/>
    <mergeCell ref="BZ200:CC200"/>
    <mergeCell ref="BN194:BS194"/>
    <mergeCell ref="A29:A34"/>
    <mergeCell ref="D29:J34"/>
    <mergeCell ref="K29:Q34"/>
    <mergeCell ref="R29:S34"/>
    <mergeCell ref="T29:U34"/>
    <mergeCell ref="V29:AB34"/>
    <mergeCell ref="AC29:AI34"/>
    <mergeCell ref="AJ29:AP34"/>
    <mergeCell ref="AQ29:AW34"/>
    <mergeCell ref="BA30:BD30"/>
    <mergeCell ref="BE30:BF30"/>
    <mergeCell ref="BH30:BM30"/>
    <mergeCell ref="BN30:BS30"/>
    <mergeCell ref="BT30:BY30"/>
    <mergeCell ref="BZ30:CC30"/>
    <mergeCell ref="BA31:BD31"/>
    <mergeCell ref="BE31:BF31"/>
    <mergeCell ref="BH31:BM31"/>
    <mergeCell ref="BN31:BS31"/>
    <mergeCell ref="BT31:BY31"/>
    <mergeCell ref="BZ31:CC31"/>
    <mergeCell ref="BA32:BD32"/>
    <mergeCell ref="BE32:BF32"/>
    <mergeCell ref="CN41:CR46"/>
    <mergeCell ref="BA29:BD29"/>
    <mergeCell ref="BE29:BF29"/>
    <mergeCell ref="BH29:BM29"/>
    <mergeCell ref="BN29:BS29"/>
    <mergeCell ref="BT29:BY29"/>
    <mergeCell ref="BZ29:CC29"/>
    <mergeCell ref="CD29:CH34"/>
    <mergeCell ref="CI29:CM34"/>
    <mergeCell ref="CN35:CR40"/>
    <mergeCell ref="CS35:CW40"/>
    <mergeCell ref="BA36:BD36"/>
    <mergeCell ref="BE36:BF36"/>
    <mergeCell ref="BH36:BM36"/>
    <mergeCell ref="BN36:BS36"/>
    <mergeCell ref="BT36:BY36"/>
    <mergeCell ref="BZ36:CC36"/>
    <mergeCell ref="BA37:BD37"/>
    <mergeCell ref="BE37:BF37"/>
    <mergeCell ref="BH37:BM37"/>
    <mergeCell ref="BN37:BS37"/>
    <mergeCell ref="BT37:BY37"/>
    <mergeCell ref="BZ37:CC37"/>
    <mergeCell ref="BA38:BD38"/>
    <mergeCell ref="BE38:BF38"/>
    <mergeCell ref="BH38:BM38"/>
    <mergeCell ref="CS41:CW46"/>
    <mergeCell ref="BA42:BD42"/>
    <mergeCell ref="BE42:BF42"/>
    <mergeCell ref="BH42:BM42"/>
    <mergeCell ref="BN42:BS42"/>
    <mergeCell ref="BT42:BY42"/>
    <mergeCell ref="BH43:BM43"/>
    <mergeCell ref="BN43:BS43"/>
    <mergeCell ref="BT43:BY43"/>
    <mergeCell ref="BZ43:CC43"/>
    <mergeCell ref="BA44:BD44"/>
    <mergeCell ref="BE44:BF44"/>
    <mergeCell ref="BH44:BM44"/>
    <mergeCell ref="BN44:BS44"/>
    <mergeCell ref="BT44:BY44"/>
    <mergeCell ref="BZ44:CC44"/>
    <mergeCell ref="BA45:BD45"/>
    <mergeCell ref="BE45:BF45"/>
    <mergeCell ref="BH45:BM45"/>
    <mergeCell ref="BA41:BD41"/>
    <mergeCell ref="BE41:BF41"/>
    <mergeCell ref="BH41:BM41"/>
    <mergeCell ref="BN41:BS41"/>
    <mergeCell ref="BT41:BY41"/>
    <mergeCell ref="BZ41:CC41"/>
    <mergeCell ref="CD41:CH46"/>
    <mergeCell ref="CI41:CM46"/>
    <mergeCell ref="BT45:BY45"/>
    <mergeCell ref="BZ45:CC45"/>
    <mergeCell ref="AX59:AY64"/>
    <mergeCell ref="BA59:BD59"/>
    <mergeCell ref="BE59:BF59"/>
    <mergeCell ref="BH59:BM59"/>
    <mergeCell ref="BN59:BS59"/>
    <mergeCell ref="BT59:BY59"/>
    <mergeCell ref="BZ59:CC59"/>
    <mergeCell ref="A53:A58"/>
    <mergeCell ref="D53:J58"/>
    <mergeCell ref="K53:Q58"/>
    <mergeCell ref="R53:S58"/>
    <mergeCell ref="T53:U58"/>
    <mergeCell ref="V53:AB58"/>
    <mergeCell ref="AC53:AI58"/>
    <mergeCell ref="AJ53:AP58"/>
    <mergeCell ref="AQ53:AW58"/>
    <mergeCell ref="BZ64:CC64"/>
    <mergeCell ref="BE63:BF63"/>
    <mergeCell ref="BH63:BM63"/>
    <mergeCell ref="BT63:BY63"/>
    <mergeCell ref="BZ63:CC63"/>
    <mergeCell ref="BA64:BD64"/>
    <mergeCell ref="BE64:BF64"/>
    <mergeCell ref="BZ57:CC57"/>
    <mergeCell ref="BA58:BD58"/>
    <mergeCell ref="BE58:BF58"/>
    <mergeCell ref="BH58:BM58"/>
    <mergeCell ref="BN58:BS58"/>
    <mergeCell ref="BT58:BY58"/>
    <mergeCell ref="BZ58:CC58"/>
    <mergeCell ref="CN53:CR58"/>
    <mergeCell ref="CS53:CW58"/>
    <mergeCell ref="BA54:BD54"/>
    <mergeCell ref="BE54:BF54"/>
    <mergeCell ref="BH54:BM54"/>
    <mergeCell ref="BN54:BS54"/>
    <mergeCell ref="BT54:BY54"/>
    <mergeCell ref="BZ54:CC54"/>
    <mergeCell ref="BA55:BD55"/>
    <mergeCell ref="BE55:BF55"/>
    <mergeCell ref="BH55:BM55"/>
    <mergeCell ref="BN55:BS55"/>
    <mergeCell ref="BT55:BY55"/>
    <mergeCell ref="BZ55:CC55"/>
    <mergeCell ref="BA56:BD56"/>
    <mergeCell ref="BE56:BF56"/>
    <mergeCell ref="BH56:BM56"/>
    <mergeCell ref="BN56:BS56"/>
    <mergeCell ref="BT56:BY56"/>
    <mergeCell ref="BZ56:CC56"/>
    <mergeCell ref="BA57:BD57"/>
    <mergeCell ref="BE57:BF57"/>
    <mergeCell ref="BH57:BM57"/>
    <mergeCell ref="BA53:BD53"/>
    <mergeCell ref="BE53:BF53"/>
    <mergeCell ref="BH53:BM53"/>
    <mergeCell ref="BN53:BS53"/>
    <mergeCell ref="BT53:BY53"/>
    <mergeCell ref="BZ53:CC53"/>
    <mergeCell ref="CD53:CH58"/>
    <mergeCell ref="CI53:CM58"/>
    <mergeCell ref="BT57:BY57"/>
    <mergeCell ref="A203:A208"/>
    <mergeCell ref="D203:J208"/>
    <mergeCell ref="K203:Q208"/>
    <mergeCell ref="R203:S208"/>
    <mergeCell ref="T203:U208"/>
    <mergeCell ref="V203:AB208"/>
    <mergeCell ref="AC203:AI208"/>
    <mergeCell ref="AJ203:AP208"/>
    <mergeCell ref="AQ203:AW208"/>
    <mergeCell ref="BN207:BS207"/>
    <mergeCell ref="AX203:AY208"/>
    <mergeCell ref="BA203:BD203"/>
    <mergeCell ref="BE203:BF203"/>
    <mergeCell ref="BH203:BM203"/>
    <mergeCell ref="BN203:BS203"/>
    <mergeCell ref="BT203:BY203"/>
    <mergeCell ref="BZ203:CC203"/>
    <mergeCell ref="BT207:BY207"/>
    <mergeCell ref="BZ207:CC207"/>
    <mergeCell ref="BA208:BD208"/>
    <mergeCell ref="BE207:BF207"/>
    <mergeCell ref="BH207:BM207"/>
    <mergeCell ref="BE208:BF208"/>
    <mergeCell ref="BH208:BM208"/>
    <mergeCell ref="BN208:BS208"/>
    <mergeCell ref="BT208:BY208"/>
    <mergeCell ref="BZ208:CC208"/>
    <mergeCell ref="A197:A202"/>
    <mergeCell ref="D197:J202"/>
    <mergeCell ref="A59:A64"/>
    <mergeCell ref="CN59:CR64"/>
    <mergeCell ref="CS59:CW64"/>
    <mergeCell ref="BA60:BD60"/>
    <mergeCell ref="BE60:BF60"/>
    <mergeCell ref="BH60:BM60"/>
    <mergeCell ref="BN60:BS60"/>
    <mergeCell ref="BT60:BY60"/>
    <mergeCell ref="BZ60:CC60"/>
    <mergeCell ref="BA61:BD61"/>
    <mergeCell ref="BE61:BF61"/>
    <mergeCell ref="BH61:BM61"/>
    <mergeCell ref="BN61:BS61"/>
    <mergeCell ref="BT61:BY61"/>
    <mergeCell ref="BZ61:CC61"/>
    <mergeCell ref="BA62:BD62"/>
    <mergeCell ref="BE62:BF62"/>
    <mergeCell ref="BH62:BM62"/>
    <mergeCell ref="BN62:BS62"/>
    <mergeCell ref="BT62:BY62"/>
    <mergeCell ref="BZ62:CC62"/>
    <mergeCell ref="BA63:BD63"/>
    <mergeCell ref="CD59:CH64"/>
    <mergeCell ref="CI59:CM64"/>
    <mergeCell ref="BH64:BM64"/>
    <mergeCell ref="BN64:BS64"/>
    <mergeCell ref="BT64:BY64"/>
    <mergeCell ref="D59:J64"/>
    <mergeCell ref="K59:Q64"/>
    <mergeCell ref="R59:S64"/>
    <mergeCell ref="T59:U64"/>
    <mergeCell ref="V59:AB64"/>
    <mergeCell ref="AC59:AI64"/>
    <mergeCell ref="AJ59:AP64"/>
    <mergeCell ref="AQ59:AW64"/>
    <mergeCell ref="A209:A214"/>
    <mergeCell ref="D209:J214"/>
    <mergeCell ref="K209:Q214"/>
    <mergeCell ref="R209:S214"/>
    <mergeCell ref="T209:U214"/>
    <mergeCell ref="V209:AB214"/>
    <mergeCell ref="AC209:AI214"/>
    <mergeCell ref="AJ209:AP214"/>
    <mergeCell ref="AQ209:AW214"/>
    <mergeCell ref="A191:A196"/>
    <mergeCell ref="D191:J196"/>
    <mergeCell ref="AJ191:AP196"/>
    <mergeCell ref="AQ191:AW196"/>
    <mergeCell ref="A173:A178"/>
    <mergeCell ref="D173:J178"/>
    <mergeCell ref="K173:Q178"/>
    <mergeCell ref="R173:S178"/>
    <mergeCell ref="T173:U178"/>
    <mergeCell ref="V173:AB178"/>
    <mergeCell ref="AC173:AI178"/>
    <mergeCell ref="AJ173:AP178"/>
    <mergeCell ref="AQ173:AW178"/>
    <mergeCell ref="A167:A172"/>
    <mergeCell ref="D167:J172"/>
    <mergeCell ref="CN203:CR208"/>
    <mergeCell ref="CS203:CW208"/>
    <mergeCell ref="BA204:BD204"/>
    <mergeCell ref="BE204:BF204"/>
    <mergeCell ref="BH204:BM204"/>
    <mergeCell ref="BN204:BS204"/>
    <mergeCell ref="BT204:BY204"/>
    <mergeCell ref="BZ204:CC204"/>
    <mergeCell ref="BA205:BD205"/>
    <mergeCell ref="BE205:BF205"/>
    <mergeCell ref="BH205:BM205"/>
    <mergeCell ref="BN205:BS205"/>
    <mergeCell ref="BT205:BY205"/>
    <mergeCell ref="BZ205:CC205"/>
    <mergeCell ref="BA206:BD206"/>
    <mergeCell ref="BE206:BF206"/>
    <mergeCell ref="BH206:BM206"/>
    <mergeCell ref="BN206:BS206"/>
    <mergeCell ref="CD203:CH208"/>
    <mergeCell ref="CI203:CM208"/>
    <mergeCell ref="BT206:BY206"/>
    <mergeCell ref="BZ206:CC206"/>
    <mergeCell ref="BA207:BD207"/>
    <mergeCell ref="BN213:BS213"/>
    <mergeCell ref="AX209:AY214"/>
    <mergeCell ref="BA209:BD209"/>
    <mergeCell ref="BE209:BF209"/>
    <mergeCell ref="BH209:BM209"/>
    <mergeCell ref="BN209:BS209"/>
    <mergeCell ref="BT209:BY209"/>
    <mergeCell ref="BZ209:CC209"/>
    <mergeCell ref="CD209:CH214"/>
    <mergeCell ref="CI209:CM214"/>
    <mergeCell ref="BT213:BY213"/>
    <mergeCell ref="BZ213:CC213"/>
    <mergeCell ref="BA214:BD214"/>
    <mergeCell ref="BE214:BF214"/>
    <mergeCell ref="BH214:BM214"/>
    <mergeCell ref="BN214:BS214"/>
    <mergeCell ref="BT214:BY214"/>
    <mergeCell ref="BZ214:CC214"/>
    <mergeCell ref="A215:A220"/>
    <mergeCell ref="D215:J220"/>
    <mergeCell ref="K215:Q220"/>
    <mergeCell ref="R215:S220"/>
    <mergeCell ref="T215:U220"/>
    <mergeCell ref="V215:AB220"/>
    <mergeCell ref="AC215:AI220"/>
    <mergeCell ref="AJ215:AP220"/>
    <mergeCell ref="AQ215:AW220"/>
    <mergeCell ref="CN209:CR214"/>
    <mergeCell ref="CS209:CW214"/>
    <mergeCell ref="BA210:BD210"/>
    <mergeCell ref="BE210:BF210"/>
    <mergeCell ref="BH210:BM210"/>
    <mergeCell ref="BN210:BS210"/>
    <mergeCell ref="BT210:BY210"/>
    <mergeCell ref="BZ210:CC210"/>
    <mergeCell ref="BA211:BD211"/>
    <mergeCell ref="BE211:BF211"/>
    <mergeCell ref="BH211:BM211"/>
    <mergeCell ref="BN211:BS211"/>
    <mergeCell ref="BT211:BY211"/>
    <mergeCell ref="BZ211:CC211"/>
    <mergeCell ref="BA212:BD212"/>
    <mergeCell ref="BE212:BF212"/>
    <mergeCell ref="BH212:BM212"/>
    <mergeCell ref="BN212:BS212"/>
    <mergeCell ref="BT212:BY212"/>
    <mergeCell ref="BZ212:CC212"/>
    <mergeCell ref="BA213:BD213"/>
    <mergeCell ref="BE213:BF213"/>
    <mergeCell ref="BH213:BM213"/>
    <mergeCell ref="BN219:BS219"/>
    <mergeCell ref="AX215:AY220"/>
    <mergeCell ref="BA215:BD215"/>
    <mergeCell ref="BE215:BF215"/>
    <mergeCell ref="BH215:BM215"/>
    <mergeCell ref="BN215:BS215"/>
    <mergeCell ref="BT215:BY215"/>
    <mergeCell ref="BZ215:CC215"/>
    <mergeCell ref="CD215:CH220"/>
    <mergeCell ref="CI215:CM220"/>
    <mergeCell ref="BT219:BY219"/>
    <mergeCell ref="BZ219:CC219"/>
    <mergeCell ref="BA220:BD220"/>
    <mergeCell ref="BE220:BF220"/>
    <mergeCell ref="BH220:BM220"/>
    <mergeCell ref="BN220:BS220"/>
    <mergeCell ref="BT220:BY220"/>
    <mergeCell ref="BZ220:CC220"/>
    <mergeCell ref="A221:A226"/>
    <mergeCell ref="D221:J226"/>
    <mergeCell ref="K221:Q226"/>
    <mergeCell ref="R221:S226"/>
    <mergeCell ref="T221:U226"/>
    <mergeCell ref="V221:AB226"/>
    <mergeCell ref="AC221:AI226"/>
    <mergeCell ref="AJ221:AP226"/>
    <mergeCell ref="AQ221:AW226"/>
    <mergeCell ref="CN215:CR220"/>
    <mergeCell ref="CS215:CW220"/>
    <mergeCell ref="BA216:BD216"/>
    <mergeCell ref="BE216:BF216"/>
    <mergeCell ref="BH216:BM216"/>
    <mergeCell ref="BN216:BS216"/>
    <mergeCell ref="BT216:BY216"/>
    <mergeCell ref="BZ216:CC216"/>
    <mergeCell ref="BA217:BD217"/>
    <mergeCell ref="BE217:BF217"/>
    <mergeCell ref="BH217:BM217"/>
    <mergeCell ref="BN217:BS217"/>
    <mergeCell ref="BT217:BY217"/>
    <mergeCell ref="BZ217:CC217"/>
    <mergeCell ref="BA218:BD218"/>
    <mergeCell ref="BE218:BF218"/>
    <mergeCell ref="BH218:BM218"/>
    <mergeCell ref="BN218:BS218"/>
    <mergeCell ref="BT218:BY218"/>
    <mergeCell ref="BZ218:CC218"/>
    <mergeCell ref="BA219:BD219"/>
    <mergeCell ref="BE219:BF219"/>
    <mergeCell ref="BH219:BM219"/>
    <mergeCell ref="BN225:BS225"/>
    <mergeCell ref="AX221:AY226"/>
    <mergeCell ref="BA221:BD221"/>
    <mergeCell ref="BE221:BF221"/>
    <mergeCell ref="BH221:BM221"/>
    <mergeCell ref="BN221:BS221"/>
    <mergeCell ref="BT221:BY221"/>
    <mergeCell ref="BZ221:CC221"/>
    <mergeCell ref="CD221:CH226"/>
    <mergeCell ref="CI221:CM226"/>
    <mergeCell ref="BT225:BY225"/>
    <mergeCell ref="BZ225:CC225"/>
    <mergeCell ref="BA226:BD226"/>
    <mergeCell ref="BE226:BF226"/>
    <mergeCell ref="BH226:BM226"/>
    <mergeCell ref="BN226:BS226"/>
    <mergeCell ref="BT226:BY226"/>
    <mergeCell ref="BZ226:CC226"/>
    <mergeCell ref="A227:A232"/>
    <mergeCell ref="D227:J232"/>
    <mergeCell ref="K227:Q232"/>
    <mergeCell ref="R227:S232"/>
    <mergeCell ref="T227:U232"/>
    <mergeCell ref="V227:AB232"/>
    <mergeCell ref="AC227:AI232"/>
    <mergeCell ref="AJ227:AP232"/>
    <mergeCell ref="AQ227:AW232"/>
    <mergeCell ref="CN221:CR226"/>
    <mergeCell ref="CS221:CW226"/>
    <mergeCell ref="BA222:BD222"/>
    <mergeCell ref="BE222:BF222"/>
    <mergeCell ref="BH222:BM222"/>
    <mergeCell ref="BN222:BS222"/>
    <mergeCell ref="BT222:BY222"/>
    <mergeCell ref="BZ222:CC222"/>
    <mergeCell ref="BA223:BD223"/>
    <mergeCell ref="BE223:BF223"/>
    <mergeCell ref="BH223:BM223"/>
    <mergeCell ref="BN223:BS223"/>
    <mergeCell ref="BT223:BY223"/>
    <mergeCell ref="BZ223:CC223"/>
    <mergeCell ref="BA224:BD224"/>
    <mergeCell ref="BE224:BF224"/>
    <mergeCell ref="BH224:BM224"/>
    <mergeCell ref="BN224:BS224"/>
    <mergeCell ref="BT224:BY224"/>
    <mergeCell ref="BZ224:CC224"/>
    <mergeCell ref="BA225:BD225"/>
    <mergeCell ref="BE225:BF225"/>
    <mergeCell ref="BH225:BM225"/>
    <mergeCell ref="BN231:BS231"/>
    <mergeCell ref="AX227:AY232"/>
    <mergeCell ref="BA227:BD227"/>
    <mergeCell ref="BE227:BF227"/>
    <mergeCell ref="BH227:BM227"/>
    <mergeCell ref="BN227:BS227"/>
    <mergeCell ref="BT227:BY227"/>
    <mergeCell ref="BZ227:CC227"/>
    <mergeCell ref="CD227:CH232"/>
    <mergeCell ref="CI227:CM232"/>
    <mergeCell ref="BT231:BY231"/>
    <mergeCell ref="BZ231:CC231"/>
    <mergeCell ref="BA232:BD232"/>
    <mergeCell ref="BE232:BF232"/>
    <mergeCell ref="BH232:BM232"/>
    <mergeCell ref="BN232:BS232"/>
    <mergeCell ref="BT232:BY232"/>
    <mergeCell ref="BZ232:CC232"/>
    <mergeCell ref="A233:A238"/>
    <mergeCell ref="D233:J238"/>
    <mergeCell ref="K233:Q238"/>
    <mergeCell ref="R233:S238"/>
    <mergeCell ref="T233:U238"/>
    <mergeCell ref="V233:AB238"/>
    <mergeCell ref="AC233:AI238"/>
    <mergeCell ref="AJ233:AP238"/>
    <mergeCell ref="AQ233:AW238"/>
    <mergeCell ref="CN227:CR232"/>
    <mergeCell ref="CS227:CW232"/>
    <mergeCell ref="BA228:BD228"/>
    <mergeCell ref="BE228:BF228"/>
    <mergeCell ref="BH228:BM228"/>
    <mergeCell ref="BN228:BS228"/>
    <mergeCell ref="BT228:BY228"/>
    <mergeCell ref="BZ228:CC228"/>
    <mergeCell ref="BA229:BD229"/>
    <mergeCell ref="BE229:BF229"/>
    <mergeCell ref="BH229:BM229"/>
    <mergeCell ref="BN229:BS229"/>
    <mergeCell ref="BT229:BY229"/>
    <mergeCell ref="BZ229:CC229"/>
    <mergeCell ref="BA230:BD230"/>
    <mergeCell ref="BE230:BF230"/>
    <mergeCell ref="BH230:BM230"/>
    <mergeCell ref="BN230:BS230"/>
    <mergeCell ref="BT230:BY230"/>
    <mergeCell ref="BZ230:CC230"/>
    <mergeCell ref="BA231:BD231"/>
    <mergeCell ref="BE231:BF231"/>
    <mergeCell ref="BH231:BM231"/>
    <mergeCell ref="BN237:BS237"/>
    <mergeCell ref="AX233:AY238"/>
    <mergeCell ref="BA233:BD233"/>
    <mergeCell ref="BE233:BF233"/>
    <mergeCell ref="BH233:BM233"/>
    <mergeCell ref="BN233:BS233"/>
    <mergeCell ref="BT233:BY233"/>
    <mergeCell ref="BZ233:CC233"/>
    <mergeCell ref="CD233:CH238"/>
    <mergeCell ref="CI233:CM238"/>
    <mergeCell ref="BT237:BY237"/>
    <mergeCell ref="BZ237:CC237"/>
    <mergeCell ref="BA238:BD238"/>
    <mergeCell ref="BE238:BF238"/>
    <mergeCell ref="BH238:BM238"/>
    <mergeCell ref="BN238:BS238"/>
    <mergeCell ref="BT238:BY238"/>
    <mergeCell ref="BZ238:CC238"/>
    <mergeCell ref="A239:A244"/>
    <mergeCell ref="D239:J244"/>
    <mergeCell ref="K239:Q244"/>
    <mergeCell ref="R239:S244"/>
    <mergeCell ref="T239:U244"/>
    <mergeCell ref="V239:AB244"/>
    <mergeCell ref="AC239:AI244"/>
    <mergeCell ref="AJ239:AP244"/>
    <mergeCell ref="AQ239:AW244"/>
    <mergeCell ref="CN233:CR238"/>
    <mergeCell ref="CS233:CW238"/>
    <mergeCell ref="BA234:BD234"/>
    <mergeCell ref="BE234:BF234"/>
    <mergeCell ref="BH234:BM234"/>
    <mergeCell ref="BN234:BS234"/>
    <mergeCell ref="BT234:BY234"/>
    <mergeCell ref="BZ234:CC234"/>
    <mergeCell ref="BA235:BD235"/>
    <mergeCell ref="BE235:BF235"/>
    <mergeCell ref="BH235:BM235"/>
    <mergeCell ref="BN235:BS235"/>
    <mergeCell ref="BT235:BY235"/>
    <mergeCell ref="BZ235:CC235"/>
    <mergeCell ref="BA236:BD236"/>
    <mergeCell ref="BE236:BF236"/>
    <mergeCell ref="BH236:BM236"/>
    <mergeCell ref="BN236:BS236"/>
    <mergeCell ref="BT236:BY236"/>
    <mergeCell ref="BZ236:CC236"/>
    <mergeCell ref="BA237:BD237"/>
    <mergeCell ref="BE237:BF237"/>
    <mergeCell ref="BH237:BM237"/>
    <mergeCell ref="BN243:BS243"/>
    <mergeCell ref="AX239:AY244"/>
    <mergeCell ref="BA239:BD239"/>
    <mergeCell ref="BE239:BF239"/>
    <mergeCell ref="BH239:BM239"/>
    <mergeCell ref="BN239:BS239"/>
    <mergeCell ref="BT239:BY239"/>
    <mergeCell ref="BZ239:CC239"/>
    <mergeCell ref="CD239:CH244"/>
    <mergeCell ref="CI239:CM244"/>
    <mergeCell ref="BT243:BY243"/>
    <mergeCell ref="BZ243:CC243"/>
    <mergeCell ref="BA244:BD244"/>
    <mergeCell ref="BE244:BF244"/>
    <mergeCell ref="BH244:BM244"/>
    <mergeCell ref="BN244:BS244"/>
    <mergeCell ref="BT244:BY244"/>
    <mergeCell ref="BZ244:CC244"/>
    <mergeCell ref="A245:A250"/>
    <mergeCell ref="D245:J250"/>
    <mergeCell ref="K245:Q250"/>
    <mergeCell ref="R245:S250"/>
    <mergeCell ref="T245:U250"/>
    <mergeCell ref="V245:AB250"/>
    <mergeCell ref="AC245:AI250"/>
    <mergeCell ref="AJ245:AP250"/>
    <mergeCell ref="AQ245:AW250"/>
    <mergeCell ref="CN239:CR244"/>
    <mergeCell ref="CS239:CW244"/>
    <mergeCell ref="BA240:BD240"/>
    <mergeCell ref="BE240:BF240"/>
    <mergeCell ref="BH240:BM240"/>
    <mergeCell ref="BN240:BS240"/>
    <mergeCell ref="BT240:BY240"/>
    <mergeCell ref="BZ240:CC240"/>
    <mergeCell ref="BA241:BD241"/>
    <mergeCell ref="BE241:BF241"/>
    <mergeCell ref="BH241:BM241"/>
    <mergeCell ref="BN241:BS241"/>
    <mergeCell ref="BT241:BY241"/>
    <mergeCell ref="BZ241:CC241"/>
    <mergeCell ref="BA242:BD242"/>
    <mergeCell ref="BE242:BF242"/>
    <mergeCell ref="BH242:BM242"/>
    <mergeCell ref="BN242:BS242"/>
    <mergeCell ref="BT242:BY242"/>
    <mergeCell ref="BZ242:CC242"/>
    <mergeCell ref="BA243:BD243"/>
    <mergeCell ref="BE243:BF243"/>
    <mergeCell ref="BH243:BM243"/>
    <mergeCell ref="BN249:BS249"/>
    <mergeCell ref="AX245:AY250"/>
    <mergeCell ref="BA245:BD245"/>
    <mergeCell ref="BE245:BF245"/>
    <mergeCell ref="BH245:BM245"/>
    <mergeCell ref="BN245:BS245"/>
    <mergeCell ref="BT245:BY245"/>
    <mergeCell ref="BZ245:CC245"/>
    <mergeCell ref="CD245:CH250"/>
    <mergeCell ref="CI245:CM250"/>
    <mergeCell ref="BT249:BY249"/>
    <mergeCell ref="BZ249:CC249"/>
    <mergeCell ref="BA250:BD250"/>
    <mergeCell ref="BE250:BF250"/>
    <mergeCell ref="BH250:BM250"/>
    <mergeCell ref="BN250:BS250"/>
    <mergeCell ref="BT250:BY250"/>
    <mergeCell ref="BZ250:CC250"/>
    <mergeCell ref="A251:A256"/>
    <mergeCell ref="D251:J256"/>
    <mergeCell ref="K251:Q256"/>
    <mergeCell ref="R251:S256"/>
    <mergeCell ref="T251:U256"/>
    <mergeCell ref="V251:AB256"/>
    <mergeCell ref="AC251:AI256"/>
    <mergeCell ref="AJ251:AP256"/>
    <mergeCell ref="AQ251:AW256"/>
    <mergeCell ref="CN245:CR250"/>
    <mergeCell ref="CS245:CW250"/>
    <mergeCell ref="BA246:BD246"/>
    <mergeCell ref="BE246:BF246"/>
    <mergeCell ref="BH246:BM246"/>
    <mergeCell ref="BN246:BS246"/>
    <mergeCell ref="BT246:BY246"/>
    <mergeCell ref="BZ246:CC246"/>
    <mergeCell ref="BA247:BD247"/>
    <mergeCell ref="BE247:BF247"/>
    <mergeCell ref="BH247:BM247"/>
    <mergeCell ref="BN247:BS247"/>
    <mergeCell ref="BT247:BY247"/>
    <mergeCell ref="BZ247:CC247"/>
    <mergeCell ref="BA248:BD248"/>
    <mergeCell ref="BE248:BF248"/>
    <mergeCell ref="BH248:BM248"/>
    <mergeCell ref="BN248:BS248"/>
    <mergeCell ref="BT248:BY248"/>
    <mergeCell ref="BZ248:CC248"/>
    <mergeCell ref="BA249:BD249"/>
    <mergeCell ref="BE249:BF249"/>
    <mergeCell ref="BH249:BM249"/>
    <mergeCell ref="BN255:BS255"/>
    <mergeCell ref="AX251:AY256"/>
    <mergeCell ref="BA251:BD251"/>
    <mergeCell ref="BE251:BF251"/>
    <mergeCell ref="BH251:BM251"/>
    <mergeCell ref="BN251:BS251"/>
    <mergeCell ref="BT251:BY251"/>
    <mergeCell ref="BZ251:CC251"/>
    <mergeCell ref="CD251:CH256"/>
    <mergeCell ref="CI251:CM256"/>
    <mergeCell ref="BT255:BY255"/>
    <mergeCell ref="BZ255:CC255"/>
    <mergeCell ref="BA256:BD256"/>
    <mergeCell ref="BE256:BF256"/>
    <mergeCell ref="BH256:BM256"/>
    <mergeCell ref="BN256:BS256"/>
    <mergeCell ref="BT256:BY256"/>
    <mergeCell ref="BZ256:CC256"/>
    <mergeCell ref="A257:A262"/>
    <mergeCell ref="D257:J262"/>
    <mergeCell ref="K257:Q262"/>
    <mergeCell ref="R257:S262"/>
    <mergeCell ref="T257:U262"/>
    <mergeCell ref="V257:AB262"/>
    <mergeCell ref="AC257:AI262"/>
    <mergeCell ref="AJ257:AP262"/>
    <mergeCell ref="AQ257:AW262"/>
    <mergeCell ref="CN251:CR256"/>
    <mergeCell ref="CS251:CW256"/>
    <mergeCell ref="BA252:BD252"/>
    <mergeCell ref="BE252:BF252"/>
    <mergeCell ref="BH252:BM252"/>
    <mergeCell ref="BN252:BS252"/>
    <mergeCell ref="BT252:BY252"/>
    <mergeCell ref="BZ252:CC252"/>
    <mergeCell ref="BA253:BD253"/>
    <mergeCell ref="BE253:BF253"/>
    <mergeCell ref="BH253:BM253"/>
    <mergeCell ref="BN253:BS253"/>
    <mergeCell ref="BT253:BY253"/>
    <mergeCell ref="BZ253:CC253"/>
    <mergeCell ref="BA254:BD254"/>
    <mergeCell ref="BE254:BF254"/>
    <mergeCell ref="BH254:BM254"/>
    <mergeCell ref="BN254:BS254"/>
    <mergeCell ref="BT254:BY254"/>
    <mergeCell ref="BZ254:CC254"/>
    <mergeCell ref="BA255:BD255"/>
    <mergeCell ref="BE255:BF255"/>
    <mergeCell ref="BH255:BM255"/>
    <mergeCell ref="BN261:BS261"/>
    <mergeCell ref="AX257:AY262"/>
    <mergeCell ref="BA257:BD257"/>
    <mergeCell ref="BE257:BF257"/>
    <mergeCell ref="BH257:BM257"/>
    <mergeCell ref="BN257:BS257"/>
    <mergeCell ref="BT257:BY257"/>
    <mergeCell ref="BZ257:CC257"/>
    <mergeCell ref="CD257:CH262"/>
    <mergeCell ref="CI257:CM262"/>
    <mergeCell ref="BT261:BY261"/>
    <mergeCell ref="BZ261:CC261"/>
    <mergeCell ref="BA262:BD262"/>
    <mergeCell ref="BE262:BF262"/>
    <mergeCell ref="BH262:BM262"/>
    <mergeCell ref="BN262:BS262"/>
    <mergeCell ref="BT262:BY262"/>
    <mergeCell ref="BZ262:CC262"/>
    <mergeCell ref="A263:A268"/>
    <mergeCell ref="D263:J268"/>
    <mergeCell ref="K263:Q268"/>
    <mergeCell ref="R263:S268"/>
    <mergeCell ref="T263:U268"/>
    <mergeCell ref="V263:AB268"/>
    <mergeCell ref="AC263:AI268"/>
    <mergeCell ref="AJ263:AP268"/>
    <mergeCell ref="AQ263:AW268"/>
    <mergeCell ref="CN257:CR262"/>
    <mergeCell ref="CS257:CW262"/>
    <mergeCell ref="BA258:BD258"/>
    <mergeCell ref="BE258:BF258"/>
    <mergeCell ref="BH258:BM258"/>
    <mergeCell ref="BN258:BS258"/>
    <mergeCell ref="BT258:BY258"/>
    <mergeCell ref="BZ258:CC258"/>
    <mergeCell ref="BA259:BD259"/>
    <mergeCell ref="BE259:BF259"/>
    <mergeCell ref="BH259:BM259"/>
    <mergeCell ref="BN259:BS259"/>
    <mergeCell ref="BT259:BY259"/>
    <mergeCell ref="BZ259:CC259"/>
    <mergeCell ref="BA260:BD260"/>
    <mergeCell ref="BE260:BF260"/>
    <mergeCell ref="BH260:BM260"/>
    <mergeCell ref="BN260:BS260"/>
    <mergeCell ref="BT260:BY260"/>
    <mergeCell ref="BZ260:CC260"/>
    <mergeCell ref="BA261:BD261"/>
    <mergeCell ref="BE261:BF261"/>
    <mergeCell ref="BH261:BM261"/>
    <mergeCell ref="BN267:BS267"/>
    <mergeCell ref="AX263:AY268"/>
    <mergeCell ref="BA263:BD263"/>
    <mergeCell ref="BE263:BF263"/>
    <mergeCell ref="BH263:BM263"/>
    <mergeCell ref="BN263:BS263"/>
    <mergeCell ref="BT263:BY263"/>
    <mergeCell ref="BZ263:CC263"/>
    <mergeCell ref="CD263:CH268"/>
    <mergeCell ref="CI263:CM268"/>
    <mergeCell ref="BT267:BY267"/>
    <mergeCell ref="BZ267:CC267"/>
    <mergeCell ref="BA268:BD268"/>
    <mergeCell ref="BE268:BF268"/>
    <mergeCell ref="BH268:BM268"/>
    <mergeCell ref="BN268:BS268"/>
    <mergeCell ref="BT268:BY268"/>
    <mergeCell ref="BZ268:CC268"/>
    <mergeCell ref="A269:A274"/>
    <mergeCell ref="D269:J274"/>
    <mergeCell ref="K269:Q274"/>
    <mergeCell ref="R269:S274"/>
    <mergeCell ref="T269:U274"/>
    <mergeCell ref="V269:AB274"/>
    <mergeCell ref="AC269:AI274"/>
    <mergeCell ref="AJ269:AP274"/>
    <mergeCell ref="AQ269:AW274"/>
    <mergeCell ref="CN263:CR268"/>
    <mergeCell ref="CS263:CW268"/>
    <mergeCell ref="BA264:BD264"/>
    <mergeCell ref="BE264:BF264"/>
    <mergeCell ref="BH264:BM264"/>
    <mergeCell ref="BN264:BS264"/>
    <mergeCell ref="BT264:BY264"/>
    <mergeCell ref="BZ264:CC264"/>
    <mergeCell ref="BA265:BD265"/>
    <mergeCell ref="BE265:BF265"/>
    <mergeCell ref="BH265:BM265"/>
    <mergeCell ref="BN265:BS265"/>
    <mergeCell ref="BT265:BY265"/>
    <mergeCell ref="BZ265:CC265"/>
    <mergeCell ref="BA266:BD266"/>
    <mergeCell ref="BE266:BF266"/>
    <mergeCell ref="BH266:BM266"/>
    <mergeCell ref="BN266:BS266"/>
    <mergeCell ref="BT266:BY266"/>
    <mergeCell ref="BZ266:CC266"/>
    <mergeCell ref="BA267:BD267"/>
    <mergeCell ref="BE267:BF267"/>
    <mergeCell ref="BH267:BM267"/>
    <mergeCell ref="BN273:BS273"/>
    <mergeCell ref="AX269:AY274"/>
    <mergeCell ref="BA269:BD269"/>
    <mergeCell ref="BE269:BF269"/>
    <mergeCell ref="BH269:BM269"/>
    <mergeCell ref="BN269:BS269"/>
    <mergeCell ref="BT269:BY269"/>
    <mergeCell ref="BZ269:CC269"/>
    <mergeCell ref="CD269:CH274"/>
    <mergeCell ref="CI269:CM274"/>
    <mergeCell ref="BT273:BY273"/>
    <mergeCell ref="BZ273:CC273"/>
    <mergeCell ref="BA274:BD274"/>
    <mergeCell ref="BE274:BF274"/>
    <mergeCell ref="BH274:BM274"/>
    <mergeCell ref="BN274:BS274"/>
    <mergeCell ref="BT274:BY274"/>
    <mergeCell ref="BZ274:CC274"/>
    <mergeCell ref="A275:A280"/>
    <mergeCell ref="D275:J280"/>
    <mergeCell ref="K275:Q280"/>
    <mergeCell ref="R275:S280"/>
    <mergeCell ref="T275:U280"/>
    <mergeCell ref="V275:AB280"/>
    <mergeCell ref="AC275:AI280"/>
    <mergeCell ref="AJ275:AP280"/>
    <mergeCell ref="AQ275:AW280"/>
    <mergeCell ref="CN269:CR274"/>
    <mergeCell ref="CS269:CW274"/>
    <mergeCell ref="BA270:BD270"/>
    <mergeCell ref="BE270:BF270"/>
    <mergeCell ref="BH270:BM270"/>
    <mergeCell ref="BN270:BS270"/>
    <mergeCell ref="BT270:BY270"/>
    <mergeCell ref="BZ270:CC270"/>
    <mergeCell ref="BA271:BD271"/>
    <mergeCell ref="BE271:BF271"/>
    <mergeCell ref="BH271:BM271"/>
    <mergeCell ref="BN271:BS271"/>
    <mergeCell ref="BT271:BY271"/>
    <mergeCell ref="BZ271:CC271"/>
    <mergeCell ref="BA272:BD272"/>
    <mergeCell ref="BE272:BF272"/>
    <mergeCell ref="BH272:BM272"/>
    <mergeCell ref="BN272:BS272"/>
    <mergeCell ref="BT272:BY272"/>
    <mergeCell ref="BZ272:CC272"/>
    <mergeCell ref="BA273:BD273"/>
    <mergeCell ref="BE273:BF273"/>
    <mergeCell ref="BH273:BM273"/>
    <mergeCell ref="BN279:BS279"/>
    <mergeCell ref="AX275:AY280"/>
    <mergeCell ref="BA275:BD275"/>
    <mergeCell ref="BE275:BF275"/>
    <mergeCell ref="BH275:BM275"/>
    <mergeCell ref="BN275:BS275"/>
    <mergeCell ref="BT275:BY275"/>
    <mergeCell ref="BZ275:CC275"/>
    <mergeCell ref="CD275:CH280"/>
    <mergeCell ref="CI275:CM280"/>
    <mergeCell ref="BT279:BY279"/>
    <mergeCell ref="BZ279:CC279"/>
    <mergeCell ref="BA280:BD280"/>
    <mergeCell ref="BE280:BF280"/>
    <mergeCell ref="BH280:BM280"/>
    <mergeCell ref="BN280:BS280"/>
    <mergeCell ref="BT280:BY280"/>
    <mergeCell ref="BZ280:CC280"/>
    <mergeCell ref="A281:A286"/>
    <mergeCell ref="D281:J286"/>
    <mergeCell ref="K281:Q286"/>
    <mergeCell ref="R281:S286"/>
    <mergeCell ref="T281:U286"/>
    <mergeCell ref="V281:AB286"/>
    <mergeCell ref="AC281:AI286"/>
    <mergeCell ref="AJ281:AP286"/>
    <mergeCell ref="AQ281:AW286"/>
    <mergeCell ref="CN275:CR280"/>
    <mergeCell ref="CS275:CW280"/>
    <mergeCell ref="BA276:BD276"/>
    <mergeCell ref="BE276:BF276"/>
    <mergeCell ref="BH276:BM276"/>
    <mergeCell ref="BN276:BS276"/>
    <mergeCell ref="BT276:BY276"/>
    <mergeCell ref="BZ276:CC276"/>
    <mergeCell ref="BA277:BD277"/>
    <mergeCell ref="BE277:BF277"/>
    <mergeCell ref="BH277:BM277"/>
    <mergeCell ref="BN277:BS277"/>
    <mergeCell ref="BT277:BY277"/>
    <mergeCell ref="BZ277:CC277"/>
    <mergeCell ref="BA278:BD278"/>
    <mergeCell ref="BE278:BF278"/>
    <mergeCell ref="BH278:BM278"/>
    <mergeCell ref="BN278:BS278"/>
    <mergeCell ref="BT278:BY278"/>
    <mergeCell ref="BZ278:CC278"/>
    <mergeCell ref="BA279:BD279"/>
    <mergeCell ref="BE279:BF279"/>
    <mergeCell ref="BH279:BM279"/>
    <mergeCell ref="BN285:BS285"/>
    <mergeCell ref="AX281:AY286"/>
    <mergeCell ref="BA281:BD281"/>
    <mergeCell ref="BE281:BF281"/>
    <mergeCell ref="BH281:BM281"/>
    <mergeCell ref="BN281:BS281"/>
    <mergeCell ref="BT281:BY281"/>
    <mergeCell ref="BZ281:CC281"/>
    <mergeCell ref="CD281:CH286"/>
    <mergeCell ref="CI281:CM286"/>
    <mergeCell ref="BT285:BY285"/>
    <mergeCell ref="BZ285:CC285"/>
    <mergeCell ref="BA286:BD286"/>
    <mergeCell ref="BE286:BF286"/>
    <mergeCell ref="BH286:BM286"/>
    <mergeCell ref="BN286:BS286"/>
    <mergeCell ref="BT286:BY286"/>
    <mergeCell ref="BZ286:CC286"/>
    <mergeCell ref="A287:A292"/>
    <mergeCell ref="D287:J292"/>
    <mergeCell ref="K287:Q292"/>
    <mergeCell ref="R287:S292"/>
    <mergeCell ref="T287:U292"/>
    <mergeCell ref="V287:AB292"/>
    <mergeCell ref="AC287:AI292"/>
    <mergeCell ref="AJ287:AP292"/>
    <mergeCell ref="AQ287:AW292"/>
    <mergeCell ref="CN281:CR286"/>
    <mergeCell ref="CS281:CW286"/>
    <mergeCell ref="BA282:BD282"/>
    <mergeCell ref="BE282:BF282"/>
    <mergeCell ref="BH282:BM282"/>
    <mergeCell ref="BN282:BS282"/>
    <mergeCell ref="BT282:BY282"/>
    <mergeCell ref="BZ282:CC282"/>
    <mergeCell ref="BA283:BD283"/>
    <mergeCell ref="BE283:BF283"/>
    <mergeCell ref="BH283:BM283"/>
    <mergeCell ref="BN283:BS283"/>
    <mergeCell ref="BT283:BY283"/>
    <mergeCell ref="BZ283:CC283"/>
    <mergeCell ref="BA284:BD284"/>
    <mergeCell ref="BE284:BF284"/>
    <mergeCell ref="BH284:BM284"/>
    <mergeCell ref="BN284:BS284"/>
    <mergeCell ref="BT284:BY284"/>
    <mergeCell ref="BZ284:CC284"/>
    <mergeCell ref="BA285:BD285"/>
    <mergeCell ref="BE285:BF285"/>
    <mergeCell ref="BH285:BM285"/>
    <mergeCell ref="BN291:BS291"/>
    <mergeCell ref="AX287:AY292"/>
    <mergeCell ref="BA287:BD287"/>
    <mergeCell ref="BE287:BF287"/>
    <mergeCell ref="BH287:BM287"/>
    <mergeCell ref="BN287:BS287"/>
    <mergeCell ref="BT287:BY287"/>
    <mergeCell ref="BZ287:CC287"/>
    <mergeCell ref="CD287:CH292"/>
    <mergeCell ref="CI287:CM292"/>
    <mergeCell ref="BT291:BY291"/>
    <mergeCell ref="BZ291:CC291"/>
    <mergeCell ref="BA292:BD292"/>
    <mergeCell ref="BE292:BF292"/>
    <mergeCell ref="BH292:BM292"/>
    <mergeCell ref="BN292:BS292"/>
    <mergeCell ref="BT292:BY292"/>
    <mergeCell ref="BZ292:CC292"/>
    <mergeCell ref="A293:A298"/>
    <mergeCell ref="D293:J298"/>
    <mergeCell ref="K293:Q298"/>
    <mergeCell ref="R293:S298"/>
    <mergeCell ref="T293:U298"/>
    <mergeCell ref="V293:AB298"/>
    <mergeCell ref="AC293:AI298"/>
    <mergeCell ref="AJ293:AP298"/>
    <mergeCell ref="AQ293:AW298"/>
    <mergeCell ref="CN287:CR292"/>
    <mergeCell ref="CS287:CW292"/>
    <mergeCell ref="BA288:BD288"/>
    <mergeCell ref="BE288:BF288"/>
    <mergeCell ref="BH288:BM288"/>
    <mergeCell ref="BN288:BS288"/>
    <mergeCell ref="BT288:BY288"/>
    <mergeCell ref="BZ288:CC288"/>
    <mergeCell ref="BA289:BD289"/>
    <mergeCell ref="BE289:BF289"/>
    <mergeCell ref="BH289:BM289"/>
    <mergeCell ref="BN289:BS289"/>
    <mergeCell ref="BT289:BY289"/>
    <mergeCell ref="BZ289:CC289"/>
    <mergeCell ref="BA290:BD290"/>
    <mergeCell ref="BE290:BF290"/>
    <mergeCell ref="BH290:BM290"/>
    <mergeCell ref="BN290:BS290"/>
    <mergeCell ref="BT290:BY290"/>
    <mergeCell ref="BZ290:CC290"/>
    <mergeCell ref="BA291:BD291"/>
    <mergeCell ref="BE291:BF291"/>
    <mergeCell ref="BH291:BM291"/>
    <mergeCell ref="BN297:BS297"/>
    <mergeCell ref="AX293:AY298"/>
    <mergeCell ref="BA293:BD293"/>
    <mergeCell ref="BE293:BF293"/>
    <mergeCell ref="BH293:BM293"/>
    <mergeCell ref="BN293:BS293"/>
    <mergeCell ref="BT293:BY293"/>
    <mergeCell ref="BZ293:CC293"/>
    <mergeCell ref="CD293:CH298"/>
    <mergeCell ref="CI293:CM298"/>
    <mergeCell ref="BT297:BY297"/>
    <mergeCell ref="BZ297:CC297"/>
    <mergeCell ref="BA298:BD298"/>
    <mergeCell ref="BE298:BF298"/>
    <mergeCell ref="BH298:BM298"/>
    <mergeCell ref="BN298:BS298"/>
    <mergeCell ref="BT298:BY298"/>
    <mergeCell ref="BZ298:CC298"/>
    <mergeCell ref="A299:A304"/>
    <mergeCell ref="D299:J304"/>
    <mergeCell ref="K299:Q304"/>
    <mergeCell ref="R299:S304"/>
    <mergeCell ref="T299:U304"/>
    <mergeCell ref="V299:AB304"/>
    <mergeCell ref="AC299:AI304"/>
    <mergeCell ref="AJ299:AP304"/>
    <mergeCell ref="AQ299:AW304"/>
    <mergeCell ref="CN293:CR298"/>
    <mergeCell ref="CS293:CW298"/>
    <mergeCell ref="BA294:BD294"/>
    <mergeCell ref="BE294:BF294"/>
    <mergeCell ref="BH294:BM294"/>
    <mergeCell ref="BN294:BS294"/>
    <mergeCell ref="BT294:BY294"/>
    <mergeCell ref="BZ294:CC294"/>
    <mergeCell ref="BA295:BD295"/>
    <mergeCell ref="BE295:BF295"/>
    <mergeCell ref="BH295:BM295"/>
    <mergeCell ref="BN295:BS295"/>
    <mergeCell ref="BT295:BY295"/>
    <mergeCell ref="BZ295:CC295"/>
    <mergeCell ref="BA296:BD296"/>
    <mergeCell ref="BE296:BF296"/>
    <mergeCell ref="BH296:BM296"/>
    <mergeCell ref="BN296:BS296"/>
    <mergeCell ref="BT296:BY296"/>
    <mergeCell ref="BZ296:CC296"/>
    <mergeCell ref="BA297:BD297"/>
    <mergeCell ref="BE297:BF297"/>
    <mergeCell ref="BH297:BM297"/>
    <mergeCell ref="BN303:BS303"/>
    <mergeCell ref="AX299:AY304"/>
    <mergeCell ref="BA299:BD299"/>
    <mergeCell ref="BE299:BF299"/>
    <mergeCell ref="BH299:BM299"/>
    <mergeCell ref="BN299:BS299"/>
    <mergeCell ref="BT299:BY299"/>
    <mergeCell ref="BZ299:CC299"/>
    <mergeCell ref="CD299:CH304"/>
    <mergeCell ref="CI299:CM304"/>
    <mergeCell ref="BT303:BY303"/>
    <mergeCell ref="BZ303:CC303"/>
    <mergeCell ref="BA304:BD304"/>
    <mergeCell ref="BE304:BF304"/>
    <mergeCell ref="BH304:BM304"/>
    <mergeCell ref="BN304:BS304"/>
    <mergeCell ref="BT304:BY304"/>
    <mergeCell ref="BZ304:CC304"/>
    <mergeCell ref="A305:A310"/>
    <mergeCell ref="D305:J310"/>
    <mergeCell ref="K305:Q310"/>
    <mergeCell ref="R305:S310"/>
    <mergeCell ref="T305:U310"/>
    <mergeCell ref="V305:AB310"/>
    <mergeCell ref="AC305:AI310"/>
    <mergeCell ref="AJ305:AP310"/>
    <mergeCell ref="AQ305:AW310"/>
    <mergeCell ref="CN299:CR304"/>
    <mergeCell ref="CS299:CW304"/>
    <mergeCell ref="BA300:BD300"/>
    <mergeCell ref="BE300:BF300"/>
    <mergeCell ref="BH300:BM300"/>
    <mergeCell ref="BN300:BS300"/>
    <mergeCell ref="BT300:BY300"/>
    <mergeCell ref="BZ300:CC300"/>
    <mergeCell ref="BA301:BD301"/>
    <mergeCell ref="BE301:BF301"/>
    <mergeCell ref="BH301:BM301"/>
    <mergeCell ref="BN301:BS301"/>
    <mergeCell ref="BT301:BY301"/>
    <mergeCell ref="BZ301:CC301"/>
    <mergeCell ref="BA302:BD302"/>
    <mergeCell ref="BE302:BF302"/>
    <mergeCell ref="BH302:BM302"/>
    <mergeCell ref="BN302:BS302"/>
    <mergeCell ref="BT302:BY302"/>
    <mergeCell ref="BZ302:CC302"/>
    <mergeCell ref="BA303:BD303"/>
    <mergeCell ref="BE303:BF303"/>
    <mergeCell ref="BH303:BM303"/>
    <mergeCell ref="BN309:BS309"/>
    <mergeCell ref="AX305:AY310"/>
    <mergeCell ref="BA305:BD305"/>
    <mergeCell ref="BE305:BF305"/>
    <mergeCell ref="BH305:BM305"/>
    <mergeCell ref="BN305:BS305"/>
    <mergeCell ref="BT305:BY305"/>
    <mergeCell ref="BZ305:CC305"/>
    <mergeCell ref="CD305:CH310"/>
    <mergeCell ref="CI305:CM310"/>
    <mergeCell ref="BT309:BY309"/>
    <mergeCell ref="BZ309:CC309"/>
    <mergeCell ref="BA310:BD310"/>
    <mergeCell ref="BE310:BF310"/>
    <mergeCell ref="BH310:BM310"/>
    <mergeCell ref="BN310:BS310"/>
    <mergeCell ref="BT310:BY310"/>
    <mergeCell ref="BZ310:CC310"/>
    <mergeCell ref="A311:A316"/>
    <mergeCell ref="D311:J316"/>
    <mergeCell ref="K311:Q316"/>
    <mergeCell ref="R311:S316"/>
    <mergeCell ref="T311:U316"/>
    <mergeCell ref="V311:AB316"/>
    <mergeCell ref="AC311:AI316"/>
    <mergeCell ref="AJ311:AP316"/>
    <mergeCell ref="AQ311:AW316"/>
    <mergeCell ref="CN305:CR310"/>
    <mergeCell ref="CS305:CW310"/>
    <mergeCell ref="BA306:BD306"/>
    <mergeCell ref="BE306:BF306"/>
    <mergeCell ref="BH306:BM306"/>
    <mergeCell ref="BN306:BS306"/>
    <mergeCell ref="BT306:BY306"/>
    <mergeCell ref="BZ306:CC306"/>
    <mergeCell ref="BA307:BD307"/>
    <mergeCell ref="BE307:BF307"/>
    <mergeCell ref="BH307:BM307"/>
    <mergeCell ref="BN307:BS307"/>
    <mergeCell ref="BT307:BY307"/>
    <mergeCell ref="BZ307:CC307"/>
    <mergeCell ref="BA308:BD308"/>
    <mergeCell ref="BE308:BF308"/>
    <mergeCell ref="BH308:BM308"/>
    <mergeCell ref="BN308:BS308"/>
    <mergeCell ref="BT308:BY308"/>
    <mergeCell ref="BZ308:CC308"/>
    <mergeCell ref="BA309:BD309"/>
    <mergeCell ref="BE309:BF309"/>
    <mergeCell ref="BH309:BM309"/>
    <mergeCell ref="BN315:BS315"/>
    <mergeCell ref="AX311:AY316"/>
    <mergeCell ref="BA311:BD311"/>
    <mergeCell ref="BE311:BF311"/>
    <mergeCell ref="BH311:BM311"/>
    <mergeCell ref="BN311:BS311"/>
    <mergeCell ref="BT311:BY311"/>
    <mergeCell ref="BZ311:CC311"/>
    <mergeCell ref="CD311:CH316"/>
    <mergeCell ref="CI311:CM316"/>
    <mergeCell ref="BT315:BY315"/>
    <mergeCell ref="BZ315:CC315"/>
    <mergeCell ref="BA316:BD316"/>
    <mergeCell ref="BE316:BF316"/>
    <mergeCell ref="BH316:BM316"/>
    <mergeCell ref="BN316:BS316"/>
    <mergeCell ref="BT316:BY316"/>
    <mergeCell ref="BZ316:CC316"/>
    <mergeCell ref="A317:A322"/>
    <mergeCell ref="D317:J322"/>
    <mergeCell ref="K317:Q322"/>
    <mergeCell ref="R317:S322"/>
    <mergeCell ref="T317:U322"/>
    <mergeCell ref="V317:AB322"/>
    <mergeCell ref="AC317:AI322"/>
    <mergeCell ref="AJ317:AP322"/>
    <mergeCell ref="AQ317:AW322"/>
    <mergeCell ref="CN311:CR316"/>
    <mergeCell ref="CS311:CW316"/>
    <mergeCell ref="BA312:BD312"/>
    <mergeCell ref="BE312:BF312"/>
    <mergeCell ref="BH312:BM312"/>
    <mergeCell ref="BN312:BS312"/>
    <mergeCell ref="BT312:BY312"/>
    <mergeCell ref="BZ312:CC312"/>
    <mergeCell ref="BA313:BD313"/>
    <mergeCell ref="BE313:BF313"/>
    <mergeCell ref="BH313:BM313"/>
    <mergeCell ref="BN313:BS313"/>
    <mergeCell ref="BT313:BY313"/>
    <mergeCell ref="BZ313:CC313"/>
    <mergeCell ref="BA314:BD314"/>
    <mergeCell ref="BE314:BF314"/>
    <mergeCell ref="BH314:BM314"/>
    <mergeCell ref="BN314:BS314"/>
    <mergeCell ref="BT314:BY314"/>
    <mergeCell ref="BZ314:CC314"/>
    <mergeCell ref="BA315:BD315"/>
    <mergeCell ref="BE315:BF315"/>
    <mergeCell ref="BH315:BM315"/>
    <mergeCell ref="BN321:BS321"/>
    <mergeCell ref="AX317:AY322"/>
    <mergeCell ref="BA317:BD317"/>
    <mergeCell ref="BE317:BF317"/>
    <mergeCell ref="BH317:BM317"/>
    <mergeCell ref="BN317:BS317"/>
    <mergeCell ref="BT317:BY317"/>
    <mergeCell ref="BZ317:CC317"/>
    <mergeCell ref="CD317:CH322"/>
    <mergeCell ref="CI317:CM322"/>
    <mergeCell ref="BT321:BY321"/>
    <mergeCell ref="BZ321:CC321"/>
    <mergeCell ref="BA322:BD322"/>
    <mergeCell ref="BE322:BF322"/>
    <mergeCell ref="BH322:BM322"/>
    <mergeCell ref="BN322:BS322"/>
    <mergeCell ref="BT322:BY322"/>
    <mergeCell ref="BZ322:CC322"/>
    <mergeCell ref="A323:A328"/>
    <mergeCell ref="D323:J328"/>
    <mergeCell ref="K323:Q328"/>
    <mergeCell ref="R323:S328"/>
    <mergeCell ref="T323:U328"/>
    <mergeCell ref="V323:AB328"/>
    <mergeCell ref="AC323:AI328"/>
    <mergeCell ref="AJ323:AP328"/>
    <mergeCell ref="AQ323:AW328"/>
    <mergeCell ref="CN317:CR322"/>
    <mergeCell ref="CS317:CW322"/>
    <mergeCell ref="BA318:BD318"/>
    <mergeCell ref="BE318:BF318"/>
    <mergeCell ref="BH318:BM318"/>
    <mergeCell ref="BN318:BS318"/>
    <mergeCell ref="BT318:BY318"/>
    <mergeCell ref="BZ318:CC318"/>
    <mergeCell ref="BA319:BD319"/>
    <mergeCell ref="BE319:BF319"/>
    <mergeCell ref="BH319:BM319"/>
    <mergeCell ref="BN319:BS319"/>
    <mergeCell ref="BT319:BY319"/>
    <mergeCell ref="BZ319:CC319"/>
    <mergeCell ref="BA320:BD320"/>
    <mergeCell ref="BE320:BF320"/>
    <mergeCell ref="BH320:BM320"/>
    <mergeCell ref="BN320:BS320"/>
    <mergeCell ref="BT320:BY320"/>
    <mergeCell ref="BZ320:CC320"/>
    <mergeCell ref="BA321:BD321"/>
    <mergeCell ref="BE321:BF321"/>
    <mergeCell ref="BH321:BM321"/>
    <mergeCell ref="BN327:BS327"/>
    <mergeCell ref="AX323:AY328"/>
    <mergeCell ref="BA323:BD323"/>
    <mergeCell ref="BE323:BF323"/>
    <mergeCell ref="BH323:BM323"/>
    <mergeCell ref="BN323:BS323"/>
    <mergeCell ref="BT323:BY323"/>
    <mergeCell ref="BZ323:CC323"/>
    <mergeCell ref="CD323:CH328"/>
    <mergeCell ref="CI323:CM328"/>
    <mergeCell ref="BT327:BY327"/>
    <mergeCell ref="BZ327:CC327"/>
    <mergeCell ref="BA328:BD328"/>
    <mergeCell ref="BE328:BF328"/>
    <mergeCell ref="BH328:BM328"/>
    <mergeCell ref="BN328:BS328"/>
    <mergeCell ref="BT328:BY328"/>
    <mergeCell ref="BZ328:CC328"/>
    <mergeCell ref="A329:A334"/>
    <mergeCell ref="D329:J334"/>
    <mergeCell ref="K329:Q334"/>
    <mergeCell ref="R329:S334"/>
    <mergeCell ref="T329:U334"/>
    <mergeCell ref="V329:AB334"/>
    <mergeCell ref="AC329:AI334"/>
    <mergeCell ref="AJ329:AP334"/>
    <mergeCell ref="AQ329:AW334"/>
    <mergeCell ref="CN323:CR328"/>
    <mergeCell ref="CS323:CW328"/>
    <mergeCell ref="BA324:BD324"/>
    <mergeCell ref="BE324:BF324"/>
    <mergeCell ref="BH324:BM324"/>
    <mergeCell ref="BN324:BS324"/>
    <mergeCell ref="BT324:BY324"/>
    <mergeCell ref="BZ324:CC324"/>
    <mergeCell ref="BA325:BD325"/>
    <mergeCell ref="BE325:BF325"/>
    <mergeCell ref="BH325:BM325"/>
    <mergeCell ref="BN325:BS325"/>
    <mergeCell ref="BT325:BY325"/>
    <mergeCell ref="BZ325:CC325"/>
    <mergeCell ref="BA326:BD326"/>
    <mergeCell ref="BE326:BF326"/>
    <mergeCell ref="BH326:BM326"/>
    <mergeCell ref="BN326:BS326"/>
    <mergeCell ref="BT326:BY326"/>
    <mergeCell ref="BZ326:CC326"/>
    <mergeCell ref="BA327:BD327"/>
    <mergeCell ref="BE327:BF327"/>
    <mergeCell ref="BH327:BM327"/>
    <mergeCell ref="BN333:BS333"/>
    <mergeCell ref="AX329:AY334"/>
    <mergeCell ref="BA329:BD329"/>
    <mergeCell ref="BE329:BF329"/>
    <mergeCell ref="BH329:BM329"/>
    <mergeCell ref="BN329:BS329"/>
    <mergeCell ref="BT329:BY329"/>
    <mergeCell ref="BZ329:CC329"/>
    <mergeCell ref="CD329:CH334"/>
    <mergeCell ref="CI329:CM334"/>
    <mergeCell ref="BT333:BY333"/>
    <mergeCell ref="BZ333:CC333"/>
    <mergeCell ref="BA334:BD334"/>
    <mergeCell ref="BE334:BF334"/>
    <mergeCell ref="BH334:BM334"/>
    <mergeCell ref="BN334:BS334"/>
    <mergeCell ref="BT334:BY334"/>
    <mergeCell ref="BZ334:CC334"/>
    <mergeCell ref="A335:A340"/>
    <mergeCell ref="D335:J340"/>
    <mergeCell ref="K335:Q340"/>
    <mergeCell ref="R335:S340"/>
    <mergeCell ref="T335:U340"/>
    <mergeCell ref="V335:AB340"/>
    <mergeCell ref="AC335:AI340"/>
    <mergeCell ref="AJ335:AP340"/>
    <mergeCell ref="AQ335:AW340"/>
    <mergeCell ref="CN329:CR334"/>
    <mergeCell ref="CS329:CW334"/>
    <mergeCell ref="BA330:BD330"/>
    <mergeCell ref="BE330:BF330"/>
    <mergeCell ref="BH330:BM330"/>
    <mergeCell ref="BN330:BS330"/>
    <mergeCell ref="BT330:BY330"/>
    <mergeCell ref="BZ330:CC330"/>
    <mergeCell ref="BA331:BD331"/>
    <mergeCell ref="BE331:BF331"/>
    <mergeCell ref="BH331:BM331"/>
    <mergeCell ref="BN331:BS331"/>
    <mergeCell ref="BT331:BY331"/>
    <mergeCell ref="BZ331:CC331"/>
    <mergeCell ref="BA332:BD332"/>
    <mergeCell ref="BE332:BF332"/>
    <mergeCell ref="BH332:BM332"/>
    <mergeCell ref="BN332:BS332"/>
    <mergeCell ref="BT332:BY332"/>
    <mergeCell ref="BZ332:CC332"/>
    <mergeCell ref="BA333:BD333"/>
    <mergeCell ref="BE333:BF333"/>
    <mergeCell ref="BH333:BM333"/>
    <mergeCell ref="BN339:BS339"/>
    <mergeCell ref="AX335:AY340"/>
    <mergeCell ref="BA335:BD335"/>
    <mergeCell ref="BE335:BF335"/>
    <mergeCell ref="BH335:BM335"/>
    <mergeCell ref="BN335:BS335"/>
    <mergeCell ref="BT335:BY335"/>
    <mergeCell ref="BZ335:CC335"/>
    <mergeCell ref="CD335:CH340"/>
    <mergeCell ref="CI335:CM340"/>
    <mergeCell ref="BT339:BY339"/>
    <mergeCell ref="BZ339:CC339"/>
    <mergeCell ref="BA340:BD340"/>
    <mergeCell ref="BE340:BF340"/>
    <mergeCell ref="BH340:BM340"/>
    <mergeCell ref="BN340:BS340"/>
    <mergeCell ref="BT340:BY340"/>
    <mergeCell ref="BZ340:CC340"/>
    <mergeCell ref="A341:A346"/>
    <mergeCell ref="D341:J346"/>
    <mergeCell ref="K341:Q346"/>
    <mergeCell ref="R341:S346"/>
    <mergeCell ref="T341:U346"/>
    <mergeCell ref="V341:AB346"/>
    <mergeCell ref="AC341:AI346"/>
    <mergeCell ref="AJ341:AP346"/>
    <mergeCell ref="AQ341:AW346"/>
    <mergeCell ref="CN335:CR340"/>
    <mergeCell ref="CS335:CW340"/>
    <mergeCell ref="BA336:BD336"/>
    <mergeCell ref="BE336:BF336"/>
    <mergeCell ref="BH336:BM336"/>
    <mergeCell ref="BN336:BS336"/>
    <mergeCell ref="BT336:BY336"/>
    <mergeCell ref="BZ336:CC336"/>
    <mergeCell ref="BA337:BD337"/>
    <mergeCell ref="BE337:BF337"/>
    <mergeCell ref="BH337:BM337"/>
    <mergeCell ref="BN337:BS337"/>
    <mergeCell ref="BT337:BY337"/>
    <mergeCell ref="BZ337:CC337"/>
    <mergeCell ref="BA338:BD338"/>
    <mergeCell ref="BE338:BF338"/>
    <mergeCell ref="BH338:BM338"/>
    <mergeCell ref="BN338:BS338"/>
    <mergeCell ref="BT338:BY338"/>
    <mergeCell ref="BZ338:CC338"/>
    <mergeCell ref="BA339:BD339"/>
    <mergeCell ref="BE339:BF339"/>
    <mergeCell ref="BH339:BM339"/>
    <mergeCell ref="BN345:BS345"/>
    <mergeCell ref="AX341:AY346"/>
    <mergeCell ref="BA341:BD341"/>
    <mergeCell ref="BE341:BF341"/>
    <mergeCell ref="BH341:BM341"/>
    <mergeCell ref="BN341:BS341"/>
    <mergeCell ref="BT341:BY341"/>
    <mergeCell ref="BZ341:CC341"/>
    <mergeCell ref="CD341:CH346"/>
    <mergeCell ref="CI341:CM346"/>
    <mergeCell ref="BT345:BY345"/>
    <mergeCell ref="BZ345:CC345"/>
    <mergeCell ref="BA346:BD346"/>
    <mergeCell ref="BE346:BF346"/>
    <mergeCell ref="BH346:BM346"/>
    <mergeCell ref="BN346:BS346"/>
    <mergeCell ref="BT346:BY346"/>
    <mergeCell ref="BZ346:CC346"/>
    <mergeCell ref="A347:A352"/>
    <mergeCell ref="D347:J352"/>
    <mergeCell ref="K347:Q352"/>
    <mergeCell ref="R347:S352"/>
    <mergeCell ref="T347:U352"/>
    <mergeCell ref="V347:AB352"/>
    <mergeCell ref="AC347:AI352"/>
    <mergeCell ref="AJ347:AP352"/>
    <mergeCell ref="AQ347:AW352"/>
    <mergeCell ref="CN341:CR346"/>
    <mergeCell ref="CS341:CW346"/>
    <mergeCell ref="BA342:BD342"/>
    <mergeCell ref="BE342:BF342"/>
    <mergeCell ref="BH342:BM342"/>
    <mergeCell ref="BN342:BS342"/>
    <mergeCell ref="BT342:BY342"/>
    <mergeCell ref="BZ342:CC342"/>
    <mergeCell ref="BA343:BD343"/>
    <mergeCell ref="BE343:BF343"/>
    <mergeCell ref="BH343:BM343"/>
    <mergeCell ref="BN343:BS343"/>
    <mergeCell ref="BT343:BY343"/>
    <mergeCell ref="BZ343:CC343"/>
    <mergeCell ref="BA344:BD344"/>
    <mergeCell ref="BE344:BF344"/>
    <mergeCell ref="BH344:BM344"/>
    <mergeCell ref="BN344:BS344"/>
    <mergeCell ref="BT344:BY344"/>
    <mergeCell ref="BZ344:CC344"/>
    <mergeCell ref="BA345:BD345"/>
    <mergeCell ref="BE345:BF345"/>
    <mergeCell ref="BH345:BM345"/>
    <mergeCell ref="AX347:AY352"/>
    <mergeCell ref="BA347:BD347"/>
    <mergeCell ref="BE347:BF347"/>
    <mergeCell ref="BH347:BM347"/>
    <mergeCell ref="BN347:BS347"/>
    <mergeCell ref="BT347:BY347"/>
    <mergeCell ref="BZ347:CC347"/>
    <mergeCell ref="CD347:CH352"/>
    <mergeCell ref="CI347:CM352"/>
    <mergeCell ref="BT351:BY351"/>
    <mergeCell ref="BZ351:CC351"/>
    <mergeCell ref="BA352:BD352"/>
    <mergeCell ref="BE352:BF352"/>
    <mergeCell ref="BH352:BM352"/>
    <mergeCell ref="BN352:BS352"/>
    <mergeCell ref="BT352:BY352"/>
    <mergeCell ref="BZ352:CC352"/>
    <mergeCell ref="CN347:CR352"/>
    <mergeCell ref="CS347:CW352"/>
    <mergeCell ref="BA348:BD348"/>
    <mergeCell ref="BE348:BF348"/>
    <mergeCell ref="BH348:BM348"/>
    <mergeCell ref="BN348:BS348"/>
    <mergeCell ref="BT348:BY348"/>
    <mergeCell ref="BZ348:CC348"/>
    <mergeCell ref="BA349:BD349"/>
    <mergeCell ref="BE349:BF349"/>
    <mergeCell ref="BH349:BM349"/>
    <mergeCell ref="BN349:BS349"/>
    <mergeCell ref="BT349:BY349"/>
    <mergeCell ref="BZ349:CC349"/>
    <mergeCell ref="BA350:BD350"/>
    <mergeCell ref="BE350:BF350"/>
    <mergeCell ref="BH350:BM350"/>
    <mergeCell ref="BN350:BS350"/>
    <mergeCell ref="BT350:BY350"/>
    <mergeCell ref="BZ350:CC350"/>
    <mergeCell ref="BA351:BD351"/>
    <mergeCell ref="BE351:BF351"/>
    <mergeCell ref="BH351:BM351"/>
    <mergeCell ref="BN351:BS351"/>
  </mergeCells>
  <phoneticPr fontId="3"/>
  <conditionalFormatting sqref="BP11:BU352">
    <cfRule type="expression" dxfId="15" priority="5">
      <formula>AND($BP11="",OR($BJ11&lt;&gt;"",$BV11&lt;&gt;""))</formula>
    </cfRule>
  </conditionalFormatting>
  <conditionalFormatting sqref="BJ11:BO352">
    <cfRule type="expression" dxfId="14" priority="4">
      <formula>AND($BJ11="",OR($BP11&lt;&gt;"",$BV11&lt;&gt;""))</formula>
    </cfRule>
  </conditionalFormatting>
  <conditionalFormatting sqref="BG11:BH352">
    <cfRule type="expression" dxfId="13" priority="3">
      <formula>AND($BG11="��", OR($BI11&lt;&gt;"", $BJ11&lt;&gt;"", $BP11&lt;&gt;"", $BV11&lt;&gt;""))</formula>
    </cfRule>
  </conditionalFormatting>
  <conditionalFormatting sqref="B11:C352 BB11:CE352">
    <cfRule type="expression" dxfId="12" priority="2" stopIfTrue="1">
      <formula>OFFSET($R11,-($BB11-1),0)="x"</formula>
    </cfRule>
  </conditionalFormatting>
  <conditionalFormatting sqref="A11:CY352">
    <cfRule type="expression" dxfId="11" priority="1" stopIfTrue="1">
      <formula>$R11="x"</formula>
    </cfRule>
  </conditionalFormatting>
  <dataValidations count="7">
    <dataValidation type="list" allowBlank="1" showInputMessage="1" showErrorMessage="1" sqref="BG11:BG352">
      <formula1>INDIRECT(Phase_List_Range)</formula1>
    </dataValidation>
    <dataValidation type="whole" operator="greaterThanOrEqual" allowBlank="1" showInputMessage="1" showErrorMessage="1" sqref="A11:A352 AZ11:AZ352">
      <formula1>0</formula1>
    </dataValidation>
    <dataValidation type="date" allowBlank="1" showInputMessage="1" showErrorMessage="1" sqref="BZ11:CC352 BA11:BD352">
      <formula1>36526</formula1>
      <formula2>2958465</formula2>
    </dataValidation>
    <dataValidation type="list" allowBlank="1" showInputMessage="1" showErrorMessage="1" sqref="BE11:BF352">
      <formula1>"Passed,Failed"</formula1>
    </dataValidation>
    <dataValidation type="textLength" operator="lessThanOrEqual" allowBlank="1" showInputMessage="1" showErrorMessage="1" promptTitle="Please double-click it. " prompt="The  cause category and cause type ,and cause detailed select at one time." sqref="BH11:BY352">
      <formula1>40</formula1>
    </dataValidation>
    <dataValidation type="list" allowBlank="1" showInputMessage="1" showErrorMessage="1" sqref="T11:U352">
      <formula1>"Normal,Irregular"</formula1>
    </dataValidation>
    <dataValidation type="list" allowBlank="1" showInputMessage="1" showErrorMessage="1" sqref="R11:S352">
      <formula1>"x"</formula1>
    </dataValidation>
  </dataValidations>
  <pageMargins left="0.43307086614173229" right="0.35433070866141736" top="0.39370078740157483" bottom="0.55118110236220474" header="0.43307086614173229" footer="0.39370078740157483"/>
  <pageSetup paperSize="9" scale="31" fitToHeight="0" orientation="landscape" r:id="rId1"/>
  <headerFooter alignWithMargins="0">
    <oddFooter>&amp;L&amp;"Arial,標準"FUJITSU CONFIDENTIAL&amp;R&amp;"Arial,標準"All Rights Reserved, Copyright (C) FUJITSU LIMITED 2017</oddFooter>
  </headerFooter>
  <rowBreaks count="1" manualBreakCount="1">
    <brk id="106" max="102" man="1"/>
  </rowBreaks>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40"/>
  </sheetPr>
  <dimension ref="A1"/>
  <sheetViews>
    <sheetView zoomScale="85" zoomScaleNormal="85" workbookViewId="0">
      <selection sqref="A1:M4"/>
    </sheetView>
  </sheetViews>
  <sheetFormatPr defaultColWidth="9" defaultRowHeight="14.25" x14ac:dyDescent="0.2"/>
  <cols>
    <col min="1" max="16384" width="9" style="86"/>
  </cols>
  <sheetData>
    <row r="1" spans="1:1" x14ac:dyDescent="0.2">
      <c r="A1" s="86" t="s">
        <v>189</v>
      </c>
    </row>
  </sheetData>
  <phoneticPr fontId="3"/>
  <pageMargins left="0.74803149606299213" right="0.74803149606299213" top="0.98425196850393704" bottom="0.98425196850393704" header="0.51181102362204722" footer="0.51181102362204722"/>
  <pageSetup paperSize="9" orientation="portrait" r:id="rId1"/>
  <headerFooter alignWithMargins="0">
    <oddFooter>&amp;L&amp;"Arial,標準"&amp;9FUJITSU CONFIDENTIAL&amp;R&amp;"Arial,標準"&amp;9All Rights Reserved, Copyright (C) FUJITSU LIMITED 2017</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38"/>
  <sheetViews>
    <sheetView showGridLines="0" topLeftCell="C1" zoomScale="85" zoomScaleNormal="85" zoomScaleSheetLayoutView="85" workbookViewId="0">
      <pane ySplit="2" topLeftCell="A3" activePane="bottomLeft" state="frozen"/>
      <selection sqref="A1:M4"/>
      <selection pane="bottomLeft" activeCell="T1" sqref="T1"/>
    </sheetView>
  </sheetViews>
  <sheetFormatPr defaultColWidth="9" defaultRowHeight="14.25" x14ac:dyDescent="0.15"/>
  <cols>
    <col min="1" max="1" width="1.75" style="186" hidden="1" customWidth="1"/>
    <col min="2" max="2" width="2.5" style="186" hidden="1" customWidth="1"/>
    <col min="3" max="3" width="18.625" style="194" customWidth="1"/>
    <col min="4" max="4" width="1.625" style="194" customWidth="1"/>
    <col min="5" max="5" width="12.25" style="194" hidden="1" customWidth="1"/>
    <col min="6" max="6" width="1.625" style="194" customWidth="1"/>
    <col min="7" max="7" width="23" style="194" customWidth="1"/>
    <col min="8" max="8" width="1.625" style="194" customWidth="1"/>
    <col min="9" max="9" width="15.625" style="194" customWidth="1"/>
    <col min="10" max="12" width="9" style="194" customWidth="1"/>
    <col min="13" max="16384" width="9" style="194"/>
  </cols>
  <sheetData>
    <row r="1" spans="1:11" s="181" customFormat="1" ht="73.5" customHeight="1" x14ac:dyDescent="0.25">
      <c r="C1" s="182" t="s">
        <v>101</v>
      </c>
      <c r="D1" s="183"/>
      <c r="E1" s="184" t="s">
        <v>102</v>
      </c>
      <c r="F1" s="183"/>
      <c r="G1" s="182" t="s">
        <v>139</v>
      </c>
      <c r="H1" s="183"/>
      <c r="I1" s="183" t="s">
        <v>103</v>
      </c>
      <c r="J1" s="183"/>
    </row>
    <row r="2" spans="1:11" s="186" customFormat="1" ht="30" customHeight="1" x14ac:dyDescent="0.15">
      <c r="A2" s="185"/>
      <c r="C2" s="187" t="s">
        <v>571</v>
      </c>
      <c r="E2" s="188" t="s">
        <v>104</v>
      </c>
      <c r="G2" s="187" t="s">
        <v>575</v>
      </c>
      <c r="I2" s="189" t="s">
        <v>576</v>
      </c>
      <c r="K2" s="250" t="s">
        <v>205</v>
      </c>
    </row>
    <row r="3" spans="1:11" x14ac:dyDescent="0.15">
      <c r="C3" s="190"/>
      <c r="D3" s="191"/>
      <c r="E3" s="192"/>
      <c r="F3" s="191"/>
      <c r="G3" s="190"/>
      <c r="H3" s="191"/>
      <c r="I3" s="193"/>
      <c r="J3" s="191"/>
      <c r="K3" s="251" t="s">
        <v>206</v>
      </c>
    </row>
    <row r="4" spans="1:11" ht="32.25" customHeight="1" x14ac:dyDescent="0.15">
      <c r="B4" s="186" t="s">
        <v>105</v>
      </c>
      <c r="C4" s="190" t="s">
        <v>263</v>
      </c>
      <c r="D4" s="191"/>
      <c r="E4" s="192"/>
      <c r="F4" s="191"/>
      <c r="G4" s="190"/>
      <c r="H4" s="191"/>
      <c r="I4" s="190"/>
      <c r="J4" s="191"/>
      <c r="K4" s="252" t="s">
        <v>197</v>
      </c>
    </row>
    <row r="5" spans="1:11" ht="19.5" customHeight="1" x14ac:dyDescent="0.15">
      <c r="B5" s="186" t="s">
        <v>106</v>
      </c>
      <c r="C5" s="190" t="s">
        <v>264</v>
      </c>
      <c r="D5" s="191"/>
      <c r="E5" s="192"/>
      <c r="F5" s="191"/>
      <c r="G5" s="190"/>
      <c r="H5" s="191"/>
      <c r="I5" s="190"/>
      <c r="J5" s="191"/>
      <c r="K5" s="253" t="s">
        <v>207</v>
      </c>
    </row>
    <row r="6" spans="1:11" x14ac:dyDescent="0.15">
      <c r="B6" s="186" t="s">
        <v>107</v>
      </c>
      <c r="C6" s="190" t="s">
        <v>265</v>
      </c>
      <c r="D6" s="191"/>
      <c r="E6" s="192"/>
      <c r="F6" s="191"/>
      <c r="G6" s="190"/>
      <c r="H6" s="191"/>
      <c r="I6" s="190"/>
      <c r="J6" s="191"/>
      <c r="K6" s="251"/>
    </row>
    <row r="7" spans="1:11" ht="15" x14ac:dyDescent="0.15">
      <c r="B7" s="186" t="s">
        <v>108</v>
      </c>
      <c r="C7" s="190" t="s">
        <v>266</v>
      </c>
      <c r="D7" s="191"/>
      <c r="E7" s="192"/>
      <c r="F7" s="191"/>
      <c r="G7" s="190"/>
      <c r="H7" s="191"/>
      <c r="I7" s="190"/>
      <c r="J7" s="191"/>
      <c r="K7" s="250" t="s">
        <v>208</v>
      </c>
    </row>
    <row r="8" spans="1:11" ht="31.5" customHeight="1" x14ac:dyDescent="0.15">
      <c r="B8" s="186" t="s">
        <v>109</v>
      </c>
      <c r="C8" s="190" t="s">
        <v>267</v>
      </c>
      <c r="D8" s="191"/>
      <c r="E8" s="192"/>
      <c r="F8" s="191"/>
      <c r="G8" s="190"/>
      <c r="H8" s="191"/>
      <c r="I8" s="190"/>
      <c r="J8" s="191"/>
      <c r="K8" s="251" t="s">
        <v>198</v>
      </c>
    </row>
    <row r="9" spans="1:11" x14ac:dyDescent="0.15">
      <c r="B9" s="186" t="s">
        <v>110</v>
      </c>
      <c r="C9" s="190" t="s">
        <v>258</v>
      </c>
      <c r="D9" s="191"/>
      <c r="E9" s="192"/>
      <c r="F9" s="191"/>
      <c r="G9" s="190"/>
      <c r="H9" s="191"/>
      <c r="I9" s="190"/>
      <c r="J9" s="191"/>
      <c r="K9" s="251" t="s">
        <v>202</v>
      </c>
    </row>
    <row r="10" spans="1:11" x14ac:dyDescent="0.15">
      <c r="B10" s="186" t="s">
        <v>111</v>
      </c>
      <c r="C10" s="190" t="s">
        <v>268</v>
      </c>
      <c r="D10" s="191"/>
      <c r="E10" s="192"/>
      <c r="F10" s="191"/>
      <c r="G10" s="190"/>
      <c r="H10" s="191"/>
      <c r="I10" s="193"/>
      <c r="J10" s="191"/>
      <c r="K10" s="251" t="s">
        <v>209</v>
      </c>
    </row>
    <row r="11" spans="1:11" ht="15" x14ac:dyDescent="0.15">
      <c r="B11" s="186" t="s">
        <v>112</v>
      </c>
      <c r="C11" s="190" t="s">
        <v>269</v>
      </c>
      <c r="D11" s="191"/>
      <c r="E11" s="192"/>
      <c r="F11" s="191"/>
      <c r="G11" s="190"/>
      <c r="H11" s="191"/>
      <c r="I11" s="190"/>
      <c r="J11" s="191"/>
      <c r="K11" s="252" t="s">
        <v>197</v>
      </c>
    </row>
    <row r="12" spans="1:11" x14ac:dyDescent="0.15">
      <c r="B12" s="186" t="s">
        <v>113</v>
      </c>
      <c r="C12" s="190" t="s">
        <v>270</v>
      </c>
      <c r="D12" s="191"/>
      <c r="E12" s="192"/>
      <c r="F12" s="191"/>
      <c r="G12" s="190"/>
      <c r="H12" s="191"/>
      <c r="I12" s="190"/>
      <c r="J12" s="191"/>
      <c r="K12" s="253" t="s">
        <v>199</v>
      </c>
    </row>
    <row r="13" spans="1:11" x14ac:dyDescent="0.15">
      <c r="B13" s="186" t="s">
        <v>114</v>
      </c>
      <c r="C13" s="190" t="s">
        <v>271</v>
      </c>
      <c r="D13" s="191"/>
      <c r="E13" s="192"/>
      <c r="F13" s="191"/>
      <c r="G13" s="190"/>
      <c r="H13" s="191"/>
      <c r="I13" s="190"/>
      <c r="J13" s="191"/>
      <c r="K13" s="253" t="s">
        <v>200</v>
      </c>
    </row>
    <row r="14" spans="1:11" x14ac:dyDescent="0.15">
      <c r="B14" s="186" t="s">
        <v>115</v>
      </c>
      <c r="C14" s="190" t="s">
        <v>116</v>
      </c>
      <c r="D14" s="191"/>
      <c r="E14" s="192"/>
      <c r="F14" s="191"/>
      <c r="G14" s="190"/>
      <c r="H14" s="191"/>
      <c r="I14" s="190"/>
      <c r="J14" s="191"/>
    </row>
    <row r="15" spans="1:11" x14ac:dyDescent="0.15">
      <c r="B15" s="186" t="s">
        <v>117</v>
      </c>
      <c r="C15" s="190" t="s">
        <v>118</v>
      </c>
      <c r="D15" s="191"/>
      <c r="E15" s="192"/>
      <c r="F15" s="191"/>
      <c r="G15" s="190"/>
      <c r="H15" s="191"/>
      <c r="I15" s="190"/>
      <c r="J15" s="191"/>
    </row>
    <row r="16" spans="1:11" x14ac:dyDescent="0.15">
      <c r="B16" s="186" t="s">
        <v>119</v>
      </c>
      <c r="C16" s="190" t="s">
        <v>272</v>
      </c>
      <c r="D16" s="191"/>
      <c r="E16" s="192"/>
      <c r="F16" s="191"/>
      <c r="G16" s="190"/>
      <c r="H16" s="191"/>
      <c r="I16" s="190"/>
      <c r="J16" s="191"/>
    </row>
    <row r="17" spans="2:10" x14ac:dyDescent="0.15">
      <c r="B17" s="186" t="s">
        <v>120</v>
      </c>
      <c r="C17" s="190" t="s">
        <v>121</v>
      </c>
      <c r="D17" s="191"/>
      <c r="E17" s="192"/>
      <c r="F17" s="191"/>
      <c r="G17" s="190"/>
      <c r="H17" s="191"/>
      <c r="I17" s="190"/>
      <c r="J17" s="191"/>
    </row>
    <row r="18" spans="2:10" x14ac:dyDescent="0.15">
      <c r="B18" s="186" t="s">
        <v>122</v>
      </c>
      <c r="C18" s="190" t="s">
        <v>123</v>
      </c>
      <c r="D18" s="191"/>
      <c r="E18" s="192"/>
      <c r="F18" s="191"/>
      <c r="G18" s="190"/>
      <c r="H18" s="191"/>
      <c r="I18" s="190"/>
      <c r="J18" s="191"/>
    </row>
    <row r="19" spans="2:10" x14ac:dyDescent="0.15">
      <c r="B19" s="186" t="s">
        <v>124</v>
      </c>
      <c r="C19" s="190" t="s">
        <v>125</v>
      </c>
      <c r="D19" s="191"/>
      <c r="E19" s="196"/>
      <c r="F19" s="191"/>
      <c r="G19" s="190"/>
      <c r="H19" s="191"/>
      <c r="I19" s="190"/>
      <c r="J19" s="191"/>
    </row>
    <row r="20" spans="2:10" x14ac:dyDescent="0.15">
      <c r="B20" s="186" t="s">
        <v>126</v>
      </c>
      <c r="C20" s="190" t="s">
        <v>127</v>
      </c>
      <c r="D20" s="191"/>
      <c r="E20" s="192"/>
      <c r="F20" s="191"/>
      <c r="G20" s="190"/>
      <c r="H20" s="191"/>
      <c r="I20" s="190"/>
      <c r="J20" s="191"/>
    </row>
    <row r="21" spans="2:10" x14ac:dyDescent="0.15">
      <c r="B21" s="186" t="s">
        <v>128</v>
      </c>
      <c r="C21" s="195"/>
      <c r="D21" s="191"/>
      <c r="E21" s="192"/>
      <c r="F21" s="191"/>
      <c r="G21" s="190"/>
      <c r="H21" s="191"/>
      <c r="I21" s="190"/>
      <c r="J21" s="191"/>
    </row>
    <row r="22" spans="2:10" x14ac:dyDescent="0.15">
      <c r="B22" s="186" t="s">
        <v>129</v>
      </c>
      <c r="C22" s="197"/>
      <c r="D22" s="191"/>
      <c r="E22" s="192"/>
      <c r="F22" s="191"/>
      <c r="G22" s="190"/>
      <c r="H22" s="191"/>
      <c r="I22" s="190"/>
      <c r="J22" s="191"/>
    </row>
    <row r="23" spans="2:10" x14ac:dyDescent="0.15">
      <c r="B23" s="186" t="s">
        <v>130</v>
      </c>
      <c r="C23" s="195"/>
      <c r="D23" s="191"/>
      <c r="E23" s="192"/>
      <c r="F23" s="191"/>
      <c r="G23" s="190"/>
      <c r="H23" s="191"/>
      <c r="I23" s="190"/>
      <c r="J23" s="191"/>
    </row>
    <row r="24" spans="2:10" x14ac:dyDescent="0.15">
      <c r="B24" s="186" t="s">
        <v>131</v>
      </c>
      <c r="C24" s="195"/>
      <c r="D24" s="191"/>
      <c r="E24" s="192"/>
      <c r="F24" s="191"/>
      <c r="G24" s="190"/>
      <c r="H24" s="191"/>
      <c r="I24" s="190"/>
      <c r="J24" s="191"/>
    </row>
    <row r="25" spans="2:10" x14ac:dyDescent="0.15">
      <c r="B25" s="186" t="s">
        <v>132</v>
      </c>
      <c r="C25" s="190"/>
      <c r="D25" s="191"/>
      <c r="E25" s="192"/>
      <c r="F25" s="191"/>
      <c r="G25" s="190"/>
      <c r="H25" s="191"/>
      <c r="I25" s="190"/>
      <c r="J25" s="191"/>
    </row>
    <row r="26" spans="2:10" x14ac:dyDescent="0.15">
      <c r="B26" s="186" t="s">
        <v>133</v>
      </c>
      <c r="C26" s="190"/>
      <c r="D26" s="191"/>
      <c r="E26" s="192"/>
      <c r="F26" s="191"/>
      <c r="G26" s="190"/>
      <c r="H26" s="191"/>
      <c r="I26" s="190"/>
      <c r="J26" s="191"/>
    </row>
    <row r="27" spans="2:10" x14ac:dyDescent="0.15">
      <c r="B27" s="186" t="s">
        <v>134</v>
      </c>
      <c r="C27" s="190"/>
      <c r="D27" s="191"/>
      <c r="E27" s="192"/>
      <c r="F27" s="191"/>
      <c r="G27" s="190"/>
      <c r="H27" s="191"/>
      <c r="I27" s="190"/>
      <c r="J27" s="191"/>
    </row>
    <row r="28" spans="2:10" x14ac:dyDescent="0.15">
      <c r="B28" s="186" t="s">
        <v>135</v>
      </c>
      <c r="C28" s="190"/>
      <c r="D28" s="191"/>
      <c r="E28" s="192"/>
      <c r="F28" s="191"/>
      <c r="G28" s="190"/>
      <c r="H28" s="191"/>
      <c r="I28" s="190"/>
      <c r="J28" s="191"/>
    </row>
    <row r="29" spans="2:10" x14ac:dyDescent="0.15">
      <c r="B29" s="186" t="s">
        <v>136</v>
      </c>
      <c r="C29" s="198"/>
      <c r="D29" s="191"/>
      <c r="E29" s="199"/>
      <c r="F29" s="191"/>
      <c r="G29" s="190"/>
      <c r="H29" s="191"/>
      <c r="I29" s="198"/>
      <c r="J29" s="191"/>
    </row>
    <row r="30" spans="2:10" ht="15" x14ac:dyDescent="0.15">
      <c r="C30" s="201" t="s">
        <v>138</v>
      </c>
      <c r="E30" s="200" t="s">
        <v>137</v>
      </c>
      <c r="G30" s="190"/>
      <c r="I30" s="201" t="s">
        <v>138</v>
      </c>
    </row>
    <row r="31" spans="2:10" ht="15" x14ac:dyDescent="0.15">
      <c r="C31" s="200"/>
      <c r="E31" s="200"/>
      <c r="G31" s="190"/>
    </row>
    <row r="32" spans="2:10" x14ac:dyDescent="0.15">
      <c r="G32" s="190"/>
    </row>
    <row r="33" spans="7:7" x14ac:dyDescent="0.15">
      <c r="G33" s="190"/>
    </row>
    <row r="34" spans="7:7" x14ac:dyDescent="0.15">
      <c r="G34" s="190"/>
    </row>
    <row r="35" spans="7:7" x14ac:dyDescent="0.15">
      <c r="G35" s="198"/>
    </row>
    <row r="36" spans="7:7" x14ac:dyDescent="0.15">
      <c r="G36" s="193"/>
    </row>
    <row r="37" spans="7:7" x14ac:dyDescent="0.15">
      <c r="G37" s="198"/>
    </row>
    <row r="38" spans="7:7" ht="15" x14ac:dyDescent="0.15">
      <c r="G38" s="201" t="s">
        <v>138</v>
      </c>
    </row>
  </sheetData>
  <dataConsolidate/>
  <phoneticPr fontId="3"/>
  <pageMargins left="0.70866141732283472" right="0.70866141732283472" top="0.74803149606299213" bottom="0.74803149606299213" header="0.31496062992125984" footer="0.31496062992125984"/>
  <pageSetup paperSize="9" scale="92" fitToHeight="0" orientation="portrait" r:id="rId1"/>
  <headerFooter>
    <oddFooter>&amp;L&amp;"Arial,標準"FUJITSU CONFIDENTIAL&amp;R&amp;"Arial,標準"All Rights Reserved, Copyright (C) FUJITSU LIMITED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5505" r:id="rId4" name="Button 1">
              <controlPr defaultSize="0" autoFill="0" autoPict="0" macro="[0]!TableRangeSetting.TableRangeSetting" altText="範囲指定の反映">
                <anchor moveWithCells="1" sizeWithCells="1">
                  <from>
                    <xdr:col>2</xdr:col>
                    <xdr:colOff>114300</xdr:colOff>
                    <xdr:row>0</xdr:row>
                    <xdr:rowOff>57150</xdr:rowOff>
                  </from>
                  <to>
                    <xdr:col>3</xdr:col>
                    <xdr:colOff>19050</xdr:colOff>
                    <xdr:row>0</xdr:row>
                    <xdr:rowOff>476250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6:H125"/>
  <sheetViews>
    <sheetView showGridLines="0" topLeftCell="A49" zoomScale="85" zoomScaleNormal="85" zoomScaleSheetLayoutView="80" zoomScalePageLayoutView="80" workbookViewId="0">
      <selection activeCell="E67" sqref="E67"/>
    </sheetView>
  </sheetViews>
  <sheetFormatPr defaultColWidth="9" defaultRowHeight="14.25" x14ac:dyDescent="0.2"/>
  <cols>
    <col min="1" max="1" width="2.625" style="86" customWidth="1"/>
    <col min="2" max="2" width="27" style="86" customWidth="1"/>
    <col min="3" max="3" width="45.875" style="86" bestFit="1" customWidth="1"/>
    <col min="4" max="4" width="34.875" style="86" customWidth="1"/>
    <col min="5" max="5" width="49.25" style="86" bestFit="1" customWidth="1"/>
    <col min="6" max="6" width="29.75" style="86" customWidth="1"/>
    <col min="7" max="7" width="30.375" style="86" bestFit="1" customWidth="1"/>
    <col min="8" max="16384" width="9" style="86"/>
  </cols>
  <sheetData>
    <row r="6" spans="2:8" s="130" customFormat="1" ht="15.75" x14ac:dyDescent="0.2">
      <c r="B6" s="128" t="s">
        <v>188</v>
      </c>
      <c r="C6" s="129"/>
      <c r="D6" s="155" t="s">
        <v>187</v>
      </c>
      <c r="E6" s="129"/>
      <c r="F6" s="129"/>
    </row>
    <row r="7" spans="2:8" s="130" customFormat="1" ht="15.75" x14ac:dyDescent="0.2">
      <c r="B7" s="153" t="s">
        <v>73</v>
      </c>
      <c r="C7" s="654" t="s">
        <v>74</v>
      </c>
      <c r="D7" s="654"/>
      <c r="E7" s="654" t="s">
        <v>75</v>
      </c>
      <c r="F7" s="654"/>
      <c r="H7" s="250" t="s">
        <v>205</v>
      </c>
    </row>
    <row r="8" spans="2:8" s="130" customFormat="1" ht="15.75" x14ac:dyDescent="0.2">
      <c r="B8" s="131" t="s">
        <v>65</v>
      </c>
      <c r="C8" s="132" t="s">
        <v>66</v>
      </c>
      <c r="D8" s="133" t="s">
        <v>77</v>
      </c>
      <c r="E8" s="134" t="s">
        <v>67</v>
      </c>
      <c r="F8" s="135" t="s">
        <v>77</v>
      </c>
      <c r="H8" s="251" t="s">
        <v>206</v>
      </c>
    </row>
    <row r="9" spans="2:8" s="130" customFormat="1" ht="15.75" customHeight="1" x14ac:dyDescent="0.2">
      <c r="B9" s="136" t="s">
        <v>76</v>
      </c>
      <c r="C9" s="137"/>
      <c r="D9" s="138"/>
      <c r="E9" s="139"/>
      <c r="F9" s="140"/>
      <c r="H9" s="251"/>
    </row>
    <row r="10" spans="2:8" s="130" customFormat="1" ht="18" customHeight="1" x14ac:dyDescent="0.2">
      <c r="B10" s="141" t="s">
        <v>281</v>
      </c>
      <c r="C10" s="142" t="s">
        <v>285</v>
      </c>
      <c r="D10" s="143" t="s">
        <v>286</v>
      </c>
      <c r="E10" s="144" t="s">
        <v>287</v>
      </c>
      <c r="F10" s="145" t="s">
        <v>288</v>
      </c>
      <c r="H10" s="252" t="s">
        <v>197</v>
      </c>
    </row>
    <row r="11" spans="2:8" s="130" customFormat="1" ht="18" customHeight="1" x14ac:dyDescent="0.2">
      <c r="B11" s="146" t="s">
        <v>281</v>
      </c>
      <c r="C11" s="147" t="s">
        <v>285</v>
      </c>
      <c r="D11" s="148" t="s">
        <v>286</v>
      </c>
      <c r="E11" s="149" t="s">
        <v>289</v>
      </c>
      <c r="F11" s="150" t="s">
        <v>290</v>
      </c>
      <c r="H11" s="251"/>
    </row>
    <row r="12" spans="2:8" s="130" customFormat="1" ht="18" customHeight="1" x14ac:dyDescent="0.2">
      <c r="B12" s="146" t="s">
        <v>281</v>
      </c>
      <c r="C12" s="147" t="s">
        <v>285</v>
      </c>
      <c r="D12" s="148" t="s">
        <v>286</v>
      </c>
      <c r="E12" s="149" t="s">
        <v>291</v>
      </c>
      <c r="F12" s="150" t="s">
        <v>292</v>
      </c>
      <c r="H12" s="250" t="s">
        <v>208</v>
      </c>
    </row>
    <row r="13" spans="2:8" s="130" customFormat="1" ht="18" customHeight="1" x14ac:dyDescent="0.2">
      <c r="B13" s="146" t="s">
        <v>281</v>
      </c>
      <c r="C13" s="147" t="s">
        <v>285</v>
      </c>
      <c r="D13" s="148" t="s">
        <v>286</v>
      </c>
      <c r="E13" s="268" t="s">
        <v>293</v>
      </c>
      <c r="F13" s="269" t="s">
        <v>294</v>
      </c>
      <c r="G13" s="270" t="s">
        <v>551</v>
      </c>
      <c r="H13" s="251" t="s">
        <v>198</v>
      </c>
    </row>
    <row r="14" spans="2:8" s="130" customFormat="1" ht="18" customHeight="1" x14ac:dyDescent="0.2">
      <c r="B14" s="146" t="s">
        <v>281</v>
      </c>
      <c r="C14" s="147" t="s">
        <v>285</v>
      </c>
      <c r="D14" s="148" t="s">
        <v>286</v>
      </c>
      <c r="E14" s="268" t="s">
        <v>295</v>
      </c>
      <c r="F14" s="269" t="s">
        <v>296</v>
      </c>
      <c r="G14" s="270" t="s">
        <v>551</v>
      </c>
      <c r="H14" s="251" t="s">
        <v>202</v>
      </c>
    </row>
    <row r="15" spans="2:8" s="130" customFormat="1" ht="18" customHeight="1" x14ac:dyDescent="0.2">
      <c r="B15" s="146" t="s">
        <v>281</v>
      </c>
      <c r="C15" s="147" t="s">
        <v>285</v>
      </c>
      <c r="D15" s="148" t="s">
        <v>286</v>
      </c>
      <c r="E15" s="268" t="s">
        <v>297</v>
      </c>
      <c r="F15" s="269" t="s">
        <v>298</v>
      </c>
      <c r="G15" s="270" t="s">
        <v>551</v>
      </c>
      <c r="H15" s="252" t="s">
        <v>197</v>
      </c>
    </row>
    <row r="16" spans="2:8" s="130" customFormat="1" ht="18" customHeight="1" x14ac:dyDescent="0.2">
      <c r="B16" s="151" t="s">
        <v>281</v>
      </c>
      <c r="C16" s="147" t="s">
        <v>285</v>
      </c>
      <c r="D16" s="148" t="s">
        <v>286</v>
      </c>
      <c r="E16" s="268" t="s">
        <v>299</v>
      </c>
      <c r="F16" s="269" t="s">
        <v>300</v>
      </c>
      <c r="G16" s="270" t="s">
        <v>551</v>
      </c>
      <c r="H16" s="253" t="s">
        <v>199</v>
      </c>
    </row>
    <row r="17" spans="2:8" s="130" customFormat="1" ht="18" customHeight="1" x14ac:dyDescent="0.2">
      <c r="B17" s="151" t="s">
        <v>281</v>
      </c>
      <c r="C17" s="147" t="s">
        <v>285</v>
      </c>
      <c r="D17" s="148" t="s">
        <v>286</v>
      </c>
      <c r="E17" s="149" t="s">
        <v>301</v>
      </c>
      <c r="F17" s="150" t="s">
        <v>302</v>
      </c>
      <c r="H17" s="253" t="s">
        <v>200</v>
      </c>
    </row>
    <row r="18" spans="2:8" s="130" customFormat="1" ht="18" customHeight="1" x14ac:dyDescent="0.2">
      <c r="B18" s="151" t="s">
        <v>281</v>
      </c>
      <c r="C18" s="147" t="s">
        <v>285</v>
      </c>
      <c r="D18" s="148" t="s">
        <v>286</v>
      </c>
      <c r="E18" s="149" t="s">
        <v>303</v>
      </c>
      <c r="F18" s="150" t="s">
        <v>304</v>
      </c>
    </row>
    <row r="19" spans="2:8" s="130" customFormat="1" ht="18" customHeight="1" x14ac:dyDescent="0.2">
      <c r="B19" s="151" t="s">
        <v>281</v>
      </c>
      <c r="C19" s="147" t="s">
        <v>285</v>
      </c>
      <c r="D19" s="148" t="s">
        <v>286</v>
      </c>
      <c r="E19" s="268" t="s">
        <v>305</v>
      </c>
      <c r="F19" s="269" t="s">
        <v>306</v>
      </c>
      <c r="G19" s="270" t="s">
        <v>551</v>
      </c>
    </row>
    <row r="20" spans="2:8" s="130" customFormat="1" ht="18" customHeight="1" x14ac:dyDescent="0.2">
      <c r="B20" s="151" t="s">
        <v>281</v>
      </c>
      <c r="C20" s="147" t="s">
        <v>285</v>
      </c>
      <c r="D20" s="148" t="s">
        <v>286</v>
      </c>
      <c r="E20" s="149" t="s">
        <v>307</v>
      </c>
      <c r="F20" s="150" t="s">
        <v>308</v>
      </c>
    </row>
    <row r="21" spans="2:8" s="130" customFormat="1" ht="18" customHeight="1" x14ac:dyDescent="0.2">
      <c r="B21" s="151" t="s">
        <v>281</v>
      </c>
      <c r="C21" s="147" t="s">
        <v>285</v>
      </c>
      <c r="D21" s="148" t="s">
        <v>286</v>
      </c>
      <c r="E21" s="149" t="s">
        <v>309</v>
      </c>
      <c r="F21" s="150" t="s">
        <v>310</v>
      </c>
    </row>
    <row r="22" spans="2:8" s="130" customFormat="1" ht="18" customHeight="1" x14ac:dyDescent="0.2">
      <c r="B22" s="151" t="s">
        <v>281</v>
      </c>
      <c r="C22" s="147" t="s">
        <v>285</v>
      </c>
      <c r="D22" s="148" t="s">
        <v>286</v>
      </c>
      <c r="E22" s="149" t="s">
        <v>311</v>
      </c>
      <c r="F22" s="150" t="s">
        <v>312</v>
      </c>
    </row>
    <row r="23" spans="2:8" s="130" customFormat="1" ht="18" customHeight="1" x14ac:dyDescent="0.2">
      <c r="B23" s="151" t="s">
        <v>281</v>
      </c>
      <c r="C23" s="147" t="s">
        <v>38</v>
      </c>
      <c r="D23" s="148" t="s">
        <v>313</v>
      </c>
      <c r="E23" s="149" t="s">
        <v>314</v>
      </c>
      <c r="F23" s="150" t="s">
        <v>315</v>
      </c>
    </row>
    <row r="24" spans="2:8" s="130" customFormat="1" ht="18" customHeight="1" x14ac:dyDescent="0.2">
      <c r="B24" s="151" t="s">
        <v>281</v>
      </c>
      <c r="C24" s="147" t="s">
        <v>38</v>
      </c>
      <c r="D24" s="148" t="s">
        <v>313</v>
      </c>
      <c r="E24" s="149" t="s">
        <v>316</v>
      </c>
      <c r="F24" s="150" t="s">
        <v>317</v>
      </c>
    </row>
    <row r="25" spans="2:8" s="130" customFormat="1" ht="18" customHeight="1" x14ac:dyDescent="0.2">
      <c r="B25" s="151" t="s">
        <v>281</v>
      </c>
      <c r="C25" s="147" t="s">
        <v>38</v>
      </c>
      <c r="D25" s="148" t="s">
        <v>313</v>
      </c>
      <c r="E25" s="149" t="s">
        <v>318</v>
      </c>
      <c r="F25" s="150" t="s">
        <v>319</v>
      </c>
    </row>
    <row r="26" spans="2:8" s="130" customFormat="1" ht="18" customHeight="1" x14ac:dyDescent="0.2">
      <c r="B26" s="151" t="s">
        <v>281</v>
      </c>
      <c r="C26" s="147" t="s">
        <v>273</v>
      </c>
      <c r="D26" s="148" t="s">
        <v>320</v>
      </c>
      <c r="E26" s="149" t="s">
        <v>321</v>
      </c>
      <c r="F26" s="150" t="s">
        <v>322</v>
      </c>
    </row>
    <row r="27" spans="2:8" s="130" customFormat="1" ht="18" customHeight="1" x14ac:dyDescent="0.2">
      <c r="B27" s="146" t="s">
        <v>281</v>
      </c>
      <c r="C27" s="147" t="s">
        <v>273</v>
      </c>
      <c r="D27" s="148" t="s">
        <v>320</v>
      </c>
      <c r="E27" s="149" t="s">
        <v>323</v>
      </c>
      <c r="F27" s="150" t="s">
        <v>324</v>
      </c>
    </row>
    <row r="28" spans="2:8" s="130" customFormat="1" ht="18" customHeight="1" x14ac:dyDescent="0.2">
      <c r="B28" s="151" t="s">
        <v>281</v>
      </c>
      <c r="C28" s="147" t="s">
        <v>273</v>
      </c>
      <c r="D28" s="148" t="s">
        <v>320</v>
      </c>
      <c r="E28" s="149" t="s">
        <v>325</v>
      </c>
      <c r="F28" s="150" t="s">
        <v>326</v>
      </c>
    </row>
    <row r="29" spans="2:8" s="130" customFormat="1" ht="18" customHeight="1" x14ac:dyDescent="0.2">
      <c r="B29" s="151" t="s">
        <v>281</v>
      </c>
      <c r="C29" s="147" t="s">
        <v>273</v>
      </c>
      <c r="D29" s="148" t="s">
        <v>320</v>
      </c>
      <c r="E29" s="149" t="s">
        <v>327</v>
      </c>
      <c r="F29" s="150" t="s">
        <v>328</v>
      </c>
    </row>
    <row r="30" spans="2:8" s="130" customFormat="1" ht="18" customHeight="1" x14ac:dyDescent="0.2">
      <c r="B30" s="151" t="s">
        <v>281</v>
      </c>
      <c r="C30" s="147" t="s">
        <v>273</v>
      </c>
      <c r="D30" s="148" t="s">
        <v>320</v>
      </c>
      <c r="E30" s="149" t="s">
        <v>329</v>
      </c>
      <c r="F30" s="150" t="s">
        <v>330</v>
      </c>
    </row>
    <row r="31" spans="2:8" s="130" customFormat="1" ht="18" customHeight="1" x14ac:dyDescent="0.2">
      <c r="B31" s="151" t="s">
        <v>281</v>
      </c>
      <c r="C31" s="147" t="s">
        <v>273</v>
      </c>
      <c r="D31" s="148" t="s">
        <v>320</v>
      </c>
      <c r="E31" s="149" t="s">
        <v>331</v>
      </c>
      <c r="F31" s="150" t="s">
        <v>332</v>
      </c>
    </row>
    <row r="32" spans="2:8" s="130" customFormat="1" ht="18" customHeight="1" x14ac:dyDescent="0.2">
      <c r="B32" s="151" t="s">
        <v>281</v>
      </c>
      <c r="C32" s="147" t="s">
        <v>273</v>
      </c>
      <c r="D32" s="148" t="s">
        <v>320</v>
      </c>
      <c r="E32" s="149" t="s">
        <v>333</v>
      </c>
      <c r="F32" s="150" t="s">
        <v>334</v>
      </c>
    </row>
    <row r="33" spans="2:7" s="130" customFormat="1" ht="18" customHeight="1" x14ac:dyDescent="0.2">
      <c r="B33" s="151" t="s">
        <v>281</v>
      </c>
      <c r="C33" s="147" t="s">
        <v>335</v>
      </c>
      <c r="D33" s="148" t="s">
        <v>336</v>
      </c>
      <c r="E33" s="149" t="s">
        <v>543</v>
      </c>
      <c r="F33" s="150" t="s">
        <v>544</v>
      </c>
      <c r="G33" s="267" t="s">
        <v>552</v>
      </c>
    </row>
    <row r="34" spans="2:7" s="130" customFormat="1" ht="18" customHeight="1" x14ac:dyDescent="0.2">
      <c r="B34" s="151" t="s">
        <v>281</v>
      </c>
      <c r="C34" s="147" t="s">
        <v>335</v>
      </c>
      <c r="D34" s="148" t="s">
        <v>336</v>
      </c>
      <c r="E34" s="149" t="s">
        <v>545</v>
      </c>
      <c r="F34" s="150" t="s">
        <v>546</v>
      </c>
      <c r="G34" s="267" t="s">
        <v>552</v>
      </c>
    </row>
    <row r="35" spans="2:7" s="130" customFormat="1" ht="18" customHeight="1" x14ac:dyDescent="0.2">
      <c r="B35" s="151" t="s">
        <v>281</v>
      </c>
      <c r="C35" s="147" t="s">
        <v>335</v>
      </c>
      <c r="D35" s="148" t="s">
        <v>336</v>
      </c>
      <c r="E35" s="149" t="s">
        <v>547</v>
      </c>
      <c r="F35" s="150" t="s">
        <v>548</v>
      </c>
      <c r="G35" s="267" t="s">
        <v>552</v>
      </c>
    </row>
    <row r="36" spans="2:7" s="130" customFormat="1" ht="18" customHeight="1" x14ac:dyDescent="0.2">
      <c r="B36" s="151" t="s">
        <v>281</v>
      </c>
      <c r="C36" s="147" t="s">
        <v>335</v>
      </c>
      <c r="D36" s="148" t="s">
        <v>336</v>
      </c>
      <c r="E36" s="149" t="s">
        <v>337</v>
      </c>
      <c r="F36" s="150" t="s">
        <v>338</v>
      </c>
    </row>
    <row r="37" spans="2:7" s="130" customFormat="1" ht="18" customHeight="1" x14ac:dyDescent="0.2">
      <c r="B37" s="151" t="s">
        <v>281</v>
      </c>
      <c r="C37" s="147" t="s">
        <v>335</v>
      </c>
      <c r="D37" s="148" t="s">
        <v>336</v>
      </c>
      <c r="E37" s="268" t="s">
        <v>339</v>
      </c>
      <c r="F37" s="269" t="s">
        <v>340</v>
      </c>
      <c r="G37" s="270" t="s">
        <v>551</v>
      </c>
    </row>
    <row r="38" spans="2:7" s="130" customFormat="1" ht="18" customHeight="1" x14ac:dyDescent="0.2">
      <c r="B38" s="151" t="s">
        <v>281</v>
      </c>
      <c r="C38" s="147" t="s">
        <v>335</v>
      </c>
      <c r="D38" s="148" t="s">
        <v>336</v>
      </c>
      <c r="E38" s="268" t="s">
        <v>341</v>
      </c>
      <c r="F38" s="269" t="s">
        <v>342</v>
      </c>
      <c r="G38" s="270" t="s">
        <v>551</v>
      </c>
    </row>
    <row r="39" spans="2:7" s="130" customFormat="1" ht="18" customHeight="1" x14ac:dyDescent="0.2">
      <c r="B39" s="151" t="s">
        <v>281</v>
      </c>
      <c r="C39" s="147" t="s">
        <v>335</v>
      </c>
      <c r="D39" s="148" t="s">
        <v>336</v>
      </c>
      <c r="E39" s="268" t="s">
        <v>343</v>
      </c>
      <c r="F39" s="269" t="s">
        <v>344</v>
      </c>
      <c r="G39" s="270" t="s">
        <v>551</v>
      </c>
    </row>
    <row r="40" spans="2:7" s="130" customFormat="1" ht="18" customHeight="1" x14ac:dyDescent="0.2">
      <c r="B40" s="151" t="s">
        <v>281</v>
      </c>
      <c r="C40" s="147" t="s">
        <v>335</v>
      </c>
      <c r="D40" s="148" t="s">
        <v>336</v>
      </c>
      <c r="E40" s="149" t="s">
        <v>345</v>
      </c>
      <c r="F40" s="150" t="s">
        <v>346</v>
      </c>
    </row>
    <row r="41" spans="2:7" s="130" customFormat="1" ht="18" customHeight="1" x14ac:dyDescent="0.2">
      <c r="B41" s="151" t="s">
        <v>281</v>
      </c>
      <c r="C41" s="147" t="s">
        <v>335</v>
      </c>
      <c r="D41" s="148" t="s">
        <v>336</v>
      </c>
      <c r="E41" s="149" t="s">
        <v>347</v>
      </c>
      <c r="F41" s="150" t="s">
        <v>348</v>
      </c>
    </row>
    <row r="42" spans="2:7" s="130" customFormat="1" ht="18" customHeight="1" x14ac:dyDescent="0.2">
      <c r="B42" s="151" t="s">
        <v>281</v>
      </c>
      <c r="C42" s="147" t="s">
        <v>335</v>
      </c>
      <c r="D42" s="148" t="s">
        <v>336</v>
      </c>
      <c r="E42" s="149" t="s">
        <v>349</v>
      </c>
      <c r="F42" s="150" t="s">
        <v>350</v>
      </c>
    </row>
    <row r="43" spans="2:7" s="130" customFormat="1" ht="18" customHeight="1" x14ac:dyDescent="0.2">
      <c r="B43" s="151" t="s">
        <v>281</v>
      </c>
      <c r="C43" s="147" t="s">
        <v>335</v>
      </c>
      <c r="D43" s="148" t="s">
        <v>336</v>
      </c>
      <c r="E43" s="149" t="s">
        <v>351</v>
      </c>
      <c r="F43" s="150" t="s">
        <v>352</v>
      </c>
    </row>
    <row r="44" spans="2:7" s="130" customFormat="1" ht="18" customHeight="1" x14ac:dyDescent="0.2">
      <c r="B44" s="151" t="s">
        <v>281</v>
      </c>
      <c r="C44" s="147" t="s">
        <v>335</v>
      </c>
      <c r="D44" s="148" t="s">
        <v>336</v>
      </c>
      <c r="E44" s="149" t="s">
        <v>353</v>
      </c>
      <c r="F44" s="150" t="s">
        <v>354</v>
      </c>
    </row>
    <row r="45" spans="2:7" s="130" customFormat="1" ht="18" customHeight="1" x14ac:dyDescent="0.2">
      <c r="B45" s="151" t="s">
        <v>281</v>
      </c>
      <c r="C45" s="147" t="s">
        <v>335</v>
      </c>
      <c r="D45" s="148" t="s">
        <v>336</v>
      </c>
      <c r="E45" s="149" t="s">
        <v>355</v>
      </c>
      <c r="F45" s="150" t="s">
        <v>356</v>
      </c>
    </row>
    <row r="46" spans="2:7" s="130" customFormat="1" ht="18" customHeight="1" x14ac:dyDescent="0.2">
      <c r="B46" s="151" t="s">
        <v>281</v>
      </c>
      <c r="C46" s="147" t="s">
        <v>274</v>
      </c>
      <c r="D46" s="148" t="s">
        <v>357</v>
      </c>
      <c r="E46" s="149" t="s">
        <v>358</v>
      </c>
      <c r="F46" s="150" t="s">
        <v>359</v>
      </c>
    </row>
    <row r="47" spans="2:7" s="130" customFormat="1" ht="18" customHeight="1" x14ac:dyDescent="0.2">
      <c r="B47" s="151" t="s">
        <v>281</v>
      </c>
      <c r="C47" s="147" t="s">
        <v>274</v>
      </c>
      <c r="D47" s="148" t="s">
        <v>357</v>
      </c>
      <c r="E47" s="149" t="s">
        <v>360</v>
      </c>
      <c r="F47" s="150" t="s">
        <v>361</v>
      </c>
    </row>
    <row r="48" spans="2:7" s="130" customFormat="1" ht="18" customHeight="1" x14ac:dyDescent="0.2">
      <c r="B48" s="151" t="s">
        <v>281</v>
      </c>
      <c r="C48" s="147" t="s">
        <v>274</v>
      </c>
      <c r="D48" s="148" t="s">
        <v>357</v>
      </c>
      <c r="E48" s="149" t="s">
        <v>362</v>
      </c>
      <c r="F48" s="150" t="s">
        <v>363</v>
      </c>
    </row>
    <row r="49" spans="2:6" s="130" customFormat="1" ht="18" customHeight="1" x14ac:dyDescent="0.2">
      <c r="B49" s="151" t="s">
        <v>364</v>
      </c>
      <c r="C49" s="147" t="s">
        <v>39</v>
      </c>
      <c r="D49" s="148" t="s">
        <v>365</v>
      </c>
      <c r="E49" s="149" t="s">
        <v>366</v>
      </c>
      <c r="F49" s="150" t="s">
        <v>367</v>
      </c>
    </row>
    <row r="50" spans="2:6" s="130" customFormat="1" ht="18" customHeight="1" x14ac:dyDescent="0.2">
      <c r="B50" s="151" t="s">
        <v>364</v>
      </c>
      <c r="C50" s="147" t="s">
        <v>39</v>
      </c>
      <c r="D50" s="148" t="s">
        <v>365</v>
      </c>
      <c r="E50" s="149" t="s">
        <v>368</v>
      </c>
      <c r="F50" s="150" t="s">
        <v>369</v>
      </c>
    </row>
    <row r="51" spans="2:6" s="130" customFormat="1" ht="18" customHeight="1" x14ac:dyDescent="0.2">
      <c r="B51" s="151" t="s">
        <v>364</v>
      </c>
      <c r="C51" s="147" t="s">
        <v>39</v>
      </c>
      <c r="D51" s="148" t="s">
        <v>365</v>
      </c>
      <c r="E51" s="149" t="s">
        <v>370</v>
      </c>
      <c r="F51" s="150" t="s">
        <v>371</v>
      </c>
    </row>
    <row r="52" spans="2:6" s="130" customFormat="1" ht="18" customHeight="1" x14ac:dyDescent="0.2">
      <c r="B52" s="151" t="s">
        <v>364</v>
      </c>
      <c r="C52" s="147" t="s">
        <v>275</v>
      </c>
      <c r="D52" s="148" t="s">
        <v>372</v>
      </c>
      <c r="E52" s="149" t="s">
        <v>373</v>
      </c>
      <c r="F52" s="150" t="s">
        <v>374</v>
      </c>
    </row>
    <row r="53" spans="2:6" s="130" customFormat="1" ht="18" customHeight="1" x14ac:dyDescent="0.2">
      <c r="B53" s="151" t="s">
        <v>364</v>
      </c>
      <c r="C53" s="147" t="s">
        <v>275</v>
      </c>
      <c r="D53" s="148" t="s">
        <v>372</v>
      </c>
      <c r="E53" s="149" t="s">
        <v>375</v>
      </c>
      <c r="F53" s="150" t="s">
        <v>376</v>
      </c>
    </row>
    <row r="54" spans="2:6" s="130" customFormat="1" ht="18" customHeight="1" x14ac:dyDescent="0.2">
      <c r="B54" s="151" t="s">
        <v>364</v>
      </c>
      <c r="C54" s="147" t="s">
        <v>275</v>
      </c>
      <c r="D54" s="148" t="s">
        <v>372</v>
      </c>
      <c r="E54" s="149" t="s">
        <v>377</v>
      </c>
      <c r="F54" s="150" t="s">
        <v>378</v>
      </c>
    </row>
    <row r="55" spans="2:6" s="130" customFormat="1" ht="18" customHeight="1" x14ac:dyDescent="0.2">
      <c r="B55" s="151" t="s">
        <v>364</v>
      </c>
      <c r="C55" s="147" t="s">
        <v>275</v>
      </c>
      <c r="D55" s="148" t="s">
        <v>372</v>
      </c>
      <c r="E55" s="149" t="s">
        <v>379</v>
      </c>
      <c r="F55" s="150" t="s">
        <v>380</v>
      </c>
    </row>
    <row r="56" spans="2:6" s="130" customFormat="1" ht="18" customHeight="1" x14ac:dyDescent="0.2">
      <c r="B56" s="151" t="s">
        <v>364</v>
      </c>
      <c r="C56" s="147" t="s">
        <v>275</v>
      </c>
      <c r="D56" s="148" t="s">
        <v>372</v>
      </c>
      <c r="E56" s="149" t="s">
        <v>381</v>
      </c>
      <c r="F56" s="150" t="s">
        <v>382</v>
      </c>
    </row>
    <row r="57" spans="2:6" s="130" customFormat="1" ht="18" customHeight="1" x14ac:dyDescent="0.2">
      <c r="B57" s="151" t="s">
        <v>364</v>
      </c>
      <c r="C57" s="147" t="s">
        <v>275</v>
      </c>
      <c r="D57" s="148" t="s">
        <v>372</v>
      </c>
      <c r="E57" s="149" t="s">
        <v>383</v>
      </c>
      <c r="F57" s="150" t="s">
        <v>384</v>
      </c>
    </row>
    <row r="58" spans="2:6" s="130" customFormat="1" ht="18" customHeight="1" x14ac:dyDescent="0.2">
      <c r="B58" s="151" t="s">
        <v>364</v>
      </c>
      <c r="C58" s="147" t="s">
        <v>275</v>
      </c>
      <c r="D58" s="148" t="s">
        <v>372</v>
      </c>
      <c r="E58" s="149" t="s">
        <v>385</v>
      </c>
      <c r="F58" s="150" t="s">
        <v>386</v>
      </c>
    </row>
    <row r="59" spans="2:6" s="130" customFormat="1" ht="18" customHeight="1" x14ac:dyDescent="0.2">
      <c r="B59" s="151" t="s">
        <v>364</v>
      </c>
      <c r="C59" s="147" t="s">
        <v>275</v>
      </c>
      <c r="D59" s="148" t="s">
        <v>372</v>
      </c>
      <c r="E59" s="149" t="s">
        <v>387</v>
      </c>
      <c r="F59" s="150" t="s">
        <v>388</v>
      </c>
    </row>
    <row r="60" spans="2:6" s="130" customFormat="1" ht="18" customHeight="1" x14ac:dyDescent="0.2">
      <c r="B60" s="151" t="s">
        <v>364</v>
      </c>
      <c r="C60" s="147" t="s">
        <v>275</v>
      </c>
      <c r="D60" s="148" t="s">
        <v>372</v>
      </c>
      <c r="E60" s="149" t="s">
        <v>389</v>
      </c>
      <c r="F60" s="150" t="s">
        <v>390</v>
      </c>
    </row>
    <row r="61" spans="2:6" s="130" customFormat="1" ht="18" customHeight="1" x14ac:dyDescent="0.2">
      <c r="B61" s="151" t="s">
        <v>364</v>
      </c>
      <c r="C61" s="147" t="s">
        <v>275</v>
      </c>
      <c r="D61" s="148" t="s">
        <v>372</v>
      </c>
      <c r="E61" s="149" t="s">
        <v>391</v>
      </c>
      <c r="F61" s="150" t="s">
        <v>392</v>
      </c>
    </row>
    <row r="62" spans="2:6" s="130" customFormat="1" ht="18" customHeight="1" x14ac:dyDescent="0.2">
      <c r="B62" s="151" t="s">
        <v>364</v>
      </c>
      <c r="C62" s="147" t="s">
        <v>275</v>
      </c>
      <c r="D62" s="148" t="s">
        <v>372</v>
      </c>
      <c r="E62" s="149" t="s">
        <v>393</v>
      </c>
      <c r="F62" s="150" t="s">
        <v>394</v>
      </c>
    </row>
    <row r="63" spans="2:6" s="130" customFormat="1" ht="18" customHeight="1" x14ac:dyDescent="0.2">
      <c r="B63" s="151" t="s">
        <v>364</v>
      </c>
      <c r="C63" s="147" t="s">
        <v>275</v>
      </c>
      <c r="D63" s="148" t="s">
        <v>372</v>
      </c>
      <c r="E63" s="149" t="s">
        <v>395</v>
      </c>
      <c r="F63" s="150" t="s">
        <v>396</v>
      </c>
    </row>
    <row r="64" spans="2:6" s="130" customFormat="1" ht="18" customHeight="1" x14ac:dyDescent="0.2">
      <c r="B64" s="151" t="s">
        <v>364</v>
      </c>
      <c r="C64" s="147" t="s">
        <v>40</v>
      </c>
      <c r="D64" s="148" t="s">
        <v>397</v>
      </c>
      <c r="E64" s="149" t="s">
        <v>398</v>
      </c>
      <c r="F64" s="150" t="s">
        <v>399</v>
      </c>
    </row>
    <row r="65" spans="2:6" s="130" customFormat="1" ht="18" customHeight="1" x14ac:dyDescent="0.2">
      <c r="B65" s="151" t="s">
        <v>364</v>
      </c>
      <c r="C65" s="147" t="s">
        <v>40</v>
      </c>
      <c r="D65" s="148" t="s">
        <v>397</v>
      </c>
      <c r="E65" s="149" t="s">
        <v>400</v>
      </c>
      <c r="F65" s="150" t="s">
        <v>401</v>
      </c>
    </row>
    <row r="66" spans="2:6" s="130" customFormat="1" ht="18" customHeight="1" x14ac:dyDescent="0.2">
      <c r="B66" s="151" t="s">
        <v>364</v>
      </c>
      <c r="C66" s="147" t="s">
        <v>40</v>
      </c>
      <c r="D66" s="148" t="s">
        <v>397</v>
      </c>
      <c r="E66" s="149" t="s">
        <v>402</v>
      </c>
      <c r="F66" s="150" t="s">
        <v>403</v>
      </c>
    </row>
    <row r="67" spans="2:6" s="130" customFormat="1" ht="18" customHeight="1" x14ac:dyDescent="0.2">
      <c r="B67" s="151" t="s">
        <v>364</v>
      </c>
      <c r="C67" s="147" t="s">
        <v>40</v>
      </c>
      <c r="D67" s="148" t="s">
        <v>397</v>
      </c>
      <c r="E67" s="149" t="s">
        <v>404</v>
      </c>
      <c r="F67" s="150" t="s">
        <v>405</v>
      </c>
    </row>
    <row r="68" spans="2:6" s="130" customFormat="1" ht="18" customHeight="1" x14ac:dyDescent="0.2">
      <c r="B68" s="151" t="s">
        <v>364</v>
      </c>
      <c r="C68" s="147" t="s">
        <v>82</v>
      </c>
      <c r="D68" s="148" t="s">
        <v>406</v>
      </c>
      <c r="E68" s="149" t="s">
        <v>407</v>
      </c>
      <c r="F68" s="150" t="s">
        <v>408</v>
      </c>
    </row>
    <row r="69" spans="2:6" s="130" customFormat="1" ht="18" customHeight="1" x14ac:dyDescent="0.2">
      <c r="B69" s="151" t="s">
        <v>364</v>
      </c>
      <c r="C69" s="147" t="s">
        <v>276</v>
      </c>
      <c r="D69" s="148" t="s">
        <v>409</v>
      </c>
      <c r="E69" s="149" t="s">
        <v>410</v>
      </c>
      <c r="F69" s="150" t="s">
        <v>411</v>
      </c>
    </row>
    <row r="70" spans="2:6" s="130" customFormat="1" ht="18" customHeight="1" x14ac:dyDescent="0.2">
      <c r="B70" s="151" t="s">
        <v>364</v>
      </c>
      <c r="C70" s="147" t="s">
        <v>276</v>
      </c>
      <c r="D70" s="148" t="s">
        <v>409</v>
      </c>
      <c r="E70" s="149" t="s">
        <v>412</v>
      </c>
      <c r="F70" s="150" t="s">
        <v>413</v>
      </c>
    </row>
    <row r="71" spans="2:6" s="130" customFormat="1" ht="18" customHeight="1" x14ac:dyDescent="0.2">
      <c r="B71" s="151" t="s">
        <v>414</v>
      </c>
      <c r="C71" s="147" t="s">
        <v>41</v>
      </c>
      <c r="D71" s="148" t="s">
        <v>415</v>
      </c>
      <c r="E71" s="149" t="s">
        <v>416</v>
      </c>
      <c r="F71" s="150" t="s">
        <v>417</v>
      </c>
    </row>
    <row r="72" spans="2:6" s="130" customFormat="1" ht="18" customHeight="1" x14ac:dyDescent="0.2">
      <c r="B72" s="151" t="s">
        <v>414</v>
      </c>
      <c r="C72" s="147" t="s">
        <v>41</v>
      </c>
      <c r="D72" s="148" t="s">
        <v>415</v>
      </c>
      <c r="E72" s="149" t="s">
        <v>418</v>
      </c>
      <c r="F72" s="150" t="s">
        <v>419</v>
      </c>
    </row>
    <row r="73" spans="2:6" s="130" customFormat="1" ht="18" customHeight="1" x14ac:dyDescent="0.2">
      <c r="B73" s="151" t="s">
        <v>414</v>
      </c>
      <c r="C73" s="147" t="s">
        <v>41</v>
      </c>
      <c r="D73" s="148" t="s">
        <v>415</v>
      </c>
      <c r="E73" s="149" t="s">
        <v>420</v>
      </c>
      <c r="F73" s="150" t="s">
        <v>421</v>
      </c>
    </row>
    <row r="74" spans="2:6" s="130" customFormat="1" ht="18" customHeight="1" x14ac:dyDescent="0.2">
      <c r="B74" s="151" t="s">
        <v>414</v>
      </c>
      <c r="C74" s="147" t="s">
        <v>41</v>
      </c>
      <c r="D74" s="148" t="s">
        <v>415</v>
      </c>
      <c r="E74" s="149" t="s">
        <v>422</v>
      </c>
      <c r="F74" s="150" t="s">
        <v>423</v>
      </c>
    </row>
    <row r="75" spans="2:6" s="130" customFormat="1" ht="18" customHeight="1" x14ac:dyDescent="0.2">
      <c r="B75" s="151" t="s">
        <v>414</v>
      </c>
      <c r="C75" s="147" t="s">
        <v>41</v>
      </c>
      <c r="D75" s="148" t="s">
        <v>415</v>
      </c>
      <c r="E75" s="149" t="s">
        <v>424</v>
      </c>
      <c r="F75" s="150" t="s">
        <v>425</v>
      </c>
    </row>
    <row r="76" spans="2:6" s="130" customFormat="1" ht="18" customHeight="1" x14ac:dyDescent="0.2">
      <c r="B76" s="151" t="s">
        <v>414</v>
      </c>
      <c r="C76" s="147" t="s">
        <v>41</v>
      </c>
      <c r="D76" s="148" t="s">
        <v>415</v>
      </c>
      <c r="E76" s="149" t="s">
        <v>426</v>
      </c>
      <c r="F76" s="150" t="s">
        <v>427</v>
      </c>
    </row>
    <row r="77" spans="2:6" s="130" customFormat="1" ht="18" customHeight="1" x14ac:dyDescent="0.2">
      <c r="B77" s="151" t="s">
        <v>414</v>
      </c>
      <c r="C77" s="147" t="s">
        <v>42</v>
      </c>
      <c r="D77" s="148" t="s">
        <v>428</v>
      </c>
      <c r="E77" s="149" t="s">
        <v>429</v>
      </c>
      <c r="F77" s="150" t="s">
        <v>430</v>
      </c>
    </row>
    <row r="78" spans="2:6" s="130" customFormat="1" ht="18" customHeight="1" x14ac:dyDescent="0.2">
      <c r="B78" s="151" t="s">
        <v>414</v>
      </c>
      <c r="C78" s="147" t="s">
        <v>42</v>
      </c>
      <c r="D78" s="148" t="s">
        <v>428</v>
      </c>
      <c r="E78" s="149" t="s">
        <v>431</v>
      </c>
      <c r="F78" s="150" t="s">
        <v>432</v>
      </c>
    </row>
    <row r="79" spans="2:6" s="130" customFormat="1" ht="18" customHeight="1" x14ac:dyDescent="0.2">
      <c r="B79" s="151" t="s">
        <v>414</v>
      </c>
      <c r="C79" s="147" t="s">
        <v>42</v>
      </c>
      <c r="D79" s="148" t="s">
        <v>428</v>
      </c>
      <c r="E79" s="149" t="s">
        <v>433</v>
      </c>
      <c r="F79" s="150" t="s">
        <v>434</v>
      </c>
    </row>
    <row r="80" spans="2:6" s="130" customFormat="1" ht="18" customHeight="1" x14ac:dyDescent="0.2">
      <c r="B80" s="151" t="s">
        <v>282</v>
      </c>
      <c r="C80" s="147" t="s">
        <v>43</v>
      </c>
      <c r="D80" s="148" t="s">
        <v>435</v>
      </c>
      <c r="E80" s="149" t="s">
        <v>436</v>
      </c>
      <c r="F80" s="150" t="s">
        <v>437</v>
      </c>
    </row>
    <row r="81" spans="2:6" s="130" customFormat="1" ht="18" customHeight="1" x14ac:dyDescent="0.2">
      <c r="B81" s="151" t="s">
        <v>282</v>
      </c>
      <c r="C81" s="147" t="s">
        <v>43</v>
      </c>
      <c r="D81" s="148" t="s">
        <v>435</v>
      </c>
      <c r="E81" s="149" t="s">
        <v>438</v>
      </c>
      <c r="F81" s="150" t="s">
        <v>439</v>
      </c>
    </row>
    <row r="82" spans="2:6" s="130" customFormat="1" ht="18" customHeight="1" x14ac:dyDescent="0.2">
      <c r="B82" s="151" t="s">
        <v>282</v>
      </c>
      <c r="C82" s="147" t="s">
        <v>44</v>
      </c>
      <c r="D82" s="148" t="s">
        <v>440</v>
      </c>
      <c r="E82" s="149" t="s">
        <v>441</v>
      </c>
      <c r="F82" s="150" t="s">
        <v>442</v>
      </c>
    </row>
    <row r="83" spans="2:6" s="130" customFormat="1" ht="18" customHeight="1" x14ac:dyDescent="0.2">
      <c r="B83" s="151" t="s">
        <v>282</v>
      </c>
      <c r="C83" s="147" t="s">
        <v>44</v>
      </c>
      <c r="D83" s="148" t="s">
        <v>440</v>
      </c>
      <c r="E83" s="149" t="s">
        <v>443</v>
      </c>
      <c r="F83" s="150" t="s">
        <v>444</v>
      </c>
    </row>
    <row r="84" spans="2:6" s="130" customFormat="1" ht="18" customHeight="1" x14ac:dyDescent="0.2">
      <c r="B84" s="151" t="s">
        <v>282</v>
      </c>
      <c r="C84" s="147" t="s">
        <v>44</v>
      </c>
      <c r="D84" s="148" t="s">
        <v>440</v>
      </c>
      <c r="E84" s="149" t="s">
        <v>445</v>
      </c>
      <c r="F84" s="150" t="s">
        <v>446</v>
      </c>
    </row>
    <row r="85" spans="2:6" s="130" customFormat="1" ht="18" customHeight="1" x14ac:dyDescent="0.2">
      <c r="B85" s="151" t="s">
        <v>282</v>
      </c>
      <c r="C85" s="147" t="s">
        <v>44</v>
      </c>
      <c r="D85" s="148" t="s">
        <v>440</v>
      </c>
      <c r="E85" s="149" t="s">
        <v>447</v>
      </c>
      <c r="F85" s="150" t="s">
        <v>448</v>
      </c>
    </row>
    <row r="86" spans="2:6" s="130" customFormat="1" ht="18" customHeight="1" x14ac:dyDescent="0.2">
      <c r="B86" s="151" t="s">
        <v>282</v>
      </c>
      <c r="C86" s="147" t="s">
        <v>44</v>
      </c>
      <c r="D86" s="148" t="s">
        <v>440</v>
      </c>
      <c r="E86" s="149" t="s">
        <v>449</v>
      </c>
      <c r="F86" s="150" t="s">
        <v>450</v>
      </c>
    </row>
    <row r="87" spans="2:6" s="130" customFormat="1" ht="18" customHeight="1" x14ac:dyDescent="0.2">
      <c r="B87" s="151" t="s">
        <v>282</v>
      </c>
      <c r="C87" s="147" t="s">
        <v>44</v>
      </c>
      <c r="D87" s="148" t="s">
        <v>440</v>
      </c>
      <c r="E87" s="149" t="s">
        <v>451</v>
      </c>
      <c r="F87" s="150" t="s">
        <v>452</v>
      </c>
    </row>
    <row r="88" spans="2:6" s="130" customFormat="1" ht="18" customHeight="1" x14ac:dyDescent="0.2">
      <c r="B88" s="151" t="s">
        <v>282</v>
      </c>
      <c r="C88" s="147" t="s">
        <v>44</v>
      </c>
      <c r="D88" s="148" t="s">
        <v>440</v>
      </c>
      <c r="E88" s="149" t="s">
        <v>453</v>
      </c>
      <c r="F88" s="150" t="s">
        <v>454</v>
      </c>
    </row>
    <row r="89" spans="2:6" s="130" customFormat="1" ht="18" customHeight="1" x14ac:dyDescent="0.2">
      <c r="B89" s="151" t="s">
        <v>282</v>
      </c>
      <c r="C89" s="147" t="s">
        <v>44</v>
      </c>
      <c r="D89" s="148" t="s">
        <v>440</v>
      </c>
      <c r="E89" s="149" t="s">
        <v>455</v>
      </c>
      <c r="F89" s="150" t="s">
        <v>456</v>
      </c>
    </row>
    <row r="90" spans="2:6" s="130" customFormat="1" ht="18" customHeight="1" x14ac:dyDescent="0.2">
      <c r="B90" s="151" t="s">
        <v>282</v>
      </c>
      <c r="C90" s="147" t="s">
        <v>83</v>
      </c>
      <c r="D90" s="148" t="s">
        <v>457</v>
      </c>
      <c r="E90" s="149" t="s">
        <v>458</v>
      </c>
      <c r="F90" s="150" t="s">
        <v>459</v>
      </c>
    </row>
    <row r="91" spans="2:6" s="130" customFormat="1" ht="18" customHeight="1" x14ac:dyDescent="0.2">
      <c r="B91" s="151" t="s">
        <v>282</v>
      </c>
      <c r="C91" s="147" t="s">
        <v>83</v>
      </c>
      <c r="D91" s="148" t="s">
        <v>457</v>
      </c>
      <c r="E91" s="149" t="s">
        <v>460</v>
      </c>
      <c r="F91" s="150" t="s">
        <v>461</v>
      </c>
    </row>
    <row r="92" spans="2:6" s="130" customFormat="1" ht="18" customHeight="1" x14ac:dyDescent="0.2">
      <c r="B92" s="151" t="s">
        <v>282</v>
      </c>
      <c r="C92" s="147" t="s">
        <v>83</v>
      </c>
      <c r="D92" s="148" t="s">
        <v>457</v>
      </c>
      <c r="E92" s="149" t="s">
        <v>462</v>
      </c>
      <c r="F92" s="150" t="s">
        <v>463</v>
      </c>
    </row>
    <row r="93" spans="2:6" s="130" customFormat="1" ht="18" customHeight="1" x14ac:dyDescent="0.2">
      <c r="B93" s="151" t="s">
        <v>282</v>
      </c>
      <c r="C93" s="147" t="s">
        <v>83</v>
      </c>
      <c r="D93" s="148" t="s">
        <v>457</v>
      </c>
      <c r="E93" s="149" t="s">
        <v>464</v>
      </c>
      <c r="F93" s="150" t="s">
        <v>465</v>
      </c>
    </row>
    <row r="94" spans="2:6" s="130" customFormat="1" ht="18" customHeight="1" x14ac:dyDescent="0.2">
      <c r="B94" s="151" t="s">
        <v>282</v>
      </c>
      <c r="C94" s="147" t="s">
        <v>83</v>
      </c>
      <c r="D94" s="148" t="s">
        <v>457</v>
      </c>
      <c r="E94" s="149" t="s">
        <v>466</v>
      </c>
      <c r="F94" s="150" t="s">
        <v>467</v>
      </c>
    </row>
    <row r="95" spans="2:6" s="130" customFormat="1" ht="18" customHeight="1" x14ac:dyDescent="0.2">
      <c r="B95" s="151" t="s">
        <v>282</v>
      </c>
      <c r="C95" s="147" t="s">
        <v>83</v>
      </c>
      <c r="D95" s="148" t="s">
        <v>457</v>
      </c>
      <c r="E95" s="149" t="s">
        <v>468</v>
      </c>
      <c r="F95" s="150" t="s">
        <v>469</v>
      </c>
    </row>
    <row r="96" spans="2:6" s="130" customFormat="1" ht="18" customHeight="1" x14ac:dyDescent="0.2">
      <c r="B96" s="151" t="s">
        <v>282</v>
      </c>
      <c r="C96" s="147" t="s">
        <v>83</v>
      </c>
      <c r="D96" s="148" t="s">
        <v>457</v>
      </c>
      <c r="E96" s="149" t="s">
        <v>470</v>
      </c>
      <c r="F96" s="150" t="s">
        <v>471</v>
      </c>
    </row>
    <row r="97" spans="2:6" s="130" customFormat="1" ht="18" customHeight="1" x14ac:dyDescent="0.2">
      <c r="B97" s="151" t="s">
        <v>282</v>
      </c>
      <c r="C97" s="147" t="s">
        <v>83</v>
      </c>
      <c r="D97" s="148" t="s">
        <v>457</v>
      </c>
      <c r="E97" s="149" t="s">
        <v>472</v>
      </c>
      <c r="F97" s="150" t="s">
        <v>473</v>
      </c>
    </row>
    <row r="98" spans="2:6" s="130" customFormat="1" ht="18" customHeight="1" x14ac:dyDescent="0.2">
      <c r="B98" s="151" t="s">
        <v>474</v>
      </c>
      <c r="C98" s="147" t="s">
        <v>277</v>
      </c>
      <c r="D98" s="148" t="s">
        <v>475</v>
      </c>
      <c r="E98" s="149" t="s">
        <v>476</v>
      </c>
      <c r="F98" s="150" t="s">
        <v>477</v>
      </c>
    </row>
    <row r="99" spans="2:6" s="130" customFormat="1" ht="18" customHeight="1" x14ac:dyDescent="0.2">
      <c r="B99" s="151" t="s">
        <v>474</v>
      </c>
      <c r="C99" s="147" t="s">
        <v>277</v>
      </c>
      <c r="D99" s="148" t="s">
        <v>475</v>
      </c>
      <c r="E99" s="149" t="s">
        <v>478</v>
      </c>
      <c r="F99" s="150" t="s">
        <v>479</v>
      </c>
    </row>
    <row r="100" spans="2:6" s="130" customFormat="1" ht="18" customHeight="1" x14ac:dyDescent="0.2">
      <c r="B100" s="151" t="s">
        <v>474</v>
      </c>
      <c r="C100" s="147" t="s">
        <v>277</v>
      </c>
      <c r="D100" s="148" t="s">
        <v>475</v>
      </c>
      <c r="E100" s="149" t="s">
        <v>480</v>
      </c>
      <c r="F100" s="150" t="s">
        <v>481</v>
      </c>
    </row>
    <row r="101" spans="2:6" s="130" customFormat="1" ht="18" customHeight="1" x14ac:dyDescent="0.2">
      <c r="B101" s="151" t="s">
        <v>474</v>
      </c>
      <c r="C101" s="147" t="s">
        <v>277</v>
      </c>
      <c r="D101" s="148" t="s">
        <v>475</v>
      </c>
      <c r="E101" s="149" t="s">
        <v>482</v>
      </c>
      <c r="F101" s="150" t="s">
        <v>483</v>
      </c>
    </row>
    <row r="102" spans="2:6" s="130" customFormat="1" ht="18" customHeight="1" x14ac:dyDescent="0.2">
      <c r="B102" s="151" t="s">
        <v>474</v>
      </c>
      <c r="C102" s="147" t="s">
        <v>484</v>
      </c>
      <c r="D102" s="148" t="s">
        <v>485</v>
      </c>
      <c r="E102" s="149" t="s">
        <v>486</v>
      </c>
      <c r="F102" s="150" t="s">
        <v>487</v>
      </c>
    </row>
    <row r="103" spans="2:6" s="130" customFormat="1" ht="18" customHeight="1" x14ac:dyDescent="0.2">
      <c r="B103" s="151" t="s">
        <v>474</v>
      </c>
      <c r="C103" s="147" t="s">
        <v>484</v>
      </c>
      <c r="D103" s="148" t="s">
        <v>485</v>
      </c>
      <c r="E103" s="149" t="s">
        <v>488</v>
      </c>
      <c r="F103" s="150" t="s">
        <v>489</v>
      </c>
    </row>
    <row r="104" spans="2:6" s="130" customFormat="1" ht="18" customHeight="1" x14ac:dyDescent="0.2">
      <c r="B104" s="151" t="s">
        <v>474</v>
      </c>
      <c r="C104" s="147" t="s">
        <v>484</v>
      </c>
      <c r="D104" s="148" t="s">
        <v>485</v>
      </c>
      <c r="E104" s="149" t="s">
        <v>490</v>
      </c>
      <c r="F104" s="150" t="s">
        <v>491</v>
      </c>
    </row>
    <row r="105" spans="2:6" s="130" customFormat="1" ht="18" customHeight="1" x14ac:dyDescent="0.2">
      <c r="B105" s="151" t="s">
        <v>474</v>
      </c>
      <c r="C105" s="147" t="s">
        <v>484</v>
      </c>
      <c r="D105" s="148" t="s">
        <v>485</v>
      </c>
      <c r="E105" s="149" t="s">
        <v>492</v>
      </c>
      <c r="F105" s="150" t="s">
        <v>493</v>
      </c>
    </row>
    <row r="106" spans="2:6" s="130" customFormat="1" ht="18" customHeight="1" x14ac:dyDescent="0.2">
      <c r="B106" s="151" t="s">
        <v>474</v>
      </c>
      <c r="C106" s="147" t="s">
        <v>494</v>
      </c>
      <c r="D106" s="148" t="s">
        <v>495</v>
      </c>
      <c r="E106" s="149" t="s">
        <v>496</v>
      </c>
      <c r="F106" s="150" t="s">
        <v>497</v>
      </c>
    </row>
    <row r="107" spans="2:6" s="130" customFormat="1" ht="18" customHeight="1" x14ac:dyDescent="0.2">
      <c r="B107" s="151" t="s">
        <v>474</v>
      </c>
      <c r="C107" s="147" t="s">
        <v>494</v>
      </c>
      <c r="D107" s="148" t="s">
        <v>495</v>
      </c>
      <c r="E107" s="149" t="s">
        <v>498</v>
      </c>
      <c r="F107" s="150" t="s">
        <v>499</v>
      </c>
    </row>
    <row r="108" spans="2:6" s="130" customFormat="1" ht="18" customHeight="1" x14ac:dyDescent="0.2">
      <c r="B108" s="151" t="s">
        <v>474</v>
      </c>
      <c r="C108" s="147" t="s">
        <v>494</v>
      </c>
      <c r="D108" s="148" t="s">
        <v>495</v>
      </c>
      <c r="E108" s="149" t="s">
        <v>500</v>
      </c>
      <c r="F108" s="150" t="s">
        <v>501</v>
      </c>
    </row>
    <row r="109" spans="2:6" s="130" customFormat="1" ht="18" customHeight="1" x14ac:dyDescent="0.2">
      <c r="B109" s="151" t="s">
        <v>474</v>
      </c>
      <c r="C109" s="147" t="s">
        <v>494</v>
      </c>
      <c r="D109" s="148" t="s">
        <v>495</v>
      </c>
      <c r="E109" s="149" t="s">
        <v>502</v>
      </c>
      <c r="F109" s="150" t="s">
        <v>503</v>
      </c>
    </row>
    <row r="110" spans="2:6" s="130" customFormat="1" ht="18" customHeight="1" x14ac:dyDescent="0.2">
      <c r="B110" s="151" t="s">
        <v>474</v>
      </c>
      <c r="C110" s="147" t="s">
        <v>494</v>
      </c>
      <c r="D110" s="148" t="s">
        <v>495</v>
      </c>
      <c r="E110" s="149" t="s">
        <v>504</v>
      </c>
      <c r="F110" s="150" t="s">
        <v>505</v>
      </c>
    </row>
    <row r="111" spans="2:6" s="130" customFormat="1" ht="18" customHeight="1" x14ac:dyDescent="0.2">
      <c r="B111" s="151" t="s">
        <v>474</v>
      </c>
      <c r="C111" s="147" t="s">
        <v>506</v>
      </c>
      <c r="D111" s="148" t="s">
        <v>507</v>
      </c>
      <c r="E111" s="149" t="s">
        <v>508</v>
      </c>
      <c r="F111" s="150" t="s">
        <v>509</v>
      </c>
    </row>
    <row r="112" spans="2:6" s="130" customFormat="1" ht="18" customHeight="1" x14ac:dyDescent="0.2">
      <c r="B112" s="151" t="s">
        <v>474</v>
      </c>
      <c r="C112" s="147" t="s">
        <v>506</v>
      </c>
      <c r="D112" s="148" t="s">
        <v>507</v>
      </c>
      <c r="E112" s="149" t="s">
        <v>510</v>
      </c>
      <c r="F112" s="150" t="s">
        <v>511</v>
      </c>
    </row>
    <row r="113" spans="2:7" s="130" customFormat="1" ht="18" customHeight="1" x14ac:dyDescent="0.2">
      <c r="B113" s="151" t="s">
        <v>474</v>
      </c>
      <c r="C113" s="147" t="s">
        <v>506</v>
      </c>
      <c r="D113" s="148" t="s">
        <v>507</v>
      </c>
      <c r="E113" s="149" t="s">
        <v>512</v>
      </c>
      <c r="F113" s="150" t="s">
        <v>513</v>
      </c>
    </row>
    <row r="114" spans="2:7" s="130" customFormat="1" ht="18" customHeight="1" x14ac:dyDescent="0.2">
      <c r="B114" s="151" t="s">
        <v>474</v>
      </c>
      <c r="C114" s="147" t="s">
        <v>506</v>
      </c>
      <c r="D114" s="148" t="s">
        <v>507</v>
      </c>
      <c r="E114" s="149" t="s">
        <v>514</v>
      </c>
      <c r="F114" s="150" t="s">
        <v>515</v>
      </c>
    </row>
    <row r="115" spans="2:7" s="130" customFormat="1" ht="18" customHeight="1" x14ac:dyDescent="0.2">
      <c r="B115" s="151" t="s">
        <v>474</v>
      </c>
      <c r="C115" s="147" t="s">
        <v>506</v>
      </c>
      <c r="D115" s="148" t="s">
        <v>507</v>
      </c>
      <c r="E115" s="149" t="s">
        <v>516</v>
      </c>
      <c r="F115" s="150" t="s">
        <v>517</v>
      </c>
    </row>
    <row r="116" spans="2:7" s="130" customFormat="1" ht="18" customHeight="1" x14ac:dyDescent="0.2">
      <c r="B116" s="151" t="s">
        <v>474</v>
      </c>
      <c r="C116" s="147" t="s">
        <v>518</v>
      </c>
      <c r="D116" s="148" t="s">
        <v>519</v>
      </c>
      <c r="E116" s="149" t="s">
        <v>520</v>
      </c>
      <c r="F116" s="150" t="s">
        <v>521</v>
      </c>
    </row>
    <row r="117" spans="2:7" s="130" customFormat="1" ht="18" customHeight="1" x14ac:dyDescent="0.2">
      <c r="B117" s="151" t="s">
        <v>522</v>
      </c>
      <c r="C117" s="147" t="s">
        <v>45</v>
      </c>
      <c r="D117" s="148" t="s">
        <v>523</v>
      </c>
      <c r="E117" s="149" t="s">
        <v>524</v>
      </c>
      <c r="F117" s="150" t="s">
        <v>525</v>
      </c>
    </row>
    <row r="118" spans="2:7" s="130" customFormat="1" ht="18" customHeight="1" x14ac:dyDescent="0.2">
      <c r="B118" s="151" t="s">
        <v>522</v>
      </c>
      <c r="C118" s="147" t="s">
        <v>45</v>
      </c>
      <c r="D118" s="148" t="s">
        <v>523</v>
      </c>
      <c r="E118" s="149" t="s">
        <v>549</v>
      </c>
      <c r="F118" s="150" t="s">
        <v>550</v>
      </c>
      <c r="G118" s="267" t="s">
        <v>552</v>
      </c>
    </row>
    <row r="119" spans="2:7" s="130" customFormat="1" ht="18" customHeight="1" x14ac:dyDescent="0.2">
      <c r="B119" s="151" t="s">
        <v>526</v>
      </c>
      <c r="C119" s="147" t="s">
        <v>278</v>
      </c>
      <c r="D119" s="148" t="s">
        <v>527</v>
      </c>
      <c r="E119" s="149" t="s">
        <v>528</v>
      </c>
      <c r="F119" s="150" t="s">
        <v>529</v>
      </c>
    </row>
    <row r="120" spans="2:7" s="130" customFormat="1" ht="18" customHeight="1" x14ac:dyDescent="0.2">
      <c r="B120" s="151" t="s">
        <v>530</v>
      </c>
      <c r="C120" s="147" t="s">
        <v>279</v>
      </c>
      <c r="D120" s="148" t="s">
        <v>531</v>
      </c>
      <c r="E120" s="149" t="s">
        <v>532</v>
      </c>
      <c r="F120" s="150" t="s">
        <v>533</v>
      </c>
    </row>
    <row r="121" spans="2:7" s="130" customFormat="1" ht="18" customHeight="1" x14ac:dyDescent="0.2">
      <c r="B121" s="151" t="s">
        <v>530</v>
      </c>
      <c r="C121" s="147" t="s">
        <v>279</v>
      </c>
      <c r="D121" s="148" t="s">
        <v>531</v>
      </c>
      <c r="E121" s="149" t="s">
        <v>534</v>
      </c>
      <c r="F121" s="150" t="s">
        <v>535</v>
      </c>
    </row>
    <row r="122" spans="2:7" s="130" customFormat="1" ht="18" customHeight="1" x14ac:dyDescent="0.2">
      <c r="B122" s="151" t="s">
        <v>530</v>
      </c>
      <c r="C122" s="147" t="s">
        <v>279</v>
      </c>
      <c r="D122" s="148" t="s">
        <v>531</v>
      </c>
      <c r="E122" s="149" t="s">
        <v>536</v>
      </c>
      <c r="F122" s="150" t="s">
        <v>537</v>
      </c>
    </row>
    <row r="123" spans="2:7" s="130" customFormat="1" ht="18" customHeight="1" x14ac:dyDescent="0.2">
      <c r="B123" s="151" t="s">
        <v>530</v>
      </c>
      <c r="C123" s="147" t="s">
        <v>279</v>
      </c>
      <c r="D123" s="148" t="s">
        <v>531</v>
      </c>
      <c r="E123" s="149" t="s">
        <v>538</v>
      </c>
      <c r="F123" s="150" t="s">
        <v>539</v>
      </c>
    </row>
    <row r="124" spans="2:7" s="130" customFormat="1" ht="30" x14ac:dyDescent="0.2">
      <c r="B124" s="151" t="s">
        <v>530</v>
      </c>
      <c r="C124" s="147" t="s">
        <v>280</v>
      </c>
      <c r="D124" s="148" t="s">
        <v>540</v>
      </c>
      <c r="E124" s="149" t="s">
        <v>541</v>
      </c>
      <c r="F124" s="150" t="s">
        <v>542</v>
      </c>
    </row>
    <row r="125" spans="2:7" ht="15" x14ac:dyDescent="0.2">
      <c r="G125" s="130"/>
    </row>
  </sheetData>
  <autoFilter ref="B8:H8"/>
  <mergeCells count="2">
    <mergeCell ref="C7:D7"/>
    <mergeCell ref="E7:F7"/>
  </mergeCells>
  <phoneticPr fontId="3"/>
  <conditionalFormatting sqref="C36:D36">
    <cfRule type="cellIs" dxfId="10" priority="3" operator="equal">
      <formula>C35</formula>
    </cfRule>
  </conditionalFormatting>
  <conditionalFormatting sqref="E36:F36">
    <cfRule type="cellIs" dxfId="9" priority="6" operator="equal">
      <formula>E35</formula>
    </cfRule>
  </conditionalFormatting>
  <conditionalFormatting sqref="E33:F35">
    <cfRule type="cellIs" dxfId="8" priority="5" operator="equal">
      <formula>E32</formula>
    </cfRule>
  </conditionalFormatting>
  <conditionalFormatting sqref="C35:D35">
    <cfRule type="cellIs" dxfId="7" priority="4" operator="equal">
      <formula>C34</formula>
    </cfRule>
  </conditionalFormatting>
  <conditionalFormatting sqref="B119:F119">
    <cfRule type="cellIs" dxfId="6" priority="1" operator="equal">
      <formula>B118</formula>
    </cfRule>
  </conditionalFormatting>
  <conditionalFormatting sqref="B10:F32 B33:D34 B121:F124 B35:B118 C38:F118">
    <cfRule type="cellIs" dxfId="5" priority="7" operator="equal">
      <formula>B9</formula>
    </cfRule>
  </conditionalFormatting>
  <conditionalFormatting sqref="B37 E37:F37">
    <cfRule type="cellIs" dxfId="4" priority="8" operator="equal">
      <formula>B33</formula>
    </cfRule>
  </conditionalFormatting>
  <conditionalFormatting sqref="B36">
    <cfRule type="cellIs" dxfId="3" priority="9" operator="equal">
      <formula>B33</formula>
    </cfRule>
  </conditionalFormatting>
  <conditionalFormatting sqref="B35 B120:F120">
    <cfRule type="cellIs" dxfId="2" priority="10" operator="equal">
      <formula>B33</formula>
    </cfRule>
  </conditionalFormatting>
  <conditionalFormatting sqref="C37:D37">
    <cfRule type="cellIs" dxfId="1" priority="2" operator="equal">
      <formula>C36</formula>
    </cfRule>
  </conditionalFormatting>
  <dataValidations count="1">
    <dataValidation type="textLength" operator="lessThanOrEqual" allowBlank="1" showInputMessage="1" showErrorMessage="1" sqref="B9:C124 E9:E124">
      <formula1>40</formula1>
    </dataValidation>
  </dataValidations>
  <pageMargins left="0.70866141732283472" right="0.70866141732283472" top="0.74803149606299213" bottom="0.74803149606299213" header="0.31496062992125984" footer="0.31496062992125984"/>
  <pageSetup paperSize="9" scale="65" fitToHeight="0" orientation="landscape" verticalDpi="0" r:id="rId1"/>
  <headerFooter>
    <oddFooter>&amp;L&amp;"Arial,標準"FUJITSU CONFIDENTIAL&amp;R&amp;"Arial,標準"All Rights Reserved, Copyright (C) FUJITSU LIMITED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Sheet1.CancelButton_Click">
                <anchor moveWithCells="1" sizeWithCells="1">
                  <from>
                    <xdr:col>1</xdr:col>
                    <xdr:colOff>28575</xdr:colOff>
                    <xdr:row>1</xdr:row>
                    <xdr:rowOff>95250</xdr:rowOff>
                  </from>
                  <to>
                    <xdr:col>1</xdr:col>
                    <xdr:colOff>1533525</xdr:colOff>
                    <xdr:row>3</xdr:row>
                    <xdr:rowOff>161925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O55"/>
  <sheetViews>
    <sheetView showGridLines="0" topLeftCell="A25" zoomScale="85" zoomScaleNormal="85" zoomScaleSheetLayoutView="85" zoomScalePageLayoutView="85" workbookViewId="0"/>
  </sheetViews>
  <sheetFormatPr defaultColWidth="8" defaultRowHeight="14.25" x14ac:dyDescent="0.15"/>
  <cols>
    <col min="1" max="3" width="7.625" style="85" customWidth="1"/>
    <col min="4" max="6" width="38.625" style="85" customWidth="1"/>
    <col min="7" max="8" width="2.625" style="85" customWidth="1"/>
    <col min="9" max="16384" width="8" style="85"/>
  </cols>
  <sheetData>
    <row r="1" spans="4:15" ht="15" x14ac:dyDescent="0.15">
      <c r="D1" s="114"/>
    </row>
    <row r="2" spans="4:15" ht="15" x14ac:dyDescent="0.15">
      <c r="D2" s="229" t="s">
        <v>166</v>
      </c>
      <c r="E2" s="229" t="s">
        <v>261</v>
      </c>
      <c r="F2" s="229" t="s">
        <v>242</v>
      </c>
      <c r="H2" s="114" t="s">
        <v>203</v>
      </c>
      <c r="K2" s="115"/>
    </row>
    <row r="3" spans="4:15" x14ac:dyDescent="0.15">
      <c r="D3" s="265" t="s">
        <v>631</v>
      </c>
      <c r="E3" s="265" t="s">
        <v>632</v>
      </c>
      <c r="F3" s="265" t="s">
        <v>666</v>
      </c>
      <c r="H3" s="85" t="s">
        <v>196</v>
      </c>
      <c r="I3" s="249"/>
      <c r="J3" s="116"/>
      <c r="K3" s="117"/>
      <c r="L3" s="118"/>
      <c r="M3" s="118"/>
      <c r="N3" s="119"/>
      <c r="O3" s="119"/>
    </row>
    <row r="4" spans="4:15" ht="15" customHeight="1" x14ac:dyDescent="0.2">
      <c r="D4" s="265" t="s">
        <v>631</v>
      </c>
      <c r="E4" s="266" t="s">
        <v>639</v>
      </c>
      <c r="F4" s="266" t="s">
        <v>673</v>
      </c>
      <c r="H4" s="120" t="s">
        <v>197</v>
      </c>
      <c r="J4" s="116"/>
      <c r="K4" s="117"/>
      <c r="L4" s="118"/>
      <c r="M4" s="118"/>
      <c r="N4" s="119"/>
      <c r="O4" s="119"/>
    </row>
    <row r="5" spans="4:15" x14ac:dyDescent="0.2">
      <c r="D5" s="265" t="s">
        <v>631</v>
      </c>
      <c r="E5" s="266" t="s">
        <v>634</v>
      </c>
      <c r="F5" s="266" t="s">
        <v>668</v>
      </c>
      <c r="H5" s="115" t="s">
        <v>201</v>
      </c>
      <c r="K5" s="115"/>
    </row>
    <row r="6" spans="4:15" ht="15" x14ac:dyDescent="0.2">
      <c r="D6" s="265" t="s">
        <v>631</v>
      </c>
      <c r="E6" s="266" t="s">
        <v>640</v>
      </c>
      <c r="F6" s="266" t="s">
        <v>674</v>
      </c>
      <c r="H6" s="120"/>
      <c r="I6" s="116"/>
      <c r="J6" s="116"/>
      <c r="K6" s="116"/>
      <c r="L6" s="116"/>
      <c r="M6" s="118"/>
      <c r="N6" s="118"/>
    </row>
    <row r="7" spans="4:15" ht="15" x14ac:dyDescent="0.2">
      <c r="D7" s="265" t="s">
        <v>631</v>
      </c>
      <c r="E7" s="266" t="s">
        <v>640</v>
      </c>
      <c r="F7" s="266" t="s">
        <v>675</v>
      </c>
      <c r="H7" s="114" t="s">
        <v>204</v>
      </c>
      <c r="I7" s="115"/>
      <c r="J7" s="115"/>
      <c r="K7" s="115"/>
    </row>
    <row r="8" spans="4:15" ht="15" x14ac:dyDescent="0.2">
      <c r="D8" s="265" t="s">
        <v>631</v>
      </c>
      <c r="E8" s="266" t="s">
        <v>636</v>
      </c>
      <c r="F8" s="266" t="s">
        <v>670</v>
      </c>
      <c r="H8" s="114"/>
      <c r="I8" s="115"/>
      <c r="J8" s="115"/>
      <c r="K8" s="115"/>
    </row>
    <row r="9" spans="4:15" ht="15" x14ac:dyDescent="0.2">
      <c r="D9" s="265" t="s">
        <v>631</v>
      </c>
      <c r="E9" s="266" t="s">
        <v>642</v>
      </c>
      <c r="F9" s="266" t="s">
        <v>677</v>
      </c>
      <c r="H9" s="114"/>
      <c r="I9" s="115"/>
      <c r="J9" s="115"/>
      <c r="K9" s="115"/>
    </row>
    <row r="10" spans="4:15" ht="15" x14ac:dyDescent="0.2">
      <c r="D10" s="265" t="s">
        <v>631</v>
      </c>
      <c r="E10" s="266" t="s">
        <v>638</v>
      </c>
      <c r="F10" s="266" t="s">
        <v>672</v>
      </c>
      <c r="H10" s="114"/>
      <c r="I10" s="115"/>
      <c r="J10" s="115"/>
      <c r="K10" s="115"/>
    </row>
    <row r="11" spans="4:15" ht="15" customHeight="1" x14ac:dyDescent="0.15">
      <c r="D11" s="265" t="s">
        <v>631</v>
      </c>
      <c r="E11" s="265" t="s">
        <v>633</v>
      </c>
      <c r="F11" s="265" t="s">
        <v>667</v>
      </c>
      <c r="H11" s="114"/>
      <c r="I11" s="115"/>
      <c r="J11" s="115"/>
      <c r="K11" s="115"/>
    </row>
    <row r="12" spans="4:15" ht="15" x14ac:dyDescent="0.2">
      <c r="D12" s="265" t="s">
        <v>631</v>
      </c>
      <c r="E12" s="266" t="s">
        <v>635</v>
      </c>
      <c r="F12" s="266" t="s">
        <v>669</v>
      </c>
      <c r="H12" s="114"/>
      <c r="I12" s="115"/>
      <c r="J12" s="115"/>
      <c r="K12" s="115"/>
    </row>
    <row r="13" spans="4:15" ht="15" x14ac:dyDescent="0.2">
      <c r="D13" s="265" t="s">
        <v>631</v>
      </c>
      <c r="E13" s="266" t="s">
        <v>641</v>
      </c>
      <c r="F13" s="266" t="s">
        <v>676</v>
      </c>
      <c r="H13" s="114"/>
      <c r="I13" s="115"/>
      <c r="J13" s="115"/>
      <c r="K13" s="115"/>
    </row>
    <row r="14" spans="4:15" ht="15" x14ac:dyDescent="0.2">
      <c r="D14" s="265" t="s">
        <v>631</v>
      </c>
      <c r="E14" s="266" t="s">
        <v>637</v>
      </c>
      <c r="F14" s="266" t="s">
        <v>671</v>
      </c>
      <c r="H14" s="114"/>
      <c r="I14" s="115"/>
      <c r="J14" s="115"/>
      <c r="K14" s="115"/>
    </row>
    <row r="15" spans="4:15" ht="15" x14ac:dyDescent="0.2">
      <c r="D15" s="265" t="s">
        <v>631</v>
      </c>
      <c r="E15" s="266" t="s">
        <v>643</v>
      </c>
      <c r="F15" s="266" t="s">
        <v>678</v>
      </c>
      <c r="H15" s="114"/>
      <c r="I15" s="115"/>
      <c r="J15" s="115"/>
      <c r="K15" s="115"/>
    </row>
    <row r="16" spans="4:15" ht="15" x14ac:dyDescent="0.2">
      <c r="D16" s="265" t="s">
        <v>631</v>
      </c>
      <c r="E16" s="266" t="s">
        <v>646</v>
      </c>
      <c r="F16" s="266" t="s">
        <v>681</v>
      </c>
      <c r="H16" s="114"/>
      <c r="I16" s="115"/>
      <c r="J16" s="115"/>
      <c r="K16" s="115"/>
    </row>
    <row r="17" spans="4:11" ht="15" x14ac:dyDescent="0.2">
      <c r="D17" s="265" t="s">
        <v>631</v>
      </c>
      <c r="E17" s="266" t="s">
        <v>644</v>
      </c>
      <c r="F17" s="266" t="s">
        <v>679</v>
      </c>
      <c r="H17" s="114"/>
      <c r="I17" s="115"/>
      <c r="J17" s="115"/>
      <c r="K17" s="115"/>
    </row>
    <row r="18" spans="4:11" ht="15" x14ac:dyDescent="0.2">
      <c r="D18" s="265" t="s">
        <v>631</v>
      </c>
      <c r="E18" s="266" t="s">
        <v>645</v>
      </c>
      <c r="F18" s="266" t="s">
        <v>680</v>
      </c>
      <c r="H18" s="114"/>
      <c r="I18" s="115"/>
      <c r="J18" s="115"/>
      <c r="K18" s="115"/>
    </row>
    <row r="19" spans="4:11" ht="15" x14ac:dyDescent="0.2">
      <c r="D19" s="265" t="s">
        <v>631</v>
      </c>
      <c r="E19" s="266" t="s">
        <v>649</v>
      </c>
      <c r="F19" s="266" t="s">
        <v>684</v>
      </c>
      <c r="H19" s="114"/>
      <c r="I19" s="115"/>
      <c r="J19" s="115"/>
      <c r="K19" s="115"/>
    </row>
    <row r="20" spans="4:11" ht="15" x14ac:dyDescent="0.2">
      <c r="D20" s="265" t="s">
        <v>631</v>
      </c>
      <c r="E20" s="266" t="s">
        <v>647</v>
      </c>
      <c r="F20" s="266" t="s">
        <v>682</v>
      </c>
      <c r="H20" s="114"/>
      <c r="I20" s="115"/>
      <c r="J20" s="115"/>
      <c r="K20" s="115"/>
    </row>
    <row r="21" spans="4:11" ht="15" x14ac:dyDescent="0.2">
      <c r="D21" s="265" t="s">
        <v>631</v>
      </c>
      <c r="E21" s="266" t="s">
        <v>648</v>
      </c>
      <c r="F21" s="266" t="s">
        <v>683</v>
      </c>
      <c r="H21" s="114"/>
      <c r="I21" s="115"/>
      <c r="J21" s="115"/>
      <c r="K21" s="115"/>
    </row>
    <row r="22" spans="4:11" ht="15" x14ac:dyDescent="0.2">
      <c r="D22" s="265" t="s">
        <v>631</v>
      </c>
      <c r="E22" s="266" t="s">
        <v>650</v>
      </c>
      <c r="F22" s="266" t="s">
        <v>685</v>
      </c>
      <c r="H22" s="114"/>
      <c r="I22" s="115"/>
      <c r="J22" s="115"/>
      <c r="K22" s="115"/>
    </row>
    <row r="23" spans="4:11" ht="15" x14ac:dyDescent="0.2">
      <c r="D23" s="265" t="s">
        <v>631</v>
      </c>
      <c r="E23" s="266" t="s">
        <v>651</v>
      </c>
      <c r="F23" s="266" t="s">
        <v>686</v>
      </c>
      <c r="H23" s="114"/>
      <c r="I23" s="115"/>
      <c r="J23" s="115"/>
      <c r="K23" s="115"/>
    </row>
    <row r="24" spans="4:11" ht="15" x14ac:dyDescent="0.2">
      <c r="D24" s="265" t="s">
        <v>631</v>
      </c>
      <c r="E24" s="266" t="s">
        <v>652</v>
      </c>
      <c r="F24" s="266" t="s">
        <v>687</v>
      </c>
      <c r="H24" s="114"/>
      <c r="I24" s="115"/>
      <c r="J24" s="115"/>
      <c r="K24" s="115"/>
    </row>
    <row r="25" spans="4:11" ht="15" x14ac:dyDescent="0.2">
      <c r="D25" s="265" t="s">
        <v>631</v>
      </c>
      <c r="E25" s="266" t="s">
        <v>653</v>
      </c>
      <c r="F25" s="266" t="s">
        <v>687</v>
      </c>
      <c r="H25" s="114"/>
      <c r="I25" s="115"/>
      <c r="J25" s="115"/>
      <c r="K25" s="115"/>
    </row>
    <row r="26" spans="4:11" ht="15" x14ac:dyDescent="0.2">
      <c r="D26" s="265" t="s">
        <v>631</v>
      </c>
      <c r="E26" s="266" t="s">
        <v>654</v>
      </c>
      <c r="F26" s="266" t="s">
        <v>688</v>
      </c>
      <c r="H26" s="114"/>
      <c r="I26" s="115"/>
      <c r="J26" s="115"/>
      <c r="K26" s="115"/>
    </row>
    <row r="27" spans="4:11" ht="15" x14ac:dyDescent="0.2">
      <c r="D27" s="265" t="s">
        <v>631</v>
      </c>
      <c r="E27" s="266" t="s">
        <v>655</v>
      </c>
      <c r="F27" s="266" t="s">
        <v>689</v>
      </c>
      <c r="H27" s="114"/>
      <c r="I27" s="115"/>
      <c r="J27" s="115"/>
      <c r="K27" s="115"/>
    </row>
    <row r="28" spans="4:11" ht="15" x14ac:dyDescent="0.2">
      <c r="D28" s="265" t="s">
        <v>631</v>
      </c>
      <c r="E28" s="266" t="s">
        <v>656</v>
      </c>
      <c r="F28" s="266" t="s">
        <v>690</v>
      </c>
      <c r="H28" s="114"/>
      <c r="I28" s="115"/>
      <c r="J28" s="115"/>
      <c r="K28" s="115"/>
    </row>
    <row r="29" spans="4:11" ht="15" x14ac:dyDescent="0.2">
      <c r="D29" s="265" t="s">
        <v>631</v>
      </c>
      <c r="E29" s="266" t="s">
        <v>657</v>
      </c>
      <c r="F29" s="266" t="s">
        <v>691</v>
      </c>
      <c r="H29" s="114"/>
      <c r="I29" s="115"/>
      <c r="J29" s="115"/>
      <c r="K29" s="115"/>
    </row>
    <row r="30" spans="4:11" ht="15" x14ac:dyDescent="0.2">
      <c r="D30" s="265" t="s">
        <v>631</v>
      </c>
      <c r="E30" s="266" t="s">
        <v>658</v>
      </c>
      <c r="F30" s="266" t="s">
        <v>692</v>
      </c>
      <c r="H30" s="114"/>
      <c r="I30" s="115"/>
      <c r="J30" s="115"/>
      <c r="K30" s="115"/>
    </row>
    <row r="31" spans="4:11" ht="15" x14ac:dyDescent="0.2">
      <c r="D31" s="265" t="s">
        <v>631</v>
      </c>
      <c r="E31" s="266" t="s">
        <v>659</v>
      </c>
      <c r="F31" s="266" t="s">
        <v>693</v>
      </c>
      <c r="H31" s="114"/>
      <c r="I31" s="115"/>
      <c r="J31" s="115"/>
      <c r="K31" s="115"/>
    </row>
    <row r="32" spans="4:11" ht="15" x14ac:dyDescent="0.2">
      <c r="D32" s="265" t="s">
        <v>631</v>
      </c>
      <c r="E32" s="266" t="s">
        <v>660</v>
      </c>
      <c r="F32" s="266" t="s">
        <v>694</v>
      </c>
      <c r="H32" s="114"/>
      <c r="I32" s="115"/>
      <c r="J32" s="115"/>
      <c r="K32" s="115"/>
    </row>
    <row r="33" spans="3:15" ht="15" x14ac:dyDescent="0.2">
      <c r="D33" s="265" t="s">
        <v>631</v>
      </c>
      <c r="E33" s="266" t="s">
        <v>661</v>
      </c>
      <c r="F33" s="266" t="s">
        <v>695</v>
      </c>
      <c r="H33" s="114"/>
      <c r="I33" s="115"/>
      <c r="J33" s="115"/>
      <c r="K33" s="115"/>
    </row>
    <row r="34" spans="3:15" ht="15" x14ac:dyDescent="0.2">
      <c r="D34" s="265" t="s">
        <v>631</v>
      </c>
      <c r="E34" s="266" t="s">
        <v>662</v>
      </c>
      <c r="F34" s="266" t="s">
        <v>696</v>
      </c>
      <c r="H34" s="114"/>
      <c r="I34" s="115"/>
      <c r="J34" s="115"/>
      <c r="K34" s="115"/>
    </row>
    <row r="35" spans="3:15" ht="15" x14ac:dyDescent="0.2">
      <c r="D35" s="265" t="s">
        <v>631</v>
      </c>
      <c r="E35" s="266" t="s">
        <v>663</v>
      </c>
      <c r="F35" s="266" t="s">
        <v>697</v>
      </c>
      <c r="H35" s="114"/>
      <c r="I35" s="115"/>
      <c r="J35" s="115"/>
      <c r="K35" s="115"/>
    </row>
    <row r="36" spans="3:15" ht="15" x14ac:dyDescent="0.2">
      <c r="D36" s="265" t="s">
        <v>631</v>
      </c>
      <c r="E36" s="266" t="s">
        <v>664</v>
      </c>
      <c r="F36" s="266" t="s">
        <v>698</v>
      </c>
      <c r="H36" s="114"/>
      <c r="I36" s="115"/>
      <c r="J36" s="115"/>
      <c r="K36" s="115"/>
    </row>
    <row r="37" spans="3:15" ht="15" x14ac:dyDescent="0.2">
      <c r="D37" s="265" t="s">
        <v>631</v>
      </c>
      <c r="E37" s="266" t="s">
        <v>665</v>
      </c>
      <c r="F37" s="266" t="s">
        <v>699</v>
      </c>
      <c r="H37" s="114"/>
      <c r="I37" s="115"/>
      <c r="J37" s="115"/>
      <c r="K37" s="115"/>
    </row>
    <row r="38" spans="3:15" ht="12" customHeight="1" x14ac:dyDescent="0.15">
      <c r="D38" s="248" t="s">
        <v>195</v>
      </c>
      <c r="E38" s="247"/>
      <c r="F38" s="247"/>
      <c r="H38" s="119"/>
      <c r="I38" s="119"/>
      <c r="J38" s="119"/>
      <c r="K38" s="119"/>
      <c r="L38" s="119"/>
      <c r="M38" s="119"/>
      <c r="N38" s="119"/>
      <c r="O38" s="119"/>
    </row>
    <row r="39" spans="3:15" ht="12" customHeight="1" x14ac:dyDescent="0.15">
      <c r="D39" s="119"/>
      <c r="E39" s="119"/>
      <c r="F39" s="119"/>
    </row>
    <row r="40" spans="3:15" ht="12" customHeight="1" x14ac:dyDescent="0.15">
      <c r="D40" s="119"/>
      <c r="E40" s="119"/>
      <c r="F40" s="119"/>
    </row>
    <row r="41" spans="3:15" ht="12" customHeight="1" x14ac:dyDescent="0.15">
      <c r="D41" s="119"/>
      <c r="E41" s="119"/>
      <c r="F41" s="119"/>
    </row>
    <row r="42" spans="3:15" ht="12" customHeight="1" x14ac:dyDescent="0.15">
      <c r="D42" s="119"/>
      <c r="E42" s="119"/>
      <c r="F42" s="119"/>
    </row>
    <row r="43" spans="3:15" ht="12" customHeight="1" x14ac:dyDescent="0.15">
      <c r="D43" s="119"/>
      <c r="E43" s="119"/>
      <c r="F43" s="119"/>
    </row>
    <row r="44" spans="3:15" ht="12" customHeight="1" x14ac:dyDescent="0.15">
      <c r="D44" s="119"/>
      <c r="E44" s="119"/>
      <c r="F44" s="119"/>
    </row>
    <row r="45" spans="3:15" ht="12" customHeight="1" x14ac:dyDescent="0.15">
      <c r="D45" s="119"/>
      <c r="E45" s="119"/>
      <c r="F45" s="119"/>
    </row>
    <row r="46" spans="3:15" ht="12" customHeight="1" x14ac:dyDescent="0.15">
      <c r="D46" s="119"/>
      <c r="E46" s="119"/>
      <c r="F46" s="119"/>
    </row>
    <row r="47" spans="3:15" ht="12" customHeight="1" x14ac:dyDescent="0.15">
      <c r="C47" s="119"/>
    </row>
    <row r="48" spans="3:15" ht="12" customHeight="1" x14ac:dyDescent="0.15">
      <c r="C48" s="119"/>
    </row>
    <row r="49" spans="3:3" ht="12" customHeight="1" x14ac:dyDescent="0.15">
      <c r="C49" s="119"/>
    </row>
    <row r="50" spans="3:3" ht="12" customHeight="1" x14ac:dyDescent="0.15">
      <c r="C50" s="119"/>
    </row>
    <row r="51" spans="3:3" ht="12" customHeight="1" x14ac:dyDescent="0.15"/>
    <row r="52" spans="3:3" ht="12" customHeight="1" x14ac:dyDescent="0.15"/>
    <row r="53" spans="3:3" ht="12" customHeight="1" x14ac:dyDescent="0.15"/>
    <row r="54" spans="3:3" ht="12" customHeight="1" x14ac:dyDescent="0.15"/>
    <row r="55" spans="3:3" ht="12" customHeight="1" x14ac:dyDescent="0.15"/>
  </sheetData>
  <sortState ref="D3:F37">
    <sortCondition ref="D3:D37"/>
    <sortCondition ref="E3:E37"/>
    <sortCondition ref="F3:F37"/>
  </sortState>
  <phoneticPr fontId="3"/>
  <dataValidations count="1">
    <dataValidation type="textLength" operator="lessThanOrEqual" allowBlank="1" showInputMessage="1" showErrorMessage="1" sqref="D3:D37">
      <formula1>50</formula1>
    </dataValidation>
  </dataValidations>
  <pageMargins left="0.70866141732283472" right="0.70866141732283472" top="0.74803149606299213" bottom="0.74803149606299213" header="0.31496062992125984" footer="0.31496062992125984"/>
  <pageSetup paperSize="9" scale="63" fitToHeight="0" orientation="landscape" r:id="rId1"/>
  <headerFooter>
    <oddFooter>&amp;L&amp;"Arial,標準"FUJITSU CONFIDENTIAL&amp;R&amp;"Arial,標準"All Rights Reserved, Copyright (C) FUJITSU LIMITED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autoFill="0" autoPict="0" macro="[0]!bunnruisakusei">
                <anchor moveWithCells="1" sizeWithCells="1">
                  <from>
                    <xdr:col>0</xdr:col>
                    <xdr:colOff>28575</xdr:colOff>
                    <xdr:row>0</xdr:row>
                    <xdr:rowOff>95250</xdr:rowOff>
                  </from>
                  <to>
                    <xdr:col>2</xdr:col>
                    <xdr:colOff>390525</xdr:colOff>
                    <xdr:row>3</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D1:L52"/>
  <sheetViews>
    <sheetView zoomScale="85" zoomScaleNormal="85" zoomScaleSheetLayoutView="80" zoomScalePageLayoutView="80" workbookViewId="0">
      <selection activeCell="D3" sqref="D3"/>
    </sheetView>
  </sheetViews>
  <sheetFormatPr defaultColWidth="9" defaultRowHeight="14.25" x14ac:dyDescent="0.15"/>
  <cols>
    <col min="1" max="3" width="2.125" style="231" customWidth="1"/>
    <col min="4" max="4" width="15.25" style="231" customWidth="1"/>
    <col min="5" max="5" width="5.25" style="233" customWidth="1"/>
    <col min="6" max="6" width="15.25" style="231" customWidth="1"/>
    <col min="7" max="7" width="24.125" style="231" bestFit="1" customWidth="1"/>
    <col min="8" max="8" width="41.125" style="231" bestFit="1" customWidth="1"/>
    <col min="9" max="9" width="5.375" style="231" customWidth="1"/>
    <col min="10" max="10" width="43.125" style="231" customWidth="1"/>
    <col min="11" max="11" width="15.25" style="231" customWidth="1"/>
    <col min="12" max="12" width="31.625" style="234" bestFit="1" customWidth="1"/>
    <col min="13" max="16384" width="9" style="231"/>
  </cols>
  <sheetData>
    <row r="1" spans="4:12" x14ac:dyDescent="0.15">
      <c r="E1" s="232"/>
      <c r="I1" s="233"/>
    </row>
    <row r="2" spans="4:12" ht="31.5" customHeight="1" x14ac:dyDescent="0.15">
      <c r="D2" s="235" t="s">
        <v>569</v>
      </c>
      <c r="E2" s="236"/>
      <c r="F2" s="237" t="s">
        <v>79</v>
      </c>
      <c r="G2" s="237" t="str">
        <f>ManagementUnit_ManagementUnit_1</f>
        <v>Business Process</v>
      </c>
      <c r="H2" s="238" t="str">
        <f>"Reference Area of " &amp; ManagementUnit_ManagementUnit_1</f>
        <v>Reference Area of Business Process</v>
      </c>
      <c r="I2" s="239"/>
      <c r="J2" s="238" t="str">
        <f>"Subsystem Name &amp; " &amp; ManagementUnit_ManagementUnit_1</f>
        <v>Subsystem Name &amp; Business Process</v>
      </c>
      <c r="K2" s="237" t="str">
        <f>ManagementUnit_ManagementUnit_2</f>
        <v>Process</v>
      </c>
      <c r="L2" s="240" t="str">
        <f>"Reference Area of " &amp; ManagementUnit_ManagementUnit_2</f>
        <v>Reference Area of Process</v>
      </c>
    </row>
    <row r="3" spans="4:12" x14ac:dyDescent="0.15">
      <c r="D3" s="121" t="s">
        <v>631</v>
      </c>
      <c r="E3" s="232"/>
      <c r="F3" s="121" t="s">
        <v>631</v>
      </c>
      <c r="G3" s="121" t="s">
        <v>632</v>
      </c>
      <c r="H3" s="241" t="s">
        <v>767</v>
      </c>
      <c r="I3" s="242"/>
      <c r="J3" s="121" t="s">
        <v>700</v>
      </c>
      <c r="K3" s="121" t="s">
        <v>666</v>
      </c>
      <c r="L3" s="243" t="s">
        <v>262</v>
      </c>
    </row>
    <row r="4" spans="4:12" x14ac:dyDescent="0.15">
      <c r="D4" s="121"/>
      <c r="E4" s="232"/>
      <c r="F4" s="121" t="s">
        <v>631</v>
      </c>
      <c r="G4" s="121" t="s">
        <v>639</v>
      </c>
      <c r="H4" s="241" t="s">
        <v>767</v>
      </c>
      <c r="I4" s="242"/>
      <c r="J4" s="121" t="s">
        <v>734</v>
      </c>
      <c r="K4" s="121" t="s">
        <v>673</v>
      </c>
      <c r="L4" s="243" t="s">
        <v>701</v>
      </c>
    </row>
    <row r="5" spans="4:12" x14ac:dyDescent="0.15">
      <c r="D5" s="121"/>
      <c r="E5" s="232"/>
      <c r="F5" s="121" t="s">
        <v>631</v>
      </c>
      <c r="G5" s="121" t="s">
        <v>634</v>
      </c>
      <c r="H5" s="241" t="s">
        <v>767</v>
      </c>
      <c r="I5" s="242"/>
      <c r="J5" s="121" t="s">
        <v>735</v>
      </c>
      <c r="K5" s="121" t="s">
        <v>668</v>
      </c>
      <c r="L5" s="243" t="s">
        <v>702</v>
      </c>
    </row>
    <row r="6" spans="4:12" x14ac:dyDescent="0.15">
      <c r="D6" s="121"/>
      <c r="E6" s="232"/>
      <c r="F6" s="121" t="s">
        <v>631</v>
      </c>
      <c r="G6" s="121" t="s">
        <v>640</v>
      </c>
      <c r="H6" s="241" t="s">
        <v>767</v>
      </c>
      <c r="I6" s="242"/>
      <c r="J6" s="121" t="s">
        <v>736</v>
      </c>
      <c r="K6" s="121" t="s">
        <v>674</v>
      </c>
      <c r="L6" s="243" t="s">
        <v>703</v>
      </c>
    </row>
    <row r="7" spans="4:12" x14ac:dyDescent="0.15">
      <c r="D7" s="121"/>
      <c r="E7" s="232"/>
      <c r="F7" s="121" t="s">
        <v>631</v>
      </c>
      <c r="G7" s="121" t="s">
        <v>636</v>
      </c>
      <c r="H7" s="241" t="s">
        <v>767</v>
      </c>
      <c r="I7" s="242"/>
      <c r="J7" s="121" t="s">
        <v>736</v>
      </c>
      <c r="K7" s="121" t="s">
        <v>675</v>
      </c>
      <c r="L7" s="243" t="s">
        <v>703</v>
      </c>
    </row>
    <row r="8" spans="4:12" x14ac:dyDescent="0.15">
      <c r="D8" s="121"/>
      <c r="E8" s="232"/>
      <c r="F8" s="121" t="s">
        <v>631</v>
      </c>
      <c r="G8" s="121" t="s">
        <v>642</v>
      </c>
      <c r="H8" s="241" t="s">
        <v>767</v>
      </c>
      <c r="I8" s="242"/>
      <c r="J8" s="121" t="s">
        <v>737</v>
      </c>
      <c r="K8" s="121" t="s">
        <v>670</v>
      </c>
      <c r="L8" s="243" t="s">
        <v>704</v>
      </c>
    </row>
    <row r="9" spans="4:12" x14ac:dyDescent="0.15">
      <c r="D9" s="121"/>
      <c r="E9" s="232"/>
      <c r="F9" s="121" t="s">
        <v>631</v>
      </c>
      <c r="G9" s="121" t="s">
        <v>638</v>
      </c>
      <c r="H9" s="241" t="s">
        <v>767</v>
      </c>
      <c r="I9" s="242"/>
      <c r="J9" s="121" t="s">
        <v>738</v>
      </c>
      <c r="K9" s="121" t="s">
        <v>677</v>
      </c>
      <c r="L9" s="243" t="s">
        <v>705</v>
      </c>
    </row>
    <row r="10" spans="4:12" x14ac:dyDescent="0.15">
      <c r="D10" s="121"/>
      <c r="E10" s="232"/>
      <c r="F10" s="121" t="s">
        <v>631</v>
      </c>
      <c r="G10" s="121" t="s">
        <v>633</v>
      </c>
      <c r="H10" s="242" t="s">
        <v>767</v>
      </c>
      <c r="I10" s="242"/>
      <c r="J10" s="121" t="s">
        <v>739</v>
      </c>
      <c r="K10" s="121" t="s">
        <v>672</v>
      </c>
      <c r="L10" s="243" t="s">
        <v>706</v>
      </c>
    </row>
    <row r="11" spans="4:12" x14ac:dyDescent="0.15">
      <c r="D11" s="121"/>
      <c r="E11" s="232"/>
      <c r="F11" s="121" t="s">
        <v>631</v>
      </c>
      <c r="G11" s="121" t="s">
        <v>635</v>
      </c>
      <c r="H11" s="242" t="s">
        <v>767</v>
      </c>
      <c r="I11" s="242"/>
      <c r="J11" s="121" t="s">
        <v>740</v>
      </c>
      <c r="K11" s="121" t="s">
        <v>667</v>
      </c>
      <c r="L11" s="243" t="s">
        <v>707</v>
      </c>
    </row>
    <row r="12" spans="4:12" x14ac:dyDescent="0.15">
      <c r="D12" s="121"/>
      <c r="E12" s="232"/>
      <c r="F12" s="121" t="s">
        <v>631</v>
      </c>
      <c r="G12" s="121" t="s">
        <v>641</v>
      </c>
      <c r="H12" s="242" t="s">
        <v>767</v>
      </c>
      <c r="I12" s="242"/>
      <c r="J12" s="121" t="s">
        <v>741</v>
      </c>
      <c r="K12" s="121" t="s">
        <v>669</v>
      </c>
      <c r="L12" s="243" t="s">
        <v>708</v>
      </c>
    </row>
    <row r="13" spans="4:12" x14ac:dyDescent="0.15">
      <c r="D13" s="121"/>
      <c r="E13" s="232"/>
      <c r="F13" s="121" t="s">
        <v>631</v>
      </c>
      <c r="G13" s="121" t="s">
        <v>637</v>
      </c>
      <c r="H13" s="242" t="s">
        <v>767</v>
      </c>
      <c r="I13" s="242"/>
      <c r="J13" s="121" t="s">
        <v>742</v>
      </c>
      <c r="K13" s="121" t="s">
        <v>676</v>
      </c>
      <c r="L13" s="243" t="s">
        <v>709</v>
      </c>
    </row>
    <row r="14" spans="4:12" x14ac:dyDescent="0.15">
      <c r="D14" s="121"/>
      <c r="E14" s="232"/>
      <c r="F14" s="121" t="s">
        <v>631</v>
      </c>
      <c r="G14" s="121" t="s">
        <v>643</v>
      </c>
      <c r="H14" s="242" t="s">
        <v>767</v>
      </c>
      <c r="I14" s="242"/>
      <c r="J14" s="121" t="s">
        <v>743</v>
      </c>
      <c r="K14" s="121" t="s">
        <v>671</v>
      </c>
      <c r="L14" s="243" t="s">
        <v>710</v>
      </c>
    </row>
    <row r="15" spans="4:12" x14ac:dyDescent="0.15">
      <c r="D15" s="121"/>
      <c r="E15" s="232"/>
      <c r="F15" s="121" t="s">
        <v>631</v>
      </c>
      <c r="G15" s="121" t="s">
        <v>646</v>
      </c>
      <c r="H15" s="242" t="s">
        <v>767</v>
      </c>
      <c r="I15" s="242"/>
      <c r="J15" s="121" t="s">
        <v>744</v>
      </c>
      <c r="K15" s="121" t="s">
        <v>678</v>
      </c>
      <c r="L15" s="243" t="s">
        <v>711</v>
      </c>
    </row>
    <row r="16" spans="4:12" x14ac:dyDescent="0.15">
      <c r="D16" s="121"/>
      <c r="E16" s="232"/>
      <c r="F16" s="121" t="s">
        <v>631</v>
      </c>
      <c r="G16" s="121" t="s">
        <v>644</v>
      </c>
      <c r="H16" s="242" t="s">
        <v>767</v>
      </c>
      <c r="I16" s="242"/>
      <c r="J16" s="121" t="s">
        <v>745</v>
      </c>
      <c r="K16" s="121" t="s">
        <v>681</v>
      </c>
      <c r="L16" s="243" t="s">
        <v>712</v>
      </c>
    </row>
    <row r="17" spans="4:12" x14ac:dyDescent="0.15">
      <c r="D17" s="121"/>
      <c r="E17" s="232"/>
      <c r="F17" s="121" t="s">
        <v>631</v>
      </c>
      <c r="G17" s="121" t="s">
        <v>645</v>
      </c>
      <c r="H17" s="242" t="s">
        <v>767</v>
      </c>
      <c r="I17" s="242"/>
      <c r="J17" s="121" t="s">
        <v>746</v>
      </c>
      <c r="K17" s="121" t="s">
        <v>679</v>
      </c>
      <c r="L17" s="243" t="s">
        <v>713</v>
      </c>
    </row>
    <row r="18" spans="4:12" x14ac:dyDescent="0.15">
      <c r="D18" s="121"/>
      <c r="E18" s="232"/>
      <c r="F18" s="121" t="s">
        <v>631</v>
      </c>
      <c r="G18" s="121" t="s">
        <v>649</v>
      </c>
      <c r="H18" s="242" t="s">
        <v>767</v>
      </c>
      <c r="I18" s="242"/>
      <c r="J18" s="121" t="s">
        <v>747</v>
      </c>
      <c r="K18" s="121" t="s">
        <v>680</v>
      </c>
      <c r="L18" s="243" t="s">
        <v>714</v>
      </c>
    </row>
    <row r="19" spans="4:12" x14ac:dyDescent="0.15">
      <c r="D19" s="121"/>
      <c r="E19" s="232"/>
      <c r="F19" s="121" t="s">
        <v>631</v>
      </c>
      <c r="G19" s="121" t="s">
        <v>647</v>
      </c>
      <c r="H19" s="242" t="s">
        <v>767</v>
      </c>
      <c r="I19" s="242"/>
      <c r="J19" s="121" t="s">
        <v>748</v>
      </c>
      <c r="K19" s="121" t="s">
        <v>684</v>
      </c>
      <c r="L19" s="243" t="s">
        <v>715</v>
      </c>
    </row>
    <row r="20" spans="4:12" x14ac:dyDescent="0.15">
      <c r="D20" s="121"/>
      <c r="E20" s="232"/>
      <c r="F20" s="121" t="s">
        <v>631</v>
      </c>
      <c r="G20" s="121" t="s">
        <v>648</v>
      </c>
      <c r="H20" s="242" t="s">
        <v>767</v>
      </c>
      <c r="I20" s="242"/>
      <c r="J20" s="121" t="s">
        <v>749</v>
      </c>
      <c r="K20" s="121" t="s">
        <v>682</v>
      </c>
      <c r="L20" s="243" t="s">
        <v>716</v>
      </c>
    </row>
    <row r="21" spans="4:12" x14ac:dyDescent="0.15">
      <c r="D21" s="121"/>
      <c r="E21" s="232"/>
      <c r="F21" s="121" t="s">
        <v>631</v>
      </c>
      <c r="G21" s="121" t="s">
        <v>650</v>
      </c>
      <c r="H21" s="242" t="s">
        <v>767</v>
      </c>
      <c r="I21" s="242"/>
      <c r="J21" s="121" t="s">
        <v>750</v>
      </c>
      <c r="K21" s="121" t="s">
        <v>683</v>
      </c>
      <c r="L21" s="243" t="s">
        <v>717</v>
      </c>
    </row>
    <row r="22" spans="4:12" x14ac:dyDescent="0.15">
      <c r="D22" s="121"/>
      <c r="E22" s="232"/>
      <c r="F22" s="121" t="s">
        <v>631</v>
      </c>
      <c r="G22" s="121" t="s">
        <v>651</v>
      </c>
      <c r="H22" s="242" t="s">
        <v>767</v>
      </c>
      <c r="I22" s="242"/>
      <c r="J22" s="121" t="s">
        <v>751</v>
      </c>
      <c r="K22" s="121" t="s">
        <v>685</v>
      </c>
      <c r="L22" s="243" t="s">
        <v>718</v>
      </c>
    </row>
    <row r="23" spans="4:12" x14ac:dyDescent="0.15">
      <c r="D23" s="121"/>
      <c r="E23" s="232"/>
      <c r="F23" s="121" t="s">
        <v>631</v>
      </c>
      <c r="G23" s="121" t="s">
        <v>652</v>
      </c>
      <c r="H23" s="242" t="s">
        <v>767</v>
      </c>
      <c r="I23" s="242"/>
      <c r="J23" s="121" t="s">
        <v>752</v>
      </c>
      <c r="K23" s="121" t="s">
        <v>686</v>
      </c>
      <c r="L23" s="243" t="s">
        <v>719</v>
      </c>
    </row>
    <row r="24" spans="4:12" x14ac:dyDescent="0.15">
      <c r="D24" s="121"/>
      <c r="E24" s="232"/>
      <c r="F24" s="121" t="s">
        <v>631</v>
      </c>
      <c r="G24" s="121" t="s">
        <v>653</v>
      </c>
      <c r="H24" s="242" t="s">
        <v>767</v>
      </c>
      <c r="I24" s="242"/>
      <c r="J24" s="121" t="s">
        <v>753</v>
      </c>
      <c r="K24" s="121" t="s">
        <v>687</v>
      </c>
      <c r="L24" s="243" t="s">
        <v>720</v>
      </c>
    </row>
    <row r="25" spans="4:12" x14ac:dyDescent="0.15">
      <c r="D25" s="121"/>
      <c r="E25" s="232"/>
      <c r="F25" s="121" t="s">
        <v>631</v>
      </c>
      <c r="G25" s="121" t="s">
        <v>654</v>
      </c>
      <c r="H25" s="242" t="s">
        <v>767</v>
      </c>
      <c r="I25" s="242"/>
      <c r="J25" s="121" t="s">
        <v>754</v>
      </c>
      <c r="K25" s="121" t="s">
        <v>687</v>
      </c>
      <c r="L25" s="243" t="s">
        <v>721</v>
      </c>
    </row>
    <row r="26" spans="4:12" x14ac:dyDescent="0.15">
      <c r="D26" s="121"/>
      <c r="E26" s="232"/>
      <c r="F26" s="121" t="s">
        <v>631</v>
      </c>
      <c r="G26" s="121" t="s">
        <v>655</v>
      </c>
      <c r="H26" s="242" t="s">
        <v>767</v>
      </c>
      <c r="I26" s="242"/>
      <c r="J26" s="121" t="s">
        <v>755</v>
      </c>
      <c r="K26" s="121" t="s">
        <v>688</v>
      </c>
      <c r="L26" s="243" t="s">
        <v>722</v>
      </c>
    </row>
    <row r="27" spans="4:12" x14ac:dyDescent="0.15">
      <c r="D27" s="121"/>
      <c r="E27" s="232"/>
      <c r="F27" s="121" t="s">
        <v>631</v>
      </c>
      <c r="G27" s="121" t="s">
        <v>656</v>
      </c>
      <c r="H27" s="242" t="s">
        <v>767</v>
      </c>
      <c r="I27" s="242"/>
      <c r="J27" s="121" t="s">
        <v>756</v>
      </c>
      <c r="K27" s="121" t="s">
        <v>689</v>
      </c>
      <c r="L27" s="243" t="s">
        <v>723</v>
      </c>
    </row>
    <row r="28" spans="4:12" x14ac:dyDescent="0.15">
      <c r="D28" s="121"/>
      <c r="E28" s="232"/>
      <c r="F28" s="121" t="s">
        <v>631</v>
      </c>
      <c r="G28" s="121" t="s">
        <v>657</v>
      </c>
      <c r="H28" s="242" t="s">
        <v>767</v>
      </c>
      <c r="I28" s="242"/>
      <c r="J28" s="121" t="s">
        <v>757</v>
      </c>
      <c r="K28" s="121" t="s">
        <v>690</v>
      </c>
      <c r="L28" s="122" t="s">
        <v>724</v>
      </c>
    </row>
    <row r="29" spans="4:12" x14ac:dyDescent="0.15">
      <c r="D29" s="121"/>
      <c r="E29" s="232"/>
      <c r="F29" s="121" t="s">
        <v>631</v>
      </c>
      <c r="G29" s="121" t="s">
        <v>658</v>
      </c>
      <c r="H29" s="242" t="s">
        <v>767</v>
      </c>
      <c r="I29" s="242"/>
      <c r="J29" s="121" t="s">
        <v>758</v>
      </c>
      <c r="K29" s="121" t="s">
        <v>691</v>
      </c>
      <c r="L29" s="122" t="s">
        <v>725</v>
      </c>
    </row>
    <row r="30" spans="4:12" x14ac:dyDescent="0.15">
      <c r="D30" s="121"/>
      <c r="E30" s="232"/>
      <c r="F30" s="121" t="s">
        <v>631</v>
      </c>
      <c r="G30" s="121" t="s">
        <v>659</v>
      </c>
      <c r="H30" s="242" t="s">
        <v>767</v>
      </c>
      <c r="I30" s="242"/>
      <c r="J30" s="121" t="s">
        <v>759</v>
      </c>
      <c r="K30" s="121" t="s">
        <v>692</v>
      </c>
      <c r="L30" s="122" t="s">
        <v>726</v>
      </c>
    </row>
    <row r="31" spans="4:12" x14ac:dyDescent="0.15">
      <c r="D31" s="121"/>
      <c r="E31" s="232"/>
      <c r="F31" s="121" t="s">
        <v>631</v>
      </c>
      <c r="G31" s="121" t="s">
        <v>660</v>
      </c>
      <c r="H31" s="242" t="s">
        <v>767</v>
      </c>
      <c r="I31" s="242"/>
      <c r="J31" s="121" t="s">
        <v>760</v>
      </c>
      <c r="K31" s="121" t="s">
        <v>693</v>
      </c>
      <c r="L31" s="122" t="s">
        <v>727</v>
      </c>
    </row>
    <row r="32" spans="4:12" x14ac:dyDescent="0.15">
      <c r="D32" s="121"/>
      <c r="E32" s="232"/>
      <c r="F32" s="121" t="s">
        <v>631</v>
      </c>
      <c r="G32" s="121" t="s">
        <v>661</v>
      </c>
      <c r="H32" s="242" t="s">
        <v>767</v>
      </c>
      <c r="I32" s="242"/>
      <c r="J32" s="121" t="s">
        <v>761</v>
      </c>
      <c r="K32" s="121" t="s">
        <v>694</v>
      </c>
      <c r="L32" s="122" t="s">
        <v>728</v>
      </c>
    </row>
    <row r="33" spans="4:12" x14ac:dyDescent="0.15">
      <c r="D33" s="121"/>
      <c r="E33" s="232"/>
      <c r="F33" s="121" t="s">
        <v>631</v>
      </c>
      <c r="G33" s="121" t="s">
        <v>662</v>
      </c>
      <c r="H33" s="242" t="s">
        <v>767</v>
      </c>
      <c r="I33" s="242"/>
      <c r="J33" s="121" t="s">
        <v>762</v>
      </c>
      <c r="K33" s="121" t="s">
        <v>695</v>
      </c>
      <c r="L33" s="122" t="s">
        <v>729</v>
      </c>
    </row>
    <row r="34" spans="4:12" x14ac:dyDescent="0.15">
      <c r="D34" s="121"/>
      <c r="E34" s="232"/>
      <c r="F34" s="121" t="s">
        <v>631</v>
      </c>
      <c r="G34" s="121" t="s">
        <v>663</v>
      </c>
      <c r="H34" s="242" t="s">
        <v>767</v>
      </c>
      <c r="I34" s="242"/>
      <c r="J34" s="121" t="s">
        <v>763</v>
      </c>
      <c r="K34" s="121" t="s">
        <v>696</v>
      </c>
      <c r="L34" s="122" t="s">
        <v>730</v>
      </c>
    </row>
    <row r="35" spans="4:12" x14ac:dyDescent="0.15">
      <c r="D35" s="121"/>
      <c r="E35" s="232"/>
      <c r="F35" s="121" t="s">
        <v>631</v>
      </c>
      <c r="G35" s="121" t="s">
        <v>664</v>
      </c>
      <c r="H35" s="242" t="s">
        <v>767</v>
      </c>
      <c r="I35" s="242"/>
      <c r="J35" s="121" t="s">
        <v>764</v>
      </c>
      <c r="K35" s="121" t="s">
        <v>697</v>
      </c>
      <c r="L35" s="122" t="s">
        <v>731</v>
      </c>
    </row>
    <row r="36" spans="4:12" x14ac:dyDescent="0.15">
      <c r="D36" s="121"/>
      <c r="E36" s="232"/>
      <c r="F36" s="121" t="s">
        <v>631</v>
      </c>
      <c r="G36" s="121" t="s">
        <v>665</v>
      </c>
      <c r="H36" s="242" t="s">
        <v>767</v>
      </c>
      <c r="I36" s="242"/>
      <c r="J36" s="121" t="s">
        <v>765</v>
      </c>
      <c r="K36" s="121" t="s">
        <v>698</v>
      </c>
      <c r="L36" s="122" t="s">
        <v>732</v>
      </c>
    </row>
    <row r="37" spans="4:12" x14ac:dyDescent="0.15">
      <c r="D37" s="121"/>
      <c r="E37" s="232"/>
      <c r="F37" s="121"/>
      <c r="G37" s="121"/>
      <c r="H37" s="242"/>
      <c r="I37" s="242"/>
      <c r="J37" s="121" t="s">
        <v>766</v>
      </c>
      <c r="K37" s="121" t="s">
        <v>699</v>
      </c>
      <c r="L37" s="122" t="s">
        <v>733</v>
      </c>
    </row>
    <row r="38" spans="4:12" x14ac:dyDescent="0.15">
      <c r="D38" s="121"/>
      <c r="E38" s="232"/>
      <c r="F38" s="121"/>
      <c r="G38" s="121"/>
      <c r="H38" s="242"/>
      <c r="I38" s="242"/>
      <c r="J38" s="121"/>
      <c r="K38" s="121"/>
      <c r="L38" s="122"/>
    </row>
    <row r="39" spans="4:12" x14ac:dyDescent="0.15">
      <c r="D39" s="121"/>
      <c r="E39" s="232"/>
      <c r="F39" s="121"/>
      <c r="G39" s="121"/>
      <c r="H39" s="242"/>
      <c r="I39" s="242"/>
      <c r="J39" s="121"/>
      <c r="K39" s="121"/>
      <c r="L39" s="122"/>
    </row>
    <row r="40" spans="4:12" x14ac:dyDescent="0.15">
      <c r="D40" s="121"/>
      <c r="E40" s="232"/>
      <c r="F40" s="121"/>
      <c r="G40" s="121"/>
      <c r="H40" s="242"/>
      <c r="I40" s="242"/>
      <c r="J40" s="121"/>
      <c r="K40" s="121"/>
      <c r="L40" s="122"/>
    </row>
    <row r="41" spans="4:12" x14ac:dyDescent="0.15">
      <c r="D41" s="121"/>
      <c r="E41" s="232"/>
      <c r="F41" s="121"/>
      <c r="G41" s="121"/>
      <c r="H41" s="242"/>
      <c r="I41" s="242"/>
      <c r="J41" s="121"/>
      <c r="K41" s="121"/>
      <c r="L41" s="122"/>
    </row>
    <row r="42" spans="4:12" x14ac:dyDescent="0.15">
      <c r="D42" s="121"/>
      <c r="E42" s="232"/>
      <c r="F42" s="121"/>
      <c r="G42" s="121"/>
      <c r="H42" s="242"/>
      <c r="I42" s="242"/>
      <c r="J42" s="121"/>
      <c r="K42" s="121"/>
      <c r="L42" s="122"/>
    </row>
    <row r="43" spans="4:12" x14ac:dyDescent="0.15">
      <c r="D43" s="121"/>
      <c r="E43" s="232"/>
      <c r="F43" s="121"/>
      <c r="G43" s="121"/>
      <c r="H43" s="242"/>
      <c r="I43" s="242"/>
      <c r="J43" s="121"/>
      <c r="K43" s="121"/>
      <c r="L43" s="122"/>
    </row>
    <row r="44" spans="4:12" x14ac:dyDescent="0.15">
      <c r="D44" s="121"/>
      <c r="E44" s="232"/>
      <c r="F44" s="121"/>
      <c r="G44" s="121"/>
      <c r="H44" s="242"/>
      <c r="I44" s="242"/>
      <c r="J44" s="121"/>
      <c r="K44" s="121"/>
      <c r="L44" s="122"/>
    </row>
    <row r="45" spans="4:12" x14ac:dyDescent="0.15">
      <c r="D45" s="121"/>
      <c r="E45" s="232"/>
      <c r="F45" s="121"/>
      <c r="G45" s="121"/>
      <c r="H45" s="242"/>
      <c r="I45" s="242"/>
      <c r="J45" s="121"/>
      <c r="K45" s="121"/>
      <c r="L45" s="122"/>
    </row>
    <row r="46" spans="4:12" x14ac:dyDescent="0.15">
      <c r="D46" s="121"/>
      <c r="E46" s="232"/>
      <c r="F46" s="121"/>
      <c r="G46" s="121"/>
      <c r="H46" s="242"/>
      <c r="I46" s="242"/>
      <c r="J46" s="121"/>
      <c r="K46" s="121"/>
      <c r="L46" s="122"/>
    </row>
    <row r="47" spans="4:12" x14ac:dyDescent="0.15">
      <c r="D47" s="121"/>
      <c r="E47" s="232"/>
      <c r="F47" s="121"/>
      <c r="G47" s="121"/>
      <c r="H47" s="242"/>
      <c r="I47" s="242"/>
      <c r="J47" s="121"/>
      <c r="K47" s="121"/>
      <c r="L47" s="122"/>
    </row>
    <row r="48" spans="4:12" x14ac:dyDescent="0.15">
      <c r="D48" s="121"/>
      <c r="E48" s="232"/>
      <c r="F48" s="121"/>
      <c r="G48" s="121"/>
      <c r="H48" s="242"/>
      <c r="I48" s="242"/>
      <c r="J48" s="121"/>
      <c r="K48" s="121"/>
      <c r="L48" s="122"/>
    </row>
    <row r="49" spans="4:12" x14ac:dyDescent="0.15">
      <c r="D49" s="121"/>
      <c r="E49" s="232"/>
      <c r="F49" s="121"/>
      <c r="G49" s="121"/>
      <c r="H49" s="242"/>
      <c r="I49" s="242"/>
      <c r="J49" s="121"/>
      <c r="K49" s="121"/>
      <c r="L49" s="122"/>
    </row>
    <row r="50" spans="4:12" x14ac:dyDescent="0.15">
      <c r="D50" s="121"/>
      <c r="E50" s="232"/>
      <c r="F50" s="121"/>
      <c r="G50" s="121"/>
      <c r="H50" s="242"/>
      <c r="I50" s="242"/>
      <c r="J50" s="121"/>
      <c r="K50" s="121"/>
      <c r="L50" s="122"/>
    </row>
    <row r="51" spans="4:12" x14ac:dyDescent="0.15">
      <c r="D51" s="242"/>
      <c r="E51" s="232"/>
      <c r="F51" s="242"/>
      <c r="G51" s="242"/>
      <c r="H51" s="242"/>
      <c r="I51" s="242"/>
      <c r="J51" s="121"/>
      <c r="K51" s="121"/>
      <c r="L51" s="122"/>
    </row>
    <row r="52" spans="4:12" x14ac:dyDescent="0.15">
      <c r="D52" s="242"/>
      <c r="E52" s="232"/>
      <c r="F52" s="242"/>
      <c r="G52" s="242"/>
      <c r="H52" s="242"/>
      <c r="I52" s="242"/>
      <c r="J52" s="121"/>
      <c r="K52" s="121"/>
      <c r="L52" s="122"/>
    </row>
  </sheetData>
  <phoneticPr fontId="3"/>
  <pageMargins left="0.70866141732283472" right="0.70866141732283472" top="0.74803149606299213" bottom="0.74803149606299213" header="0.31496062992125984" footer="0.31496062992125984"/>
  <pageSetup paperSize="9" scale="43" orientation="landscape" verticalDpi="0" r:id="rId1"/>
  <headerFooter>
    <oddFooter>&amp;L&amp;"Arial,標準"FUJITSU CONFIDENTIAL&amp;R&amp;"Arial,標準"All Rights Reserved, Copyright (C) FUJITSU LIMITED 2017</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5"/>
  <sheetViews>
    <sheetView showGridLines="0" zoomScale="85" zoomScaleNormal="85" zoomScaleSheetLayoutView="100" workbookViewId="0">
      <selection activeCell="C36" sqref="C36"/>
    </sheetView>
  </sheetViews>
  <sheetFormatPr defaultColWidth="9" defaultRowHeight="14.25" x14ac:dyDescent="0.15"/>
  <cols>
    <col min="1" max="1" width="2.625" style="124" customWidth="1"/>
    <col min="2" max="2" width="15.625" style="124" customWidth="1"/>
    <col min="3" max="3" width="50.625" style="124" customWidth="1"/>
    <col min="4" max="16384" width="9" style="124"/>
  </cols>
  <sheetData>
    <row r="1" spans="1:3" ht="18" x14ac:dyDescent="0.15">
      <c r="A1" s="123" t="s">
        <v>78</v>
      </c>
    </row>
    <row r="3" spans="1:3" ht="21.95" hidden="1" customHeight="1" x14ac:dyDescent="0.15">
      <c r="B3" s="125" t="s">
        <v>144</v>
      </c>
      <c r="C3" s="126" t="s">
        <v>145</v>
      </c>
    </row>
    <row r="4" spans="1:3" ht="21.95" customHeight="1" x14ac:dyDescent="0.15">
      <c r="B4" s="125" t="s">
        <v>146</v>
      </c>
      <c r="C4" s="126" t="s">
        <v>191</v>
      </c>
    </row>
    <row r="5" spans="1:3" ht="18.75" customHeight="1" x14ac:dyDescent="0.15">
      <c r="B5" s="125" t="s">
        <v>147</v>
      </c>
      <c r="C5" s="127"/>
    </row>
  </sheetData>
  <sheetProtection algorithmName="SHA-512" hashValue="+5nwU8qsSOOVMOxpQ/zmGpQUBUCDkIS8cp+rkqbxQBVInIfXIvv+AsvRqFRtltsrT2x0fKNNAQR66HR6nMTWdA==" saltValue="72ScodxlY8HVXYvDXRLZqA==" spinCount="100000" sheet="1" objects="1" scenarios="1"/>
  <phoneticPr fontId="7"/>
  <pageMargins left="0.70866141732283472" right="0.70866141732283472" top="0.74803149606299213" bottom="0.74803149606299213" header="0.31496062992125984" footer="0.31496062992125984"/>
  <pageSetup paperSize="9" scale="92" orientation="landscape" verticalDpi="0" r:id="rId1"/>
  <headerFooter>
    <oddFooter>&amp;L&amp;"Arial,標準"FUJITSU CONFIDENTIAL&amp;R&amp;"Arial,標準"All Rights Reserved, Copyright (C) FUJITSU LIMITED 2017</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4" zoomScale="70" zoomScaleNormal="70" workbookViewId="0">
      <selection activeCell="X19" sqref="X19"/>
    </sheetView>
  </sheetViews>
  <sheetFormatPr defaultRowHeight="13.5" x14ac:dyDescent="0.15"/>
  <sheetData/>
  <phoneticPr fontId="3"/>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T19" sqref="T19"/>
    </sheetView>
  </sheetViews>
  <sheetFormatPr defaultRowHeight="13.5" x14ac:dyDescent="0.15"/>
  <sheetData/>
  <phoneticPr fontId="3"/>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3" zoomScale="55" zoomScaleNormal="55" workbookViewId="0">
      <selection activeCell="AA59" sqref="AA59"/>
    </sheetView>
  </sheetViews>
  <sheetFormatPr defaultRowHeight="13.5" x14ac:dyDescent="0.15"/>
  <sheetData/>
  <phoneticPr fontId="3"/>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64" zoomScale="70" zoomScaleNormal="70" workbookViewId="0">
      <selection activeCell="S92" sqref="S92"/>
    </sheetView>
  </sheetViews>
  <sheetFormatPr defaultRowHeight="13.5" x14ac:dyDescent="0.15"/>
  <sheetData/>
  <phoneticPr fontId="3"/>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46" zoomScale="70" zoomScaleNormal="70" workbookViewId="0">
      <selection activeCell="S71" sqref="S71"/>
    </sheetView>
  </sheetViews>
  <sheetFormatPr defaultRowHeight="13.5" x14ac:dyDescent="0.15"/>
  <sheetData/>
  <phoneticPr fontId="3"/>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zoomScale="40" zoomScaleNormal="40" workbookViewId="0">
      <selection activeCell="AF53" sqref="AF53"/>
    </sheetView>
  </sheetViews>
  <sheetFormatPr defaultRowHeight="13.5" x14ac:dyDescent="0.15"/>
  <sheetData/>
  <phoneticPr fontId="3"/>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zoomScale="55" zoomScaleNormal="55" workbookViewId="0">
      <selection activeCell="S53" sqref="S53"/>
    </sheetView>
  </sheetViews>
  <sheetFormatPr defaultRowHeight="13.5" x14ac:dyDescent="0.15"/>
  <sheetData/>
  <phoneticPr fontId="3"/>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G9"/>
  <sheetViews>
    <sheetView workbookViewId="0"/>
  </sheetViews>
  <sheetFormatPr defaultRowHeight="13.5" x14ac:dyDescent="0.15"/>
  <cols>
    <col min="1" max="1" width="14.625" bestFit="1" customWidth="1"/>
  </cols>
  <sheetData>
    <row r="1" spans="1:7" x14ac:dyDescent="0.15">
      <c r="A1" s="273"/>
      <c r="B1" s="273"/>
      <c r="C1" s="273"/>
      <c r="D1" s="273"/>
      <c r="E1" s="273"/>
      <c r="F1" s="273"/>
      <c r="G1" s="273"/>
    </row>
    <row r="2" spans="1:7" x14ac:dyDescent="0.15">
      <c r="A2" s="274"/>
      <c r="B2" s="274"/>
      <c r="C2" s="274"/>
      <c r="D2" s="275"/>
      <c r="E2" s="275"/>
      <c r="F2" s="275"/>
      <c r="G2" s="275"/>
    </row>
    <row r="3" spans="1:7" x14ac:dyDescent="0.15">
      <c r="A3" s="274"/>
      <c r="B3" s="274"/>
      <c r="C3" s="274"/>
      <c r="D3" s="275"/>
      <c r="E3" s="275"/>
      <c r="F3" s="275"/>
      <c r="G3" s="275"/>
    </row>
    <row r="4" spans="1:7" x14ac:dyDescent="0.15">
      <c r="A4" s="274"/>
      <c r="B4" s="274"/>
      <c r="C4" s="274"/>
      <c r="D4" s="275"/>
      <c r="E4" s="275"/>
      <c r="F4" s="275"/>
      <c r="G4" s="275"/>
    </row>
    <row r="5" spans="1:7" x14ac:dyDescent="0.15">
      <c r="A5" s="274"/>
      <c r="B5" s="274"/>
      <c r="C5" s="274"/>
      <c r="D5" s="275"/>
      <c r="E5" s="275"/>
      <c r="F5" s="275"/>
      <c r="G5" s="275"/>
    </row>
    <row r="6" spans="1:7" x14ac:dyDescent="0.15">
      <c r="A6" s="274"/>
      <c r="B6" s="274"/>
      <c r="C6" s="274"/>
      <c r="D6" s="275"/>
      <c r="E6" s="275"/>
      <c r="F6" s="275"/>
      <c r="G6" s="275"/>
    </row>
    <row r="7" spans="1:7" x14ac:dyDescent="0.15">
      <c r="A7" s="274"/>
      <c r="B7" s="274"/>
      <c r="C7" s="274"/>
      <c r="D7" s="275"/>
      <c r="E7" s="275"/>
      <c r="F7" s="275"/>
      <c r="G7" s="275"/>
    </row>
    <row r="8" spans="1:7" x14ac:dyDescent="0.15">
      <c r="A8" s="274"/>
      <c r="B8" s="274"/>
      <c r="C8" s="274"/>
      <c r="D8" s="275"/>
      <c r="E8" s="275"/>
      <c r="F8" s="275"/>
      <c r="G8" s="275"/>
    </row>
    <row r="9" spans="1:7" x14ac:dyDescent="0.15">
      <c r="A9" s="274"/>
      <c r="B9" s="274"/>
      <c r="C9" s="274"/>
      <c r="D9" s="275"/>
      <c r="E9" s="275"/>
      <c r="F9" s="275"/>
      <c r="G9" s="275"/>
    </row>
  </sheetData>
  <phoneticPr fontId="3"/>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1"/>
  <sheetViews>
    <sheetView zoomScale="85" zoomScaleNormal="85" zoomScaleSheetLayoutView="100" workbookViewId="0"/>
  </sheetViews>
  <sheetFormatPr defaultColWidth="9" defaultRowHeight="14.25" x14ac:dyDescent="0.15"/>
  <cols>
    <col min="1" max="16384" width="9" style="152"/>
  </cols>
  <sheetData>
    <row r="1" spans="1:2" x14ac:dyDescent="0.15">
      <c r="A1" s="152" t="s">
        <v>81</v>
      </c>
      <c r="B1" s="152" t="s">
        <v>260</v>
      </c>
    </row>
  </sheetData>
  <phoneticPr fontId="3"/>
  <pageMargins left="0.70866141732283472" right="0.70866141732283472" top="0.74803149606299213" bottom="0.74803149606299213" header="0.31496062992125984" footer="0.31496062992125984"/>
  <pageSetup paperSize="9" orientation="portrait" verticalDpi="0" r:id="rId1"/>
  <headerFooter>
    <oddFooter>&amp;L&amp;"Arial,標準"FUJITSU CONFIDENTIAL&amp;R&amp;"Arial,標準"All Rights Reserved, Copyright (C) FUJITSU LIMITED 2017</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22</vt:i4>
      </vt:variant>
      <vt:variant>
        <vt:lpstr>名前付き一覧</vt:lpstr>
      </vt:variant>
      <vt:variant>
        <vt:i4>306</vt:i4>
      </vt:variant>
    </vt:vector>
  </HeadingPairs>
  <TitlesOfParts>
    <vt:vector size="328" baseType="lpstr">
      <vt:lpstr>Title Page</vt:lpstr>
      <vt:lpstr>Usage</vt:lpstr>
      <vt:lpstr>start_basic</vt:lpstr>
      <vt:lpstr>Basic Test (Online) 1</vt:lpstr>
      <vt:lpstr>end_basic</vt:lpstr>
      <vt:lpstr>start_business</vt:lpstr>
      <vt:lpstr>Business Test 1</vt:lpstr>
      <vt:lpstr>end_business</vt:lpstr>
      <vt:lpstr>Code Table</vt:lpstr>
      <vt:lpstr>Cause Type</vt:lpstr>
      <vt:lpstr>Settings</vt:lpstr>
      <vt:lpstr>Process</vt:lpstr>
      <vt:lpstr>Version Information</vt:lpstr>
      <vt:lpstr>Ev.1</vt:lpstr>
      <vt:lpstr>Ev.2</vt:lpstr>
      <vt:lpstr>Ev.3</vt:lpstr>
      <vt:lpstr>Ev.4</vt:lpstr>
      <vt:lpstr>Ev.5</vt:lpstr>
      <vt:lpstr>Ev.6</vt:lpstr>
      <vt:lpstr>Ev.7</vt:lpstr>
      <vt:lpstr>stepcount</vt:lpstr>
      <vt:lpstr>&lt;Do not Touch&gt; Common Settings</vt:lpstr>
      <vt:lpstr>Basic_Cause_Phase_1</vt:lpstr>
      <vt:lpstr>Basic_Cause_Phase_10</vt:lpstr>
      <vt:lpstr>Basic_Cause_Phase_2</vt:lpstr>
      <vt:lpstr>Basic_Cause_Phase_3</vt:lpstr>
      <vt:lpstr>Basic_Cause_Phase_4</vt:lpstr>
      <vt:lpstr>Basic_Cause_Phase_5</vt:lpstr>
      <vt:lpstr>Basic_Cause_Phase_6</vt:lpstr>
      <vt:lpstr>Basic_Cause_Phase_7</vt:lpstr>
      <vt:lpstr>Basic_Cause_Phase_8</vt:lpstr>
      <vt:lpstr>Basic_Cause_Phase_9</vt:lpstr>
      <vt:lpstr>Basic_Cause_Type_1</vt:lpstr>
      <vt:lpstr>Basic_Cause_Type_10</vt:lpstr>
      <vt:lpstr>Basic_Cause_Type_11</vt:lpstr>
      <vt:lpstr>Basic_Cause_Type_12</vt:lpstr>
      <vt:lpstr>Basic_Cause_Type_13</vt:lpstr>
      <vt:lpstr>Basic_Cause_Type_14</vt:lpstr>
      <vt:lpstr>Basic_Cause_Type_15</vt:lpstr>
      <vt:lpstr>Basic_Cause_Type_16</vt:lpstr>
      <vt:lpstr>Basic_Cause_Type_17</vt:lpstr>
      <vt:lpstr>Basic_Cause_Type_18</vt:lpstr>
      <vt:lpstr>Basic_Cause_Type_19</vt:lpstr>
      <vt:lpstr>Basic_Cause_Type_2</vt:lpstr>
      <vt:lpstr>Basic_Cause_Type_20</vt:lpstr>
      <vt:lpstr>Basic_Cause_Type_21</vt:lpstr>
      <vt:lpstr>Basic_Cause_Type_22</vt:lpstr>
      <vt:lpstr>Basic_Cause_Type_23</vt:lpstr>
      <vt:lpstr>Basic_Cause_Type_24</vt:lpstr>
      <vt:lpstr>Basic_Cause_Type_25</vt:lpstr>
      <vt:lpstr>Basic_Cause_Type_26</vt:lpstr>
      <vt:lpstr>Basic_Cause_Type_27</vt:lpstr>
      <vt:lpstr>Basic_Cause_Type_28</vt:lpstr>
      <vt:lpstr>Basic_Cause_Type_29</vt:lpstr>
      <vt:lpstr>Basic_Cause_Type_3</vt:lpstr>
      <vt:lpstr>Basic_Cause_Type_30</vt:lpstr>
      <vt:lpstr>Basic_Cause_Type_31</vt:lpstr>
      <vt:lpstr>Basic_Cause_Type_32</vt:lpstr>
      <vt:lpstr>Basic_Cause_Type_33</vt:lpstr>
      <vt:lpstr>Basic_Cause_Type_34</vt:lpstr>
      <vt:lpstr>Basic_Cause_Type_35</vt:lpstr>
      <vt:lpstr>Basic_Cause_Type_36</vt:lpstr>
      <vt:lpstr>Basic_Cause_Type_37</vt:lpstr>
      <vt:lpstr>Basic_Cause_Type_38</vt:lpstr>
      <vt:lpstr>Basic_Cause_Type_39</vt:lpstr>
      <vt:lpstr>Basic_Cause_Type_4</vt:lpstr>
      <vt:lpstr>Basic_Cause_Type_40</vt:lpstr>
      <vt:lpstr>Basic_Cause_Type_5</vt:lpstr>
      <vt:lpstr>Basic_Cause_Type_6</vt:lpstr>
      <vt:lpstr>Basic_Cause_Type_7</vt:lpstr>
      <vt:lpstr>Basic_Cause_Type_8</vt:lpstr>
      <vt:lpstr>Basic_Cause_Type_9</vt:lpstr>
      <vt:lpstr>Basic_Defect_Number</vt:lpstr>
      <vt:lpstr>Basic_Error_Rate</vt:lpstr>
      <vt:lpstr>Basic_Test_Item_Number</vt:lpstr>
      <vt:lpstr>Basic_Test_Item_Rate</vt:lpstr>
      <vt:lpstr>Business_Cause_Phase_1</vt:lpstr>
      <vt:lpstr>Business_Cause_Phase_10</vt:lpstr>
      <vt:lpstr>Business_Cause_Phase_2</vt:lpstr>
      <vt:lpstr>Business_Cause_Phase_3</vt:lpstr>
      <vt:lpstr>Business_Cause_Phase_4</vt:lpstr>
      <vt:lpstr>Business_Cause_Phase_5</vt:lpstr>
      <vt:lpstr>Business_Cause_Phase_6</vt:lpstr>
      <vt:lpstr>Business_Cause_Phase_7</vt:lpstr>
      <vt:lpstr>Business_Cause_Phase_8</vt:lpstr>
      <vt:lpstr>Business_Cause_Phase_9</vt:lpstr>
      <vt:lpstr>Business_Cause_Type_1</vt:lpstr>
      <vt:lpstr>Business_Cause_Type_10</vt:lpstr>
      <vt:lpstr>Business_Cause_Type_11</vt:lpstr>
      <vt:lpstr>Business_Cause_Type_12</vt:lpstr>
      <vt:lpstr>Business_Cause_Type_13</vt:lpstr>
      <vt:lpstr>Business_Cause_Type_14</vt:lpstr>
      <vt:lpstr>Business_Cause_Type_15</vt:lpstr>
      <vt:lpstr>Business_Cause_Type_16</vt:lpstr>
      <vt:lpstr>Business_Cause_Type_17</vt:lpstr>
      <vt:lpstr>Business_Cause_Type_18</vt:lpstr>
      <vt:lpstr>Business_Cause_Type_19</vt:lpstr>
      <vt:lpstr>Business_Cause_Type_2</vt:lpstr>
      <vt:lpstr>Business_Cause_Type_20</vt:lpstr>
      <vt:lpstr>Business_Cause_Type_21</vt:lpstr>
      <vt:lpstr>Business_Cause_Type_22</vt:lpstr>
      <vt:lpstr>Business_Cause_Type_23</vt:lpstr>
      <vt:lpstr>Business_Cause_Type_24</vt:lpstr>
      <vt:lpstr>Business_Cause_Type_25</vt:lpstr>
      <vt:lpstr>Business_Cause_Type_26</vt:lpstr>
      <vt:lpstr>Business_Cause_Type_27</vt:lpstr>
      <vt:lpstr>Business_Cause_Type_28</vt:lpstr>
      <vt:lpstr>Business_Cause_Type_29</vt:lpstr>
      <vt:lpstr>Business_Cause_Type_3</vt:lpstr>
      <vt:lpstr>Business_Cause_Type_30</vt:lpstr>
      <vt:lpstr>Business_Cause_Type_31</vt:lpstr>
      <vt:lpstr>Business_Cause_Type_32</vt:lpstr>
      <vt:lpstr>Business_Cause_Type_33</vt:lpstr>
      <vt:lpstr>Business_Cause_Type_34</vt:lpstr>
      <vt:lpstr>Business_Cause_Type_35</vt:lpstr>
      <vt:lpstr>Business_Cause_Type_36</vt:lpstr>
      <vt:lpstr>Business_Cause_Type_37</vt:lpstr>
      <vt:lpstr>Business_Cause_Type_38</vt:lpstr>
      <vt:lpstr>Business_Cause_Type_39</vt:lpstr>
      <vt:lpstr>Business_Cause_Type_4</vt:lpstr>
      <vt:lpstr>Business_Cause_Type_40</vt:lpstr>
      <vt:lpstr>Business_Cause_Type_5</vt:lpstr>
      <vt:lpstr>Business_Cause_Type_6</vt:lpstr>
      <vt:lpstr>Business_Cause_Type_7</vt:lpstr>
      <vt:lpstr>Business_Cause_Type_8</vt:lpstr>
      <vt:lpstr>Business_Cause_Type_9</vt:lpstr>
      <vt:lpstr>Business_Defect_Number</vt:lpstr>
      <vt:lpstr>Business_Error_Rate</vt:lpstr>
      <vt:lpstr>Business_Process_Name</vt:lpstr>
      <vt:lpstr>Business_Process_Range</vt:lpstr>
      <vt:lpstr>Business_Test_Item_Number</vt:lpstr>
      <vt:lpstr>Business_Test_Item_Rate</vt:lpstr>
      <vt:lpstr>Cause_Category_List</vt:lpstr>
      <vt:lpstr>Cause_List_End</vt:lpstr>
      <vt:lpstr>Cause_List_Start</vt:lpstr>
      <vt:lpstr>Cause_Phase_1</vt:lpstr>
      <vt:lpstr>Cause_Phase_10</vt:lpstr>
      <vt:lpstr>Cause_Phase_2</vt:lpstr>
      <vt:lpstr>Cause_Phase_3</vt:lpstr>
      <vt:lpstr>Cause_Phase_4</vt:lpstr>
      <vt:lpstr>Cause_Phase_5</vt:lpstr>
      <vt:lpstr>Cause_Phase_6</vt:lpstr>
      <vt:lpstr>Cause_Phase_7</vt:lpstr>
      <vt:lpstr>Cause_Phase_8</vt:lpstr>
      <vt:lpstr>Cause_Phase_9</vt:lpstr>
      <vt:lpstr>Cause_Type_Name_1</vt:lpstr>
      <vt:lpstr>Cause_Type_Name_10</vt:lpstr>
      <vt:lpstr>Cause_Type_Name_11</vt:lpstr>
      <vt:lpstr>Cause_Type_Name_12</vt:lpstr>
      <vt:lpstr>Cause_Type_Name_13</vt:lpstr>
      <vt:lpstr>Cause_Type_Name_14</vt:lpstr>
      <vt:lpstr>Cause_Type_Name_15</vt:lpstr>
      <vt:lpstr>Cause_Type_Name_16</vt:lpstr>
      <vt:lpstr>Cause_Type_Name_17</vt:lpstr>
      <vt:lpstr>Cause_Type_Name_18</vt:lpstr>
      <vt:lpstr>Cause_Type_Name_19</vt:lpstr>
      <vt:lpstr>Cause_Type_Name_2</vt:lpstr>
      <vt:lpstr>Cause_Type_Name_20</vt:lpstr>
      <vt:lpstr>Cause_Type_Name_21</vt:lpstr>
      <vt:lpstr>Cause_Type_Name_22</vt:lpstr>
      <vt:lpstr>Cause_Type_Name_23</vt:lpstr>
      <vt:lpstr>Cause_Type_Name_24</vt:lpstr>
      <vt:lpstr>Cause_Type_Name_25</vt:lpstr>
      <vt:lpstr>Cause_Type_Name_26</vt:lpstr>
      <vt:lpstr>Cause_Type_Name_27</vt:lpstr>
      <vt:lpstr>Cause_Type_Name_28</vt:lpstr>
      <vt:lpstr>Cause_Type_Name_29</vt:lpstr>
      <vt:lpstr>Cause_Type_Name_3</vt:lpstr>
      <vt:lpstr>Cause_Type_Name_30</vt:lpstr>
      <vt:lpstr>Cause_Type_Name_31</vt:lpstr>
      <vt:lpstr>Cause_Type_Name_32</vt:lpstr>
      <vt:lpstr>Cause_Type_Name_33</vt:lpstr>
      <vt:lpstr>Cause_Type_Name_34</vt:lpstr>
      <vt:lpstr>Cause_Type_Name_35</vt:lpstr>
      <vt:lpstr>Cause_Type_Name_36</vt:lpstr>
      <vt:lpstr>Cause_Type_Name_37</vt:lpstr>
      <vt:lpstr>Cause_Type_Name_38</vt:lpstr>
      <vt:lpstr>Cause_Type_Name_39</vt:lpstr>
      <vt:lpstr>Cause_Type_Name_4</vt:lpstr>
      <vt:lpstr>Cause_Type_Name_40</vt:lpstr>
      <vt:lpstr>Cause_Type_Name_5</vt:lpstr>
      <vt:lpstr>Cause_Type_Name_6</vt:lpstr>
      <vt:lpstr>Cause_Type_Name_7</vt:lpstr>
      <vt:lpstr>Cause_Type_Name_8</vt:lpstr>
      <vt:lpstr>Cause_Type_Name_9</vt:lpstr>
      <vt:lpstr>CodeTable_Affiliation_Abbreviation_End</vt:lpstr>
      <vt:lpstr>CodeTable_Affiliation_Abbreviation_Start</vt:lpstr>
      <vt:lpstr>CodeTable_Developer_End</vt:lpstr>
      <vt:lpstr>CodeTable_Developer_Start</vt:lpstr>
      <vt:lpstr>CodeTable_Phase_End</vt:lpstr>
      <vt:lpstr>CodeTable_Phase_Start</vt:lpstr>
      <vt:lpstr>CodeTable_Team_End</vt:lpstr>
      <vt:lpstr>CodeTable_Team_Start</vt:lpstr>
      <vt:lpstr>Common_Setup_Scale</vt:lpstr>
      <vt:lpstr>Data_Count_1</vt:lpstr>
      <vt:lpstr>Data_Count_2</vt:lpstr>
      <vt:lpstr>Developer_Name_List_Range</vt:lpstr>
      <vt:lpstr>Development_Company</vt:lpstr>
      <vt:lpstr>Development_PIC</vt:lpstr>
      <vt:lpstr>Development_Scale</vt:lpstr>
      <vt:lpstr>Division_Name_Abbreviation_List_Range</vt:lpstr>
      <vt:lpstr>Document</vt:lpstr>
      <vt:lpstr>Exec_SQL_1</vt:lpstr>
      <vt:lpstr>Exec_SQL_2</vt:lpstr>
      <vt:lpstr>Management_Unit_Name_Management_Unit_1</vt:lpstr>
      <vt:lpstr>Management_Unit_Name_Management_Unit_2</vt:lpstr>
      <vt:lpstr>ManagementUnit_End</vt:lpstr>
      <vt:lpstr>ManagementUnit_ManagementUnit_1</vt:lpstr>
      <vt:lpstr>ManagementUnit_ManagementUnit_2</vt:lpstr>
      <vt:lpstr>ManagementUnit_Start</vt:lpstr>
      <vt:lpstr>ManagementUnit_Subsystem</vt:lpstr>
      <vt:lpstr>Performance_Evaluation</vt:lpstr>
      <vt:lpstr>PG_Date</vt:lpstr>
      <vt:lpstr>PG_Issue_Count</vt:lpstr>
      <vt:lpstr>PG_Name</vt:lpstr>
      <vt:lpstr>PG_Review_Issue_Rate</vt:lpstr>
      <vt:lpstr>PG_Reviewee</vt:lpstr>
      <vt:lpstr>PG_Reviewer</vt:lpstr>
      <vt:lpstr>PGID</vt:lpstr>
      <vt:lpstr>Phase_List_Range</vt:lpstr>
      <vt:lpstr>'Basic Test (Online) 1'!Print_Area</vt:lpstr>
      <vt:lpstr>'Business Test 1'!Print_Area</vt:lpstr>
      <vt:lpstr>'Code Table'!Print_Area</vt:lpstr>
      <vt:lpstr>Process!Print_Area</vt:lpstr>
      <vt:lpstr>Settings!Print_Area</vt:lpstr>
      <vt:lpstr>'Title Page'!Print_Area</vt:lpstr>
      <vt:lpstr>'Basic Test (Online) 1'!Print_Titles</vt:lpstr>
      <vt:lpstr>'Business Test 1'!Print_Titles</vt:lpstr>
      <vt:lpstr>PRJ_Start_Date</vt:lpstr>
      <vt:lpstr>Process_ID</vt:lpstr>
      <vt:lpstr>Process_Name</vt:lpstr>
      <vt:lpstr>Process_Range</vt:lpstr>
      <vt:lpstr>Processing_Time_1</vt:lpstr>
      <vt:lpstr>Processing_Time_2</vt:lpstr>
      <vt:lpstr>PS_Date</vt:lpstr>
      <vt:lpstr>PS_Issue_Count</vt:lpstr>
      <vt:lpstr>PS_Review_Issue_Rate</vt:lpstr>
      <vt:lpstr>PS_Reviewee</vt:lpstr>
      <vt:lpstr>PS_Reviewer</vt:lpstr>
      <vt:lpstr>PT_Acceptance_1_Date</vt:lpstr>
      <vt:lpstr>PT_Acceptance_1_Defect_Number</vt:lpstr>
      <vt:lpstr>PT_Acceptance_1_PIC</vt:lpstr>
      <vt:lpstr>PT_Acceptance_1_Result</vt:lpstr>
      <vt:lpstr>PT_Acceptance_2_Date</vt:lpstr>
      <vt:lpstr>PT_Acceptance_2_Defect_Number</vt:lpstr>
      <vt:lpstr>PT_Acceptance_2_PIC</vt:lpstr>
      <vt:lpstr>PT_Acceptance_2_Result</vt:lpstr>
      <vt:lpstr>PT_Basic_By</vt:lpstr>
      <vt:lpstr>PT_Basic_Date</vt:lpstr>
      <vt:lpstr>PT_Basic_End_Date</vt:lpstr>
      <vt:lpstr>PT_Basic_Start_Date</vt:lpstr>
      <vt:lpstr>PT_Basic_Verified_By</vt:lpstr>
      <vt:lpstr>PT_Basic_Verified_Date</vt:lpstr>
      <vt:lpstr>PT_Business_Basic_By</vt:lpstr>
      <vt:lpstr>PT_Business_End_Date</vt:lpstr>
      <vt:lpstr>PT_Business_Start_Date</vt:lpstr>
      <vt:lpstr>PT_Business_Verified_By</vt:lpstr>
      <vt:lpstr>PT_Business_Verified_Date</vt:lpstr>
      <vt:lpstr>PT_Evaluation</vt:lpstr>
      <vt:lpstr>PT_Specification</vt:lpstr>
      <vt:lpstr>PT_Specification_Date</vt:lpstr>
      <vt:lpstr>PT_Specification_Issue_Count</vt:lpstr>
      <vt:lpstr>PT_Specification_Review_Issue_Rate</vt:lpstr>
      <vt:lpstr>PT_Specification_Reviewee</vt:lpstr>
      <vt:lpstr>PT_Specification_Reviewer</vt:lpstr>
      <vt:lpstr>PT_Specification_Type</vt:lpstr>
      <vt:lpstr>PTC_Coverage</vt:lpstr>
      <vt:lpstr>PTC_Less_Than_One</vt:lpstr>
      <vt:lpstr>Subsystem</vt:lpstr>
      <vt:lpstr>Subsystem_List</vt:lpstr>
      <vt:lpstr>Team_list_Range</vt:lpstr>
      <vt:lpstr>'Basic Test (Online) 1'!Test_Item_Report_End_Line</vt:lpstr>
      <vt:lpstr>'Business Test 1'!Test_Item_Report_End_Line</vt:lpstr>
      <vt:lpstr>Total_Cause_Phase_1</vt:lpstr>
      <vt:lpstr>Total_Cause_Phase_10</vt:lpstr>
      <vt:lpstr>Total_Cause_Phase_2</vt:lpstr>
      <vt:lpstr>Total_Cause_Phase_3</vt:lpstr>
      <vt:lpstr>Total_Cause_Phase_4</vt:lpstr>
      <vt:lpstr>Total_Cause_Phase_5</vt:lpstr>
      <vt:lpstr>Total_Cause_Phase_6</vt:lpstr>
      <vt:lpstr>Total_Cause_Phase_7</vt:lpstr>
      <vt:lpstr>Total_Cause_Phase_8</vt:lpstr>
      <vt:lpstr>Total_Cause_Phase_9</vt:lpstr>
      <vt:lpstr>Total_Cause_Type_1</vt:lpstr>
      <vt:lpstr>Total_Cause_Type_10</vt:lpstr>
      <vt:lpstr>Total_Cause_Type_11</vt:lpstr>
      <vt:lpstr>Total_Cause_Type_12</vt:lpstr>
      <vt:lpstr>Total_Cause_Type_13</vt:lpstr>
      <vt:lpstr>Total_Cause_Type_14</vt:lpstr>
      <vt:lpstr>Total_Cause_Type_15</vt:lpstr>
      <vt:lpstr>Total_Cause_Type_16</vt:lpstr>
      <vt:lpstr>Total_Cause_Type_17</vt:lpstr>
      <vt:lpstr>Total_Cause_Type_18</vt:lpstr>
      <vt:lpstr>Total_Cause_Type_19</vt:lpstr>
      <vt:lpstr>Total_Cause_Type_2</vt:lpstr>
      <vt:lpstr>Total_Cause_Type_20</vt:lpstr>
      <vt:lpstr>Total_Cause_Type_21</vt:lpstr>
      <vt:lpstr>Total_Cause_Type_22</vt:lpstr>
      <vt:lpstr>Total_Cause_Type_23</vt:lpstr>
      <vt:lpstr>Total_Cause_Type_24</vt:lpstr>
      <vt:lpstr>Total_Cause_Type_25</vt:lpstr>
      <vt:lpstr>Total_Cause_Type_26</vt:lpstr>
      <vt:lpstr>Total_Cause_Type_27</vt:lpstr>
      <vt:lpstr>Total_Cause_Type_28</vt:lpstr>
      <vt:lpstr>Total_Cause_Type_29</vt:lpstr>
      <vt:lpstr>Total_Cause_Type_3</vt:lpstr>
      <vt:lpstr>Total_Cause_Type_30</vt:lpstr>
      <vt:lpstr>Total_Cause_Type_31</vt:lpstr>
      <vt:lpstr>Total_Cause_Type_32</vt:lpstr>
      <vt:lpstr>Total_Cause_Type_33</vt:lpstr>
      <vt:lpstr>Total_Cause_Type_34</vt:lpstr>
      <vt:lpstr>Total_Cause_Type_35</vt:lpstr>
      <vt:lpstr>Total_Cause_Type_36</vt:lpstr>
      <vt:lpstr>Total_Cause_Type_37</vt:lpstr>
      <vt:lpstr>Total_Cause_Type_38</vt:lpstr>
      <vt:lpstr>Total_Cause_Type_39</vt:lpstr>
      <vt:lpstr>Total_Cause_Type_4</vt:lpstr>
      <vt:lpstr>Total_Cause_Type_40</vt:lpstr>
      <vt:lpstr>Total_Cause_Type_5</vt:lpstr>
      <vt:lpstr>Total_Cause_Type_6</vt:lpstr>
      <vt:lpstr>Total_Cause_Type_7</vt:lpstr>
      <vt:lpstr>Total_Cause_Type_8</vt:lpstr>
      <vt:lpstr>Total_Cause_Type_9</vt:lpstr>
      <vt:lpstr>Total_Defect_Number</vt:lpstr>
      <vt:lpstr>Total_Error_Rate</vt:lpstr>
      <vt:lpstr>Total_Test_Item_Number</vt:lpstr>
      <vt:lpstr>Total_Test_Item_Rate</vt:lpstr>
      <vt:lpstr>Version</vt:lpstr>
    </vt:vector>
  </TitlesOfParts>
  <Company>富士通株式会社</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PT Report (Program Test for Online)</dc:title>
  <dc:creator>ﾏ 円山 和美</dc:creator>
  <cp:lastModifiedBy>Roy Kitagawa</cp:lastModifiedBy>
  <cp:lastPrinted>2017-04-27T00:54:32Z</cp:lastPrinted>
  <dcterms:created xsi:type="dcterms:W3CDTF">2008-06-03T06:44:26Z</dcterms:created>
  <dcterms:modified xsi:type="dcterms:W3CDTF">2021-02-17T09:11:52Z</dcterms:modified>
</cp:coreProperties>
</file>